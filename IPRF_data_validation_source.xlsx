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feen.shamsudheen\Downloads\"/>
    </mc:Choice>
  </mc:AlternateContent>
  <xr:revisionPtr revIDLastSave="0" documentId="13_ncr:1_{AFF90340-4E3A-45E4-A2F1-39AAF2B63805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ENTITY" sheetId="2" r:id="rId1"/>
    <sheet name="BU" sheetId="1" r:id="rId2"/>
    <sheet name="REQUEST TYPE" sheetId="6" r:id="rId3"/>
    <sheet name="ITEM TYPE" sheetId="3" r:id="rId4"/>
    <sheet name="PROJECTS" sheetId="5" r:id="rId5"/>
    <sheet name="LOCATION" sheetId="4" r:id="rId6"/>
    <sheet name="REQUESTER" sheetId="7" r:id="rId7"/>
    <sheet name="WAREHOUSE REP" sheetId="8" r:id="rId8"/>
    <sheet name="BUYER" sheetId="9" r:id="rId9"/>
    <sheet name="WAREHOUSE" sheetId="12" r:id="rId10"/>
    <sheet name="SUPPLIER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9" i="4" l="1"/>
  <c r="B104" i="4"/>
  <c r="B105" i="4"/>
  <c r="B106" i="4"/>
  <c r="B107" i="4"/>
  <c r="D107" i="4" s="1"/>
  <c r="B108" i="4"/>
  <c r="D108" i="4" s="1"/>
  <c r="B109" i="4"/>
  <c r="D109" i="4" s="1"/>
  <c r="B110" i="4"/>
  <c r="D110" i="4" s="1"/>
  <c r="B111" i="4"/>
  <c r="D111" i="4" s="1"/>
  <c r="B112" i="4"/>
  <c r="D112" i="4" s="1"/>
  <c r="B113" i="4"/>
  <c r="D113" i="4" s="1"/>
  <c r="B114" i="4"/>
  <c r="D114" i="4" s="1"/>
  <c r="B115" i="4"/>
  <c r="D115" i="4" s="1"/>
  <c r="B116" i="4"/>
  <c r="D116" i="4" s="1"/>
  <c r="B117" i="4"/>
  <c r="B118" i="4"/>
  <c r="D105" i="4"/>
  <c r="D106" i="4"/>
  <c r="D117" i="4"/>
  <c r="D118" i="4"/>
  <c r="C248" i="5"/>
  <c r="H248" i="5" s="1"/>
  <c r="C249" i="5"/>
  <c r="H249" i="5" s="1"/>
  <c r="C250" i="5"/>
  <c r="H250" i="5" s="1"/>
  <c r="C251" i="5"/>
  <c r="H251" i="5" s="1"/>
  <c r="C252" i="5"/>
  <c r="H252" i="5" s="1"/>
  <c r="C253" i="5"/>
  <c r="H253" i="5" s="1"/>
  <c r="C254" i="5"/>
  <c r="H254" i="5" s="1"/>
  <c r="C255" i="5"/>
  <c r="H255" i="5" s="1"/>
  <c r="C256" i="5"/>
  <c r="H256" i="5" s="1"/>
  <c r="C257" i="5"/>
  <c r="H257" i="5" s="1"/>
  <c r="C258" i="5"/>
  <c r="H258" i="5" s="1"/>
  <c r="C259" i="5"/>
  <c r="H259" i="5" s="1"/>
  <c r="C260" i="5"/>
  <c r="C261" i="5"/>
  <c r="H261" i="5" s="1"/>
  <c r="C262" i="5"/>
  <c r="H262" i="5" s="1"/>
  <c r="C263" i="5"/>
  <c r="C264" i="5"/>
  <c r="H264" i="5" s="1"/>
  <c r="C265" i="5"/>
  <c r="H265" i="5" s="1"/>
  <c r="C266" i="5"/>
  <c r="H266" i="5" s="1"/>
  <c r="C267" i="5"/>
  <c r="H267" i="5" s="1"/>
  <c r="C268" i="5"/>
  <c r="H268" i="5" s="1"/>
  <c r="C269" i="5"/>
  <c r="H269" i="5" s="1"/>
  <c r="C270" i="5"/>
  <c r="H270" i="5" s="1"/>
  <c r="C271" i="5"/>
  <c r="H271" i="5" s="1"/>
  <c r="C272" i="5"/>
  <c r="C273" i="5"/>
  <c r="H273" i="5" s="1"/>
  <c r="C274" i="5"/>
  <c r="H274" i="5" s="1"/>
  <c r="C275" i="5"/>
  <c r="H275" i="5" s="1"/>
  <c r="C276" i="5"/>
  <c r="H276" i="5" s="1"/>
  <c r="C277" i="5"/>
  <c r="H277" i="5" s="1"/>
  <c r="C278" i="5"/>
  <c r="H278" i="5" s="1"/>
  <c r="C279" i="5"/>
  <c r="H279" i="5" s="1"/>
  <c r="C280" i="5"/>
  <c r="H280" i="5" s="1"/>
  <c r="C281" i="5"/>
  <c r="H281" i="5" s="1"/>
  <c r="C282" i="5"/>
  <c r="H282" i="5" s="1"/>
  <c r="C283" i="5"/>
  <c r="H283" i="5" s="1"/>
  <c r="C284" i="5"/>
  <c r="H284" i="5" s="1"/>
  <c r="C285" i="5"/>
  <c r="H285" i="5" s="1"/>
  <c r="C286" i="5"/>
  <c r="H286" i="5" s="1"/>
  <c r="C287" i="5"/>
  <c r="H287" i="5" s="1"/>
  <c r="C288" i="5"/>
  <c r="H288" i="5" s="1"/>
  <c r="C289" i="5"/>
  <c r="H289" i="5" s="1"/>
  <c r="C290" i="5"/>
  <c r="H290" i="5" s="1"/>
  <c r="C291" i="5"/>
  <c r="H291" i="5" s="1"/>
  <c r="C292" i="5"/>
  <c r="H292" i="5" s="1"/>
  <c r="C293" i="5"/>
  <c r="H293" i="5" s="1"/>
  <c r="C294" i="5"/>
  <c r="H294" i="5" s="1"/>
  <c r="H260" i="5"/>
  <c r="H263" i="5"/>
  <c r="H272" i="5"/>
  <c r="A3" i="12" l="1"/>
  <c r="A2" i="12"/>
  <c r="C2" i="5"/>
  <c r="H2" i="5" s="1"/>
  <c r="C3" i="5"/>
  <c r="H3" i="5" s="1"/>
  <c r="C4" i="5"/>
  <c r="H4" i="5" s="1"/>
  <c r="C5" i="5"/>
  <c r="H5" i="5" s="1"/>
  <c r="C6" i="5"/>
  <c r="H6" i="5" s="1"/>
  <c r="C7" i="5"/>
  <c r="H7" i="5" s="1"/>
  <c r="C8" i="5"/>
  <c r="H8" i="5" s="1"/>
  <c r="C9" i="5"/>
  <c r="H9" i="5" s="1"/>
  <c r="C10" i="5"/>
  <c r="H10" i="5" s="1"/>
  <c r="C11" i="5"/>
  <c r="H11" i="5" s="1"/>
  <c r="C12" i="5"/>
  <c r="H12" i="5" s="1"/>
  <c r="C13" i="5"/>
  <c r="H13" i="5" s="1"/>
  <c r="C14" i="5"/>
  <c r="H14" i="5" s="1"/>
  <c r="C15" i="5"/>
  <c r="H15" i="5" s="1"/>
  <c r="C16" i="5"/>
  <c r="H16" i="5" s="1"/>
  <c r="C17" i="5"/>
  <c r="H17" i="5" s="1"/>
  <c r="C18" i="5"/>
  <c r="H18" i="5" s="1"/>
  <c r="C19" i="5"/>
  <c r="H19" i="5" s="1"/>
  <c r="C20" i="5"/>
  <c r="H20" i="5" s="1"/>
  <c r="C21" i="5"/>
  <c r="H21" i="5" s="1"/>
  <c r="C22" i="5"/>
  <c r="H22" i="5" s="1"/>
  <c r="C23" i="5"/>
  <c r="H23" i="5" s="1"/>
  <c r="C24" i="5"/>
  <c r="H24" i="5" s="1"/>
  <c r="C25" i="5"/>
  <c r="H25" i="5" s="1"/>
  <c r="C26" i="5"/>
  <c r="H26" i="5" s="1"/>
  <c r="C27" i="5"/>
  <c r="H27" i="5" s="1"/>
  <c r="C28" i="5"/>
  <c r="H28" i="5" s="1"/>
  <c r="C29" i="5"/>
  <c r="H29" i="5" s="1"/>
  <c r="C30" i="5"/>
  <c r="H30" i="5" s="1"/>
  <c r="C31" i="5"/>
  <c r="H31" i="5" s="1"/>
  <c r="C32" i="5"/>
  <c r="H32" i="5" s="1"/>
  <c r="C33" i="5"/>
  <c r="H33" i="5" s="1"/>
  <c r="C34" i="5"/>
  <c r="H34" i="5" s="1"/>
  <c r="C35" i="5"/>
  <c r="H35" i="5" s="1"/>
  <c r="C36" i="5"/>
  <c r="H36" i="5" s="1"/>
  <c r="C37" i="5"/>
  <c r="H37" i="5" s="1"/>
  <c r="C38" i="5"/>
  <c r="H38" i="5" s="1"/>
  <c r="C39" i="5"/>
  <c r="H39" i="5" s="1"/>
  <c r="C40" i="5"/>
  <c r="H40" i="5" s="1"/>
  <c r="C41" i="5"/>
  <c r="H41" i="5" s="1"/>
  <c r="C42" i="5"/>
  <c r="H42" i="5" s="1"/>
  <c r="C43" i="5"/>
  <c r="H43" i="5" s="1"/>
  <c r="C44" i="5"/>
  <c r="H44" i="5" s="1"/>
  <c r="C45" i="5"/>
  <c r="H45" i="5" s="1"/>
  <c r="C46" i="5"/>
  <c r="H46" i="5" s="1"/>
  <c r="C47" i="5"/>
  <c r="H47" i="5" s="1"/>
  <c r="C48" i="5"/>
  <c r="H48" i="5" s="1"/>
  <c r="C49" i="5"/>
  <c r="H49" i="5" s="1"/>
  <c r="C50" i="5"/>
  <c r="H50" i="5" s="1"/>
  <c r="C51" i="5"/>
  <c r="H51" i="5" s="1"/>
  <c r="C52" i="5"/>
  <c r="H52" i="5" s="1"/>
  <c r="C53" i="5"/>
  <c r="H53" i="5" s="1"/>
  <c r="C54" i="5"/>
  <c r="H54" i="5" s="1"/>
  <c r="C55" i="5"/>
  <c r="H55" i="5" s="1"/>
  <c r="C56" i="5"/>
  <c r="H56" i="5" s="1"/>
  <c r="C57" i="5"/>
  <c r="H57" i="5" s="1"/>
  <c r="C58" i="5"/>
  <c r="H58" i="5" s="1"/>
  <c r="C59" i="5"/>
  <c r="H59" i="5" s="1"/>
  <c r="C60" i="5"/>
  <c r="H60" i="5" s="1"/>
  <c r="C61" i="5"/>
  <c r="H61" i="5" s="1"/>
  <c r="C62" i="5"/>
  <c r="H62" i="5" s="1"/>
  <c r="C63" i="5"/>
  <c r="H63" i="5" s="1"/>
  <c r="C64" i="5"/>
  <c r="H64" i="5" s="1"/>
  <c r="C65" i="5"/>
  <c r="H65" i="5" s="1"/>
  <c r="C66" i="5"/>
  <c r="H66" i="5" s="1"/>
  <c r="C67" i="5"/>
  <c r="H67" i="5" s="1"/>
  <c r="C68" i="5"/>
  <c r="H68" i="5" s="1"/>
  <c r="C69" i="5"/>
  <c r="H69" i="5" s="1"/>
  <c r="C70" i="5"/>
  <c r="H70" i="5" s="1"/>
  <c r="C71" i="5"/>
  <c r="H71" i="5" s="1"/>
  <c r="C72" i="5"/>
  <c r="H72" i="5" s="1"/>
  <c r="C73" i="5"/>
  <c r="H73" i="5" s="1"/>
  <c r="C74" i="5"/>
  <c r="H74" i="5" s="1"/>
  <c r="C75" i="5"/>
  <c r="H75" i="5" s="1"/>
  <c r="C76" i="5"/>
  <c r="H76" i="5" s="1"/>
  <c r="C77" i="5"/>
  <c r="H77" i="5" s="1"/>
  <c r="C78" i="5"/>
  <c r="H78" i="5" s="1"/>
  <c r="C79" i="5"/>
  <c r="H79" i="5" s="1"/>
  <c r="C80" i="5"/>
  <c r="H80" i="5" s="1"/>
  <c r="C81" i="5"/>
  <c r="H81" i="5" s="1"/>
  <c r="C82" i="5"/>
  <c r="H82" i="5" s="1"/>
  <c r="C83" i="5"/>
  <c r="H83" i="5" s="1"/>
  <c r="C84" i="5"/>
  <c r="H84" i="5" s="1"/>
  <c r="C85" i="5"/>
  <c r="H85" i="5" s="1"/>
  <c r="C86" i="5"/>
  <c r="H86" i="5" s="1"/>
  <c r="C87" i="5"/>
  <c r="H87" i="5" s="1"/>
  <c r="C88" i="5"/>
  <c r="H88" i="5" s="1"/>
  <c r="C89" i="5"/>
  <c r="H89" i="5" s="1"/>
  <c r="C90" i="5"/>
  <c r="H90" i="5" s="1"/>
  <c r="C91" i="5"/>
  <c r="H91" i="5" s="1"/>
  <c r="C92" i="5"/>
  <c r="H92" i="5" s="1"/>
  <c r="C93" i="5"/>
  <c r="H93" i="5" s="1"/>
  <c r="C94" i="5"/>
  <c r="H94" i="5" s="1"/>
  <c r="C95" i="5"/>
  <c r="H95" i="5" s="1"/>
  <c r="C96" i="5"/>
  <c r="H96" i="5" s="1"/>
  <c r="C97" i="5"/>
  <c r="H97" i="5" s="1"/>
  <c r="C98" i="5"/>
  <c r="H98" i="5" s="1"/>
  <c r="C99" i="5"/>
  <c r="H99" i="5" s="1"/>
  <c r="C100" i="5"/>
  <c r="H100" i="5" s="1"/>
  <c r="C101" i="5"/>
  <c r="H101" i="5" s="1"/>
  <c r="C102" i="5"/>
  <c r="H102" i="5" s="1"/>
  <c r="C103" i="5"/>
  <c r="H103" i="5" s="1"/>
  <c r="C104" i="5"/>
  <c r="H104" i="5" s="1"/>
  <c r="C105" i="5"/>
  <c r="H105" i="5" s="1"/>
  <c r="C106" i="5"/>
  <c r="H106" i="5" s="1"/>
  <c r="C107" i="5"/>
  <c r="H107" i="5" s="1"/>
  <c r="C108" i="5"/>
  <c r="H108" i="5" s="1"/>
  <c r="C109" i="5"/>
  <c r="H109" i="5" s="1"/>
  <c r="C110" i="5"/>
  <c r="H110" i="5" s="1"/>
  <c r="C111" i="5"/>
  <c r="H111" i="5" s="1"/>
  <c r="C112" i="5"/>
  <c r="H112" i="5" s="1"/>
  <c r="C113" i="5"/>
  <c r="H113" i="5" s="1"/>
  <c r="C114" i="5"/>
  <c r="H114" i="5" s="1"/>
  <c r="C115" i="5"/>
  <c r="H115" i="5" s="1"/>
  <c r="C116" i="5"/>
  <c r="H116" i="5" s="1"/>
  <c r="C117" i="5"/>
  <c r="H117" i="5" s="1"/>
  <c r="C118" i="5"/>
  <c r="H118" i="5" s="1"/>
  <c r="C119" i="5"/>
  <c r="H119" i="5" s="1"/>
  <c r="C120" i="5"/>
  <c r="H120" i="5" s="1"/>
  <c r="C121" i="5"/>
  <c r="H121" i="5" s="1"/>
  <c r="C122" i="5"/>
  <c r="H122" i="5" s="1"/>
  <c r="C123" i="5"/>
  <c r="H123" i="5" s="1"/>
  <c r="C124" i="5"/>
  <c r="H124" i="5" s="1"/>
  <c r="C125" i="5"/>
  <c r="H125" i="5" s="1"/>
  <c r="C126" i="5"/>
  <c r="H126" i="5" s="1"/>
  <c r="C127" i="5"/>
  <c r="H127" i="5" s="1"/>
  <c r="C128" i="5"/>
  <c r="H128" i="5" s="1"/>
  <c r="C129" i="5"/>
  <c r="H129" i="5" s="1"/>
  <c r="C130" i="5"/>
  <c r="H130" i="5" s="1"/>
  <c r="C131" i="5"/>
  <c r="H131" i="5" s="1"/>
  <c r="C132" i="5"/>
  <c r="H132" i="5" s="1"/>
  <c r="C133" i="5"/>
  <c r="H133" i="5" s="1"/>
  <c r="C134" i="5"/>
  <c r="H134" i="5" s="1"/>
  <c r="C135" i="5"/>
  <c r="H135" i="5" s="1"/>
  <c r="C136" i="5"/>
  <c r="H136" i="5" s="1"/>
  <c r="C137" i="5"/>
  <c r="H137" i="5" s="1"/>
  <c r="C138" i="5"/>
  <c r="H138" i="5" s="1"/>
  <c r="C139" i="5"/>
  <c r="H139" i="5" s="1"/>
  <c r="C140" i="5"/>
  <c r="H140" i="5" s="1"/>
  <c r="C141" i="5"/>
  <c r="H141" i="5" s="1"/>
  <c r="C142" i="5"/>
  <c r="H142" i="5" s="1"/>
  <c r="C143" i="5"/>
  <c r="H143" i="5" s="1"/>
  <c r="C144" i="5"/>
  <c r="H144" i="5" s="1"/>
  <c r="C145" i="5"/>
  <c r="H145" i="5" s="1"/>
  <c r="C146" i="5"/>
  <c r="H146" i="5" s="1"/>
  <c r="C147" i="5"/>
  <c r="H147" i="5" s="1"/>
  <c r="C148" i="5"/>
  <c r="H148" i="5" s="1"/>
  <c r="C149" i="5"/>
  <c r="H149" i="5" s="1"/>
  <c r="C150" i="5"/>
  <c r="H150" i="5" s="1"/>
  <c r="C151" i="5"/>
  <c r="H151" i="5" s="1"/>
  <c r="C152" i="5"/>
  <c r="H152" i="5" s="1"/>
  <c r="C153" i="5"/>
  <c r="H153" i="5" s="1"/>
  <c r="C154" i="5"/>
  <c r="H154" i="5" s="1"/>
  <c r="C155" i="5"/>
  <c r="H155" i="5" s="1"/>
  <c r="C156" i="5"/>
  <c r="H156" i="5" s="1"/>
  <c r="C157" i="5"/>
  <c r="H157" i="5" s="1"/>
  <c r="C158" i="5"/>
  <c r="H158" i="5" s="1"/>
  <c r="C159" i="5"/>
  <c r="H159" i="5" s="1"/>
  <c r="C160" i="5"/>
  <c r="H160" i="5" s="1"/>
  <c r="C161" i="5"/>
  <c r="H161" i="5" s="1"/>
  <c r="C162" i="5"/>
  <c r="H162" i="5" s="1"/>
  <c r="C163" i="5"/>
  <c r="H163" i="5" s="1"/>
  <c r="C164" i="5"/>
  <c r="H164" i="5" s="1"/>
  <c r="C165" i="5"/>
  <c r="H165" i="5" s="1"/>
  <c r="C166" i="5"/>
  <c r="H166" i="5" s="1"/>
  <c r="C167" i="5"/>
  <c r="H167" i="5" s="1"/>
  <c r="C168" i="5"/>
  <c r="H168" i="5" s="1"/>
  <c r="C169" i="5"/>
  <c r="H169" i="5" s="1"/>
  <c r="C170" i="5"/>
  <c r="H170" i="5" s="1"/>
  <c r="C171" i="5"/>
  <c r="H171" i="5" s="1"/>
  <c r="C172" i="5"/>
  <c r="H172" i="5" s="1"/>
  <c r="C173" i="5"/>
  <c r="H173" i="5" s="1"/>
  <c r="C174" i="5"/>
  <c r="H174" i="5" s="1"/>
  <c r="C175" i="5"/>
  <c r="H175" i="5" s="1"/>
  <c r="C176" i="5"/>
  <c r="H176" i="5" s="1"/>
  <c r="C177" i="5"/>
  <c r="H177" i="5" s="1"/>
  <c r="C178" i="5"/>
  <c r="H178" i="5" s="1"/>
  <c r="C179" i="5"/>
  <c r="H179" i="5" s="1"/>
  <c r="C180" i="5"/>
  <c r="H180" i="5" s="1"/>
  <c r="C181" i="5"/>
  <c r="H181" i="5" s="1"/>
  <c r="C182" i="5"/>
  <c r="H182" i="5" s="1"/>
  <c r="C183" i="5"/>
  <c r="H183" i="5" s="1"/>
  <c r="C184" i="5"/>
  <c r="H184" i="5" s="1"/>
  <c r="C185" i="5"/>
  <c r="H185" i="5" s="1"/>
  <c r="C186" i="5"/>
  <c r="H186" i="5" s="1"/>
  <c r="C187" i="5"/>
  <c r="H187" i="5" s="1"/>
  <c r="C188" i="5"/>
  <c r="H188" i="5" s="1"/>
  <c r="C189" i="5"/>
  <c r="H189" i="5" s="1"/>
  <c r="C190" i="5"/>
  <c r="H190" i="5" s="1"/>
  <c r="C191" i="5"/>
  <c r="H191" i="5" s="1"/>
  <c r="C192" i="5"/>
  <c r="H192" i="5" s="1"/>
  <c r="C193" i="5"/>
  <c r="H193" i="5" s="1"/>
  <c r="C194" i="5"/>
  <c r="H194" i="5" s="1"/>
  <c r="C195" i="5"/>
  <c r="H195" i="5" s="1"/>
  <c r="C196" i="5"/>
  <c r="H196" i="5" s="1"/>
  <c r="C197" i="5"/>
  <c r="H197" i="5" s="1"/>
  <c r="C198" i="5"/>
  <c r="H198" i="5" s="1"/>
  <c r="C199" i="5"/>
  <c r="H199" i="5" s="1"/>
  <c r="C200" i="5"/>
  <c r="H200" i="5" s="1"/>
  <c r="C201" i="5"/>
  <c r="H201" i="5" s="1"/>
  <c r="C202" i="5"/>
  <c r="H202" i="5" s="1"/>
  <c r="C203" i="5"/>
  <c r="H203" i="5" s="1"/>
  <c r="C204" i="5"/>
  <c r="H204" i="5" s="1"/>
  <c r="C205" i="5"/>
  <c r="H205" i="5" s="1"/>
  <c r="C206" i="5"/>
  <c r="H206" i="5" s="1"/>
  <c r="C207" i="5"/>
  <c r="H207" i="5" s="1"/>
  <c r="C208" i="5"/>
  <c r="H208" i="5" s="1"/>
  <c r="C209" i="5"/>
  <c r="H209" i="5" s="1"/>
  <c r="C210" i="5"/>
  <c r="H210" i="5" s="1"/>
  <c r="C211" i="5"/>
  <c r="H211" i="5" s="1"/>
  <c r="C212" i="5"/>
  <c r="H212" i="5" s="1"/>
  <c r="C213" i="5"/>
  <c r="H213" i="5" s="1"/>
  <c r="C214" i="5"/>
  <c r="H214" i="5" s="1"/>
  <c r="C215" i="5"/>
  <c r="H215" i="5" s="1"/>
  <c r="C216" i="5"/>
  <c r="H216" i="5" s="1"/>
  <c r="C217" i="5"/>
  <c r="H217" i="5" s="1"/>
  <c r="C218" i="5"/>
  <c r="H218" i="5" s="1"/>
  <c r="C219" i="5"/>
  <c r="H219" i="5" s="1"/>
  <c r="C220" i="5"/>
  <c r="H220" i="5" s="1"/>
  <c r="C221" i="5"/>
  <c r="H221" i="5" s="1"/>
  <c r="C222" i="5"/>
  <c r="H222" i="5" s="1"/>
  <c r="C223" i="5"/>
  <c r="H223" i="5" s="1"/>
  <c r="C224" i="5"/>
  <c r="H224" i="5" s="1"/>
  <c r="C225" i="5"/>
  <c r="H225" i="5" s="1"/>
  <c r="C226" i="5"/>
  <c r="H226" i="5" s="1"/>
  <c r="C227" i="5"/>
  <c r="H227" i="5" s="1"/>
  <c r="C228" i="5"/>
  <c r="H228" i="5" s="1"/>
  <c r="C229" i="5"/>
  <c r="H229" i="5" s="1"/>
  <c r="C230" i="5"/>
  <c r="H230" i="5" s="1"/>
  <c r="C231" i="5"/>
  <c r="H231" i="5" s="1"/>
  <c r="C232" i="5"/>
  <c r="H232" i="5" s="1"/>
  <c r="C233" i="5"/>
  <c r="H233" i="5" s="1"/>
  <c r="C234" i="5"/>
  <c r="H234" i="5" s="1"/>
  <c r="C235" i="5"/>
  <c r="H235" i="5" s="1"/>
  <c r="C236" i="5"/>
  <c r="H236" i="5" s="1"/>
  <c r="C237" i="5"/>
  <c r="H237" i="5" s="1"/>
  <c r="C238" i="5"/>
  <c r="H238" i="5" s="1"/>
  <c r="C239" i="5"/>
  <c r="H239" i="5" s="1"/>
  <c r="C240" i="5"/>
  <c r="H240" i="5" s="1"/>
  <c r="C241" i="5"/>
  <c r="H241" i="5" s="1"/>
  <c r="C242" i="5"/>
  <c r="H242" i="5" s="1"/>
  <c r="C243" i="5"/>
  <c r="H243" i="5" s="1"/>
  <c r="C244" i="5"/>
  <c r="H244" i="5" s="1"/>
  <c r="C245" i="5"/>
  <c r="H245" i="5" s="1"/>
  <c r="C246" i="5"/>
  <c r="H246" i="5" s="1"/>
  <c r="C247" i="5"/>
  <c r="H247" i="5" s="1"/>
  <c r="C2" i="3"/>
  <c r="C3" i="3"/>
  <c r="C4" i="3"/>
  <c r="C5" i="3"/>
  <c r="C6" i="3"/>
  <c r="C7" i="3"/>
  <c r="B2" i="4"/>
  <c r="D2" i="4" s="1"/>
  <c r="B3" i="4"/>
  <c r="D3" i="4" s="1"/>
  <c r="B4" i="4"/>
  <c r="D4" i="4" s="1"/>
  <c r="B5" i="4"/>
  <c r="D5" i="4" s="1"/>
  <c r="B6" i="4"/>
  <c r="D6" i="4" s="1"/>
  <c r="B7" i="4"/>
  <c r="D7" i="4" s="1"/>
  <c r="B8" i="4"/>
  <c r="D8" i="4" s="1"/>
  <c r="B9" i="4"/>
  <c r="D9" i="4" s="1"/>
  <c r="B10" i="4"/>
  <c r="D10" i="4" s="1"/>
  <c r="B11" i="4"/>
  <c r="D11" i="4" s="1"/>
  <c r="B12" i="4"/>
  <c r="D12" i="4" s="1"/>
  <c r="B13" i="4"/>
  <c r="D13" i="4" s="1"/>
  <c r="B14" i="4"/>
  <c r="D14" i="4" s="1"/>
  <c r="B15" i="4"/>
  <c r="D15" i="4" s="1"/>
  <c r="B16" i="4"/>
  <c r="D16" i="4" s="1"/>
  <c r="B17" i="4"/>
  <c r="D17" i="4" s="1"/>
  <c r="B18" i="4"/>
  <c r="D18" i="4" s="1"/>
  <c r="B19" i="4"/>
  <c r="D19" i="4" s="1"/>
  <c r="B20" i="4"/>
  <c r="D20" i="4" s="1"/>
  <c r="B21" i="4"/>
  <c r="D21" i="4" s="1"/>
  <c r="B22" i="4"/>
  <c r="D22" i="4" s="1"/>
  <c r="B23" i="4"/>
  <c r="D23" i="4" s="1"/>
  <c r="B24" i="4"/>
  <c r="D24" i="4" s="1"/>
  <c r="B25" i="4"/>
  <c r="D25" i="4" s="1"/>
  <c r="B26" i="4"/>
  <c r="D26" i="4" s="1"/>
  <c r="B27" i="4"/>
  <c r="D27" i="4" s="1"/>
  <c r="B28" i="4"/>
  <c r="D28" i="4" s="1"/>
  <c r="B29" i="4"/>
  <c r="D29" i="4" s="1"/>
  <c r="B30" i="4"/>
  <c r="D30" i="4" s="1"/>
  <c r="B31" i="4"/>
  <c r="D31" i="4" s="1"/>
  <c r="B32" i="4"/>
  <c r="D32" i="4" s="1"/>
  <c r="B33" i="4"/>
  <c r="D33" i="4" s="1"/>
  <c r="B34" i="4"/>
  <c r="D34" i="4" s="1"/>
  <c r="B35" i="4"/>
  <c r="D35" i="4" s="1"/>
  <c r="B36" i="4"/>
  <c r="D36" i="4" s="1"/>
  <c r="B37" i="4"/>
  <c r="D37" i="4" s="1"/>
  <c r="B38" i="4"/>
  <c r="D38" i="4" s="1"/>
  <c r="B39" i="4"/>
  <c r="D39" i="4" s="1"/>
  <c r="B40" i="4"/>
  <c r="D40" i="4" s="1"/>
  <c r="B41" i="4"/>
  <c r="D41" i="4" s="1"/>
  <c r="B42" i="4"/>
  <c r="D42" i="4" s="1"/>
  <c r="B43" i="4"/>
  <c r="D43" i="4" s="1"/>
  <c r="B44" i="4"/>
  <c r="D44" i="4" s="1"/>
  <c r="B45" i="4"/>
  <c r="D45" i="4" s="1"/>
  <c r="B46" i="4"/>
  <c r="D46" i="4" s="1"/>
  <c r="B47" i="4"/>
  <c r="D47" i="4" s="1"/>
  <c r="B48" i="4"/>
  <c r="D48" i="4" s="1"/>
  <c r="B49" i="4"/>
  <c r="D49" i="4" s="1"/>
  <c r="B50" i="4"/>
  <c r="D50" i="4" s="1"/>
  <c r="B51" i="4"/>
  <c r="D51" i="4" s="1"/>
  <c r="B52" i="4"/>
  <c r="D52" i="4" s="1"/>
  <c r="B53" i="4"/>
  <c r="D53" i="4" s="1"/>
  <c r="B54" i="4"/>
  <c r="D54" i="4" s="1"/>
  <c r="B55" i="4"/>
  <c r="D55" i="4" s="1"/>
  <c r="B56" i="4"/>
  <c r="D56" i="4" s="1"/>
  <c r="B57" i="4"/>
  <c r="D57" i="4" s="1"/>
  <c r="B58" i="4"/>
  <c r="D58" i="4" s="1"/>
  <c r="B59" i="4"/>
  <c r="D59" i="4" s="1"/>
  <c r="B60" i="4"/>
  <c r="D60" i="4" s="1"/>
  <c r="B61" i="4"/>
  <c r="D61" i="4" s="1"/>
  <c r="B62" i="4"/>
  <c r="D62" i="4" s="1"/>
  <c r="B63" i="4"/>
  <c r="D63" i="4" s="1"/>
  <c r="B64" i="4"/>
  <c r="D64" i="4" s="1"/>
  <c r="B65" i="4"/>
  <c r="D65" i="4" s="1"/>
  <c r="B66" i="4"/>
  <c r="D66" i="4" s="1"/>
  <c r="B67" i="4"/>
  <c r="D67" i="4" s="1"/>
  <c r="B68" i="4"/>
  <c r="D68" i="4" s="1"/>
  <c r="B69" i="4"/>
  <c r="D69" i="4" s="1"/>
  <c r="B70" i="4"/>
  <c r="D70" i="4" s="1"/>
  <c r="B71" i="4"/>
  <c r="D71" i="4" s="1"/>
  <c r="B72" i="4"/>
  <c r="D72" i="4" s="1"/>
  <c r="B73" i="4"/>
  <c r="D73" i="4" s="1"/>
  <c r="B74" i="4"/>
  <c r="D74" i="4" s="1"/>
  <c r="B75" i="4"/>
  <c r="D75" i="4" s="1"/>
  <c r="B76" i="4"/>
  <c r="D76" i="4" s="1"/>
  <c r="B77" i="4"/>
  <c r="D77" i="4" s="1"/>
  <c r="B78" i="4"/>
  <c r="D78" i="4" s="1"/>
  <c r="B79" i="4"/>
  <c r="D79" i="4" s="1"/>
  <c r="B80" i="4"/>
  <c r="D80" i="4" s="1"/>
  <c r="B81" i="4"/>
  <c r="D81" i="4" s="1"/>
  <c r="B82" i="4"/>
  <c r="D82" i="4" s="1"/>
  <c r="B83" i="4"/>
  <c r="D83" i="4" s="1"/>
  <c r="B84" i="4"/>
  <c r="D84" i="4" s="1"/>
  <c r="B85" i="4"/>
  <c r="D85" i="4" s="1"/>
  <c r="B86" i="4"/>
  <c r="D86" i="4" s="1"/>
  <c r="B87" i="4"/>
  <c r="D87" i="4" s="1"/>
  <c r="B88" i="4"/>
  <c r="D88" i="4" s="1"/>
  <c r="B89" i="4"/>
  <c r="D89" i="4" s="1"/>
  <c r="B90" i="4"/>
  <c r="D90" i="4" s="1"/>
  <c r="B91" i="4"/>
  <c r="D91" i="4" s="1"/>
  <c r="B92" i="4"/>
  <c r="D92" i="4" s="1"/>
  <c r="B93" i="4"/>
  <c r="D93" i="4" s="1"/>
  <c r="B94" i="4"/>
  <c r="D94" i="4" s="1"/>
  <c r="B95" i="4"/>
  <c r="D95" i="4" s="1"/>
  <c r="B96" i="4"/>
  <c r="D96" i="4" s="1"/>
  <c r="B97" i="4"/>
  <c r="D97" i="4" s="1"/>
  <c r="B98" i="4"/>
  <c r="D98" i="4" s="1"/>
  <c r="B99" i="4"/>
  <c r="D99" i="4" s="1"/>
  <c r="B100" i="4"/>
  <c r="D100" i="4" s="1"/>
  <c r="B101" i="4"/>
  <c r="D101" i="4" s="1"/>
  <c r="B102" i="4"/>
  <c r="D102" i="4" s="1"/>
  <c r="B103" i="4"/>
  <c r="D103" i="4" s="1"/>
  <c r="D104" i="4"/>
</calcChain>
</file>

<file path=xl/sharedStrings.xml><?xml version="1.0" encoding="utf-8"?>
<sst xmlns="http://schemas.openxmlformats.org/spreadsheetml/2006/main" count="3568" uniqueCount="1295">
  <si>
    <t>Entity</t>
  </si>
  <si>
    <t>CA</t>
  </si>
  <si>
    <t>SA</t>
  </si>
  <si>
    <t>CR</t>
  </si>
  <si>
    <t>DC</t>
  </si>
  <si>
    <t>AC</t>
  </si>
  <si>
    <t>Business Unit</t>
  </si>
  <si>
    <t>BU 135</t>
  </si>
  <si>
    <t>BU 210</t>
  </si>
  <si>
    <t>BU 465</t>
  </si>
  <si>
    <t>BU 220</t>
  </si>
  <si>
    <t>Request type</t>
  </si>
  <si>
    <t>Actual Purchase</t>
  </si>
  <si>
    <t>Inquiry</t>
  </si>
  <si>
    <t>Item type - Primary</t>
  </si>
  <si>
    <t>Item type - Secondary</t>
  </si>
  <si>
    <t>Item type</t>
  </si>
  <si>
    <t>Material</t>
  </si>
  <si>
    <t>Spare parts</t>
  </si>
  <si>
    <t>General</t>
  </si>
  <si>
    <t>Service</t>
  </si>
  <si>
    <t>TPI &amp; Training services</t>
  </si>
  <si>
    <t>Rental Services</t>
  </si>
  <si>
    <t>Maintenance services</t>
  </si>
  <si>
    <t>ProjectID</t>
  </si>
  <si>
    <t>ProjectID Abb</t>
  </si>
  <si>
    <t>ProjectName</t>
  </si>
  <si>
    <t>Location</t>
  </si>
  <si>
    <t>Formula used</t>
  </si>
  <si>
    <t>J00000019</t>
  </si>
  <si>
    <t>Galfar - Habshan &amp; ASAB</t>
  </si>
  <si>
    <t>=TEXTJOIN(" | ", TRUE, [@ProjectID], [@[ProjectID Abb]], [@ProjectName])</t>
  </si>
  <si>
    <t>J00000044</t>
  </si>
  <si>
    <t>J00000046</t>
  </si>
  <si>
    <t>RAK Precast - Ras Al Khaimah FZ</t>
  </si>
  <si>
    <t>J00000047</t>
  </si>
  <si>
    <t>AMS220</t>
  </si>
  <si>
    <t>J00000071</t>
  </si>
  <si>
    <t>Robt. Stone - Habshan</t>
  </si>
  <si>
    <t>J00000102</t>
  </si>
  <si>
    <t>OFCO - Mina Free Port</t>
  </si>
  <si>
    <t>J00000114</t>
  </si>
  <si>
    <t>ADNOC LS - UZ and S</t>
  </si>
  <si>
    <t>J00000150</t>
  </si>
  <si>
    <t>Target Engineering - Arzanah Island</t>
  </si>
  <si>
    <t>J00000158</t>
  </si>
  <si>
    <t>NMDC - SIR BANIYAS BRIDGE WORKS PROJECT</t>
  </si>
  <si>
    <t>J00000161</t>
  </si>
  <si>
    <t>NMDC - Hudariyat</t>
  </si>
  <si>
    <t>J00000174</t>
  </si>
  <si>
    <t>NSH - Borouge 4</t>
  </si>
  <si>
    <t>J00000186</t>
  </si>
  <si>
    <t>NPCC - Musaffah Yard 300Te</t>
  </si>
  <si>
    <t>J00000191</t>
  </si>
  <si>
    <t>NMDC - Al Yasat Isl. 280Te</t>
  </si>
  <si>
    <t>J00000195</t>
  </si>
  <si>
    <t>Penta Global - Zirku Island</t>
  </si>
  <si>
    <t>J00000196</t>
  </si>
  <si>
    <t>Adnoc Drilling - Asseifiya Island</t>
  </si>
  <si>
    <t>J00000197</t>
  </si>
  <si>
    <t>NMDC - Taweelah Ramhan Project</t>
  </si>
  <si>
    <t>J00000201</t>
  </si>
  <si>
    <t>Motor Way General Transport - Mussafah onshore</t>
  </si>
  <si>
    <t>J00000204</t>
  </si>
  <si>
    <t>ST JV - Guggenheim Abu Dhabi</t>
  </si>
  <si>
    <t>J00000211</t>
  </si>
  <si>
    <t>Adnoc Drilling - Liwa</t>
  </si>
  <si>
    <t>J00000213</t>
  </si>
  <si>
    <t>Ali &amp; Sons - ASMEF Yard</t>
  </si>
  <si>
    <t>J00000218</t>
  </si>
  <si>
    <t>Denholm YSF - INEOS Project ICAD</t>
  </si>
  <si>
    <t>J00000224</t>
  </si>
  <si>
    <t>NBTC - Borouge</t>
  </si>
  <si>
    <t>J00000225</t>
  </si>
  <si>
    <t>Denholm Yam - Borouge Ruwais</t>
  </si>
  <si>
    <t>J00000229</t>
  </si>
  <si>
    <t>AMS BU135 - Internal rental</t>
  </si>
  <si>
    <t>J00000230</t>
  </si>
  <si>
    <t>Motorway - Hail &amp; Gasha</t>
  </si>
  <si>
    <t>J00000235</t>
  </si>
  <si>
    <t>Alas - Precast</t>
  </si>
  <si>
    <t>J00000237</t>
  </si>
  <si>
    <t>OFCO - Mugharraq Port</t>
  </si>
  <si>
    <t>J00000241</t>
  </si>
  <si>
    <t>Jan De Nul Dredging - Lightning Project</t>
  </si>
  <si>
    <t>J00000243</t>
  </si>
  <si>
    <t>Denholm Yam - Hail &amp; Gasha Onshore</t>
  </si>
  <si>
    <t>J00000244</t>
  </si>
  <si>
    <t>Jan De Nul Dredging - Omairah Island</t>
  </si>
  <si>
    <t>J00000246</t>
  </si>
  <si>
    <t>Jan De Nul Dredging - Dubai Water Front</t>
  </si>
  <si>
    <t>J00000248</t>
  </si>
  <si>
    <t>NSH - Hail &amp; Gasha Onshore</t>
  </si>
  <si>
    <t>J00000251</t>
  </si>
  <si>
    <t>ALAS - IMCC Yard</t>
  </si>
  <si>
    <t>J00000252</t>
  </si>
  <si>
    <t>Dhafir Technologies - Zirku Island</t>
  </si>
  <si>
    <t>J00000253</t>
  </si>
  <si>
    <t>TWMA - Gasha DC06 - Seebah Island</t>
  </si>
  <si>
    <t>J00000254</t>
  </si>
  <si>
    <t>TWMA - Assifiya Island</t>
  </si>
  <si>
    <t>J00000256</t>
  </si>
  <si>
    <t>Denholm Yam - Borouge 4 New Package</t>
  </si>
  <si>
    <t>J00000257</t>
  </si>
  <si>
    <t>Turbine - Sas Al Nakhl</t>
  </si>
  <si>
    <t>J00000258</t>
  </si>
  <si>
    <t>NMDC - Taziz Landing Project</t>
  </si>
  <si>
    <t>J00000259</t>
  </si>
  <si>
    <t>Motor Way - Taziz</t>
  </si>
  <si>
    <t>J00000261</t>
  </si>
  <si>
    <t>NMDC - Al Nawras</t>
  </si>
  <si>
    <t>J00000262</t>
  </si>
  <si>
    <t>Gulf Ready Mix - Hail &amp; Gasha Onshore</t>
  </si>
  <si>
    <t>J00000263</t>
  </si>
  <si>
    <t>Descon Engineering - Habshan 5</t>
  </si>
  <si>
    <t>J00000266</t>
  </si>
  <si>
    <t>Motorway - Shah Gas Expansion Project</t>
  </si>
  <si>
    <t>J00000268</t>
  </si>
  <si>
    <t>NMDC LTS - LNG – Ruwais</t>
  </si>
  <si>
    <t>J00000269</t>
  </si>
  <si>
    <t>NSH - Harvest Ammonia Project</t>
  </si>
  <si>
    <t>J00000270</t>
  </si>
  <si>
    <t>Sarens - H&amp;G Ruwais</t>
  </si>
  <si>
    <t>J00000271</t>
  </si>
  <si>
    <t>NSH - LNG Project Ruwais</t>
  </si>
  <si>
    <t>J00000272</t>
  </si>
  <si>
    <t>Roll Group - Test Weights &amp; Tray Mussafah</t>
  </si>
  <si>
    <t>J00000273</t>
  </si>
  <si>
    <t>Galfar - Mahani Sharjah</t>
  </si>
  <si>
    <t>J00000274</t>
  </si>
  <si>
    <t>NMDC - MERAM Habshan</t>
  </si>
  <si>
    <t>J00000275</t>
  </si>
  <si>
    <t>Penta Global - MEI Works Mussafah</t>
  </si>
  <si>
    <t>J00000276</t>
  </si>
  <si>
    <t>JDN - Palm Jebel Ali</t>
  </si>
  <si>
    <t>J00000277</t>
  </si>
  <si>
    <t>Falcor - Load Spreader Mats</t>
  </si>
  <si>
    <t>J00000278</t>
  </si>
  <si>
    <t>BAGC - Hail &amp; Gasha Onshore</t>
  </si>
  <si>
    <t>J00000279</t>
  </si>
  <si>
    <t>NPCC-SAIPEM jv - H&amp;G Package 1</t>
  </si>
  <si>
    <t>J00000280</t>
  </si>
  <si>
    <t>Cylingas - Habshan 5</t>
  </si>
  <si>
    <t>J00000281</t>
  </si>
  <si>
    <t>Al Jaber - H&amp;G Package 1</t>
  </si>
  <si>
    <t>J00000282</t>
  </si>
  <si>
    <t>Star Ocean - Bu Sikeen Island</t>
  </si>
  <si>
    <t>J00000283</t>
  </si>
  <si>
    <t>Eagle Ultra - Jabel Ali (Hire of Test Weights)</t>
  </si>
  <si>
    <t>R00000028</t>
  </si>
  <si>
    <t>Target DGD</t>
  </si>
  <si>
    <t>R00000043</t>
  </si>
  <si>
    <t>NMDC – NISI (Taweelah)</t>
  </si>
  <si>
    <t>R00000066</t>
  </si>
  <si>
    <t>Dredging International Saudi Arabia - Oxagon T2</t>
  </si>
  <si>
    <t>R00000074</t>
  </si>
  <si>
    <t>NPCC - Saudi Aramco KSA</t>
  </si>
  <si>
    <t>R00000078</t>
  </si>
  <si>
    <t>MBL - Jeddah</t>
  </si>
  <si>
    <t>R00000097</t>
  </si>
  <si>
    <t>NMDC - H&amp;G Island</t>
  </si>
  <si>
    <t>R00000100</t>
  </si>
  <si>
    <t>COWC - Port works Barbados</t>
  </si>
  <si>
    <t>R00000109</t>
  </si>
  <si>
    <t>DMC - Ras Laffan</t>
  </si>
  <si>
    <t>R00000111</t>
  </si>
  <si>
    <t>NMDC - TAZIZ Logistics Project / Port Package</t>
  </si>
  <si>
    <t>R00000112</t>
  </si>
  <si>
    <t>Archirodon - M1 Project - Umluj</t>
  </si>
  <si>
    <t>R00000118</t>
  </si>
  <si>
    <t>Target - Wave Project</t>
  </si>
  <si>
    <t>R00000123</t>
  </si>
  <si>
    <t>SAIPEM - Hail &amp; Gasha</t>
  </si>
  <si>
    <t>R00000124</t>
  </si>
  <si>
    <t>Target - Al Sahil Project</t>
  </si>
  <si>
    <t>R00000128</t>
  </si>
  <si>
    <t>DAEWOO - Immersed Tunnel Iraq</t>
  </si>
  <si>
    <t>R00000135</t>
  </si>
  <si>
    <t>Van Oord - Umm Suqeim</t>
  </si>
  <si>
    <t>R00000136</t>
  </si>
  <si>
    <t>R00000138</t>
  </si>
  <si>
    <t>Masirah - LNG Sur</t>
  </si>
  <si>
    <t>R00000147</t>
  </si>
  <si>
    <t>NMDC - Ruwais LNG</t>
  </si>
  <si>
    <t>R00000148</t>
  </si>
  <si>
    <t>NMDC - Zirku Project</t>
  </si>
  <si>
    <t>R00000150</t>
  </si>
  <si>
    <t>Van Oord - Pipavav, India</t>
  </si>
  <si>
    <t>R00000151</t>
  </si>
  <si>
    <t>R00000154</t>
  </si>
  <si>
    <t>PLC - Umm Suqeim</t>
  </si>
  <si>
    <t>R00000155</t>
  </si>
  <si>
    <t>TWMA - H&amp;G GOP</t>
  </si>
  <si>
    <t>R00000156</t>
  </si>
  <si>
    <t>ITD Cementation - Ruwais LNG</t>
  </si>
  <si>
    <t>R00000159</t>
  </si>
  <si>
    <t>DCS - Baitha Qassem</t>
  </si>
  <si>
    <t>R00000160</t>
  </si>
  <si>
    <t>AL QARYAN - Al Khobar</t>
  </si>
  <si>
    <t>R00000161</t>
  </si>
  <si>
    <t>TARGET - Mina Port</t>
  </si>
  <si>
    <t>R00000162</t>
  </si>
  <si>
    <t>JIATAI Contracting - Al Sila Port</t>
  </si>
  <si>
    <t>R00000163</t>
  </si>
  <si>
    <t>AL QARYAN - Shuaibah</t>
  </si>
  <si>
    <t>R00000164</t>
  </si>
  <si>
    <t>NMDC - Ghantoot Ora-Bayn Phase 1</t>
  </si>
  <si>
    <t>R00000165</t>
  </si>
  <si>
    <t>ALEC - The Sphere</t>
  </si>
  <si>
    <t>R00000166</t>
  </si>
  <si>
    <t>NMDC - Khalifa Port</t>
  </si>
  <si>
    <t>ICAD III</t>
  </si>
  <si>
    <t>Abu dhabi</t>
  </si>
  <si>
    <t>dataAreaId</t>
  </si>
  <si>
    <t>DimensionDisplayValue</t>
  </si>
  <si>
    <t>ParentProject</t>
  </si>
  <si>
    <t>ProjectStage</t>
  </si>
  <si>
    <t>ProjectID_Name</t>
  </si>
  <si>
    <t>Formulas used</t>
  </si>
  <si>
    <t>ca</t>
  </si>
  <si>
    <t>1 Direct Labor_01</t>
  </si>
  <si>
    <t>--1 Direct Labor_01----</t>
  </si>
  <si>
    <t>1 Direct Labor</t>
  </si>
  <si>
    <t>InProcess</t>
  </si>
  <si>
    <t>Salary</t>
  </si>
  <si>
    <t>1 Direct Labor_02</t>
  </si>
  <si>
    <t>--1 Direct Labor_02----</t>
  </si>
  <si>
    <t>Extralegal</t>
  </si>
  <si>
    <t>1 Direct Labor_02_01</t>
  </si>
  <si>
    <t>Extralegal fuel</t>
  </si>
  <si>
    <t>1 Direct Labor_02_02</t>
  </si>
  <si>
    <t>Rental private cars</t>
  </si>
  <si>
    <t>=TEXTJOIN(" | ", TRUE, T_PROJECTS[@ProjectID], T_PROJECTS[@ProjectName])</t>
  </si>
  <si>
    <t>1 Direct Labor_03</t>
  </si>
  <si>
    <t>--1 Direct Labor_03----</t>
  </si>
  <si>
    <t>Insurance</t>
  </si>
  <si>
    <t>1 Direct Labor_04</t>
  </si>
  <si>
    <t>--1 Direct Labor_04----</t>
  </si>
  <si>
    <t>Travel</t>
  </si>
  <si>
    <t>1 Direct Labor_05</t>
  </si>
  <si>
    <t>--1 Direct Labor_05----</t>
  </si>
  <si>
    <t>Training</t>
  </si>
  <si>
    <t>1 Direct Labor_06</t>
  </si>
  <si>
    <t>--1 Direct Labor_06----</t>
  </si>
  <si>
    <t>Temporary staff</t>
  </si>
  <si>
    <t>1 Direct Labor_07</t>
  </si>
  <si>
    <t>--1 Direct Labor_07----</t>
  </si>
  <si>
    <t>Personal Protection Equipment (PPE)</t>
  </si>
  <si>
    <t>1 Equipment_01_01</t>
  </si>
  <si>
    <t>-210-1 Equipment_01_01----</t>
  </si>
  <si>
    <t>1 Equipment_01</t>
  </si>
  <si>
    <t>Maintenance &amp; repair AMS Cranes</t>
  </si>
  <si>
    <t>1 Equipment_02</t>
  </si>
  <si>
    <t>--1 Equipment_02----</t>
  </si>
  <si>
    <t>1 Equipment</t>
  </si>
  <si>
    <t>Fuel</t>
  </si>
  <si>
    <t>1 Equipment_03</t>
  </si>
  <si>
    <t>--1 Equipment_03----</t>
  </si>
  <si>
    <t>1 Equipment_05</t>
  </si>
  <si>
    <t>--1 Equipment_05----</t>
  </si>
  <si>
    <t>Rent</t>
  </si>
  <si>
    <t>1 Equipment_06</t>
  </si>
  <si>
    <t>--1 Equipment_06----</t>
  </si>
  <si>
    <t>Intrest</t>
  </si>
  <si>
    <t>1 Equipment_07</t>
  </si>
  <si>
    <t>--1 Equipment_07----</t>
  </si>
  <si>
    <t>Depreciation</t>
  </si>
  <si>
    <t>1 Equipment_08</t>
  </si>
  <si>
    <t>--1 Equipment_08----</t>
  </si>
  <si>
    <t>Taxes (incl. Duties)</t>
  </si>
  <si>
    <t>1 Equipment_09</t>
  </si>
  <si>
    <t>--1 Equipment_09----</t>
  </si>
  <si>
    <t>Technical inspection</t>
  </si>
  <si>
    <t>1 Equipment_10</t>
  </si>
  <si>
    <t>--1 Equipment_10----</t>
  </si>
  <si>
    <t>Off-balance rent</t>
  </si>
  <si>
    <t>1 Overhead_01</t>
  </si>
  <si>
    <t>-210-1 Overhead_01----</t>
  </si>
  <si>
    <t>1 Overhead</t>
  </si>
  <si>
    <t>Communication</t>
  </si>
  <si>
    <t>1 Overhead_02</t>
  </si>
  <si>
    <t>-210-1 Overhead_02----</t>
  </si>
  <si>
    <t>Facilities</t>
  </si>
  <si>
    <t>1 Overhead_06</t>
  </si>
  <si>
    <t>-210-1 Overhead_06----</t>
  </si>
  <si>
    <t>Legal</t>
  </si>
  <si>
    <t>1 Overhead_06_01</t>
  </si>
  <si>
    <t>-210-1 Overhead_06_01----</t>
  </si>
  <si>
    <t>Legal general</t>
  </si>
  <si>
    <t>1 Overhead_06_02</t>
  </si>
  <si>
    <t>-210-1 Overhead_06_02----</t>
  </si>
  <si>
    <t>Legal insurance</t>
  </si>
  <si>
    <t>1 Overhead_07</t>
  </si>
  <si>
    <t>-210-1 Overhead_07----</t>
  </si>
  <si>
    <t>Management</t>
  </si>
  <si>
    <t>1 Overhead_10</t>
  </si>
  <si>
    <t>-210-1 Overhead_10----</t>
  </si>
  <si>
    <t>QESH</t>
  </si>
  <si>
    <t>1 Overhead_11</t>
  </si>
  <si>
    <t>-210-1 Overhead_11----</t>
  </si>
  <si>
    <t>1 Overhead_12</t>
  </si>
  <si>
    <t>-210-1 Overhead_12----</t>
  </si>
  <si>
    <t>Sales</t>
  </si>
  <si>
    <t>1 Overhead_13</t>
  </si>
  <si>
    <t>-210-1 Overhead_13----</t>
  </si>
  <si>
    <t>Marketing</t>
  </si>
  <si>
    <t>1 Overhead_15</t>
  </si>
  <si>
    <t>-210-1 Overhead_15----</t>
  </si>
  <si>
    <t>White collars</t>
  </si>
  <si>
    <t>1 Overhead_15_01</t>
  </si>
  <si>
    <t>-210-1 Overhead_15_01----</t>
  </si>
  <si>
    <t>1 Overhead_15_02</t>
  </si>
  <si>
    <t>-210-1 Overhead_15_02----</t>
  </si>
  <si>
    <t>1 Overhead_15_02_02</t>
  </si>
  <si>
    <t>-210-1 Overhead_15_02_02----</t>
  </si>
  <si>
    <t>1 Overhead_15_03</t>
  </si>
  <si>
    <t>-210-1 Overhead_15_03----</t>
  </si>
  <si>
    <t>1 Overhead_15_04</t>
  </si>
  <si>
    <t>-210-1 Overhead_15_04----</t>
  </si>
  <si>
    <t>Travel &amp; entertainment</t>
  </si>
  <si>
    <t>1 Overhead_15_05</t>
  </si>
  <si>
    <t>-210-1 Overhead_15_05----</t>
  </si>
  <si>
    <t>1 Overhead_15_06</t>
  </si>
  <si>
    <t>-210-1 Overhead_15_06----</t>
  </si>
  <si>
    <t>1 Overhead_15_07</t>
  </si>
  <si>
    <t>-210-1 Overhead_15_07----</t>
  </si>
  <si>
    <t>1 Overhead_15_08</t>
  </si>
  <si>
    <t>-210-1 Overhead_15_08----</t>
  </si>
  <si>
    <t>Other</t>
  </si>
  <si>
    <t>1 Overhead_18</t>
  </si>
  <si>
    <t>-210-1 Overhead_18----</t>
  </si>
  <si>
    <t>Treasury</t>
  </si>
  <si>
    <t>1 Overhead_19</t>
  </si>
  <si>
    <t>-210-1 Overhead_19----</t>
  </si>
  <si>
    <t>Taxes</t>
  </si>
  <si>
    <t>1 Overhead_20</t>
  </si>
  <si>
    <t>-210-1 Overhead_20----</t>
  </si>
  <si>
    <t>Non-assignable</t>
  </si>
  <si>
    <t>1 Overhead_21</t>
  </si>
  <si>
    <t>-210-1 Overhead_21----</t>
  </si>
  <si>
    <t>-210-J00000019----</t>
  </si>
  <si>
    <t> </t>
  </si>
  <si>
    <t>-210-J00000044----</t>
  </si>
  <si>
    <t>-210-J00000046----</t>
  </si>
  <si>
    <t>1 Overhead_02_23</t>
  </si>
  <si>
    <t>-210-1 Overhead_02_23----</t>
  </si>
  <si>
    <t>FAC AMS ICAD</t>
  </si>
  <si>
    <t>1 Overhead_03_09</t>
  </si>
  <si>
    <t>-210-1 Overhead_03_09----</t>
  </si>
  <si>
    <t>1 Overhead_03</t>
  </si>
  <si>
    <t>Finance &amp; Controlling AMS</t>
  </si>
  <si>
    <t>1 Overhead_04_09</t>
  </si>
  <si>
    <t>-210-1 Overhead_04_09----</t>
  </si>
  <si>
    <t>1 Overhead_04</t>
  </si>
  <si>
    <t>HR AMS</t>
  </si>
  <si>
    <t>1 Overhead_08_10</t>
  </si>
  <si>
    <t>-210-1 Overhead_08_10----</t>
  </si>
  <si>
    <t>1 Overhead_08</t>
  </si>
  <si>
    <t>Office management AMS</t>
  </si>
  <si>
    <t>-220-J00000047--99-999-</t>
  </si>
  <si>
    <t>1 Direct Labor_02_03</t>
  </si>
  <si>
    <t>Housing</t>
  </si>
  <si>
    <t>1 Direct Labor_02_04</t>
  </si>
  <si>
    <t>Utilities</t>
  </si>
  <si>
    <t>1 Direct Labor_02_07</t>
  </si>
  <si>
    <t>Laundry service</t>
  </si>
  <si>
    <t>1 Overhead_04_90</t>
  </si>
  <si>
    <t>--1 Overhead_04_90----</t>
  </si>
  <si>
    <t>HR Recruitment</t>
  </si>
  <si>
    <t>1 Direct Labor_08</t>
  </si>
  <si>
    <t>--1 Direct Labor_08----</t>
  </si>
  <si>
    <t>-210-J00000071--99-999-</t>
  </si>
  <si>
    <t>1 Direct Labor_02_08</t>
  </si>
  <si>
    <t>Food</t>
  </si>
  <si>
    <t>1 Direct Labor_02_09</t>
  </si>
  <si>
    <t>Visa &amp; licenses</t>
  </si>
  <si>
    <t>-210-J00000102--99-999-</t>
  </si>
  <si>
    <t>1 Overhead_26</t>
  </si>
  <si>
    <t>-210-1 Overhead_26----</t>
  </si>
  <si>
    <t>IT</t>
  </si>
  <si>
    <t>1 Equipment_00</t>
  </si>
  <si>
    <t>-210-1 Equipment_00----</t>
  </si>
  <si>
    <t>AMS Internal</t>
  </si>
  <si>
    <t>1 Equipment_01_02</t>
  </si>
  <si>
    <t>-135-1 Equipment_01_02----</t>
  </si>
  <si>
    <t>Maintenance &amp; repair Earth Works</t>
  </si>
  <si>
    <t>1 Equipment_04_01</t>
  </si>
  <si>
    <t>-210-1 Equipment_04_01----</t>
  </si>
  <si>
    <t>1 Equipment_04</t>
  </si>
  <si>
    <t>Assets non depreciated AMS Cranes</t>
  </si>
  <si>
    <t>1 Equipment_04_02</t>
  </si>
  <si>
    <t>-135-1 Equipment_04_02----</t>
  </si>
  <si>
    <t>Assets non depreciated Earth Works</t>
  </si>
  <si>
    <t>1 Overhead_15_02_03</t>
  </si>
  <si>
    <t>-210-1 Overhead_15_02_03----</t>
  </si>
  <si>
    <t>1 Overhead_15_02_04</t>
  </si>
  <si>
    <t>-210-1 Overhead_15_02_04----</t>
  </si>
  <si>
    <t>1 Overhead_15_02_05</t>
  </si>
  <si>
    <t>-210-1 Overhead_15_02_05----</t>
  </si>
  <si>
    <t>School fees</t>
  </si>
  <si>
    <t>1 Overhead_15_02_06</t>
  </si>
  <si>
    <t>-210-1 Overhead_15_02_06----</t>
  </si>
  <si>
    <t>Child allowance</t>
  </si>
  <si>
    <t>1 Overhead_15_02_07</t>
  </si>
  <si>
    <t>-210-1 Overhead_15_02_07----</t>
  </si>
  <si>
    <t>1 Overhead_15_02_08</t>
  </si>
  <si>
    <t>-210-1 Overhead_15_02_08----</t>
  </si>
  <si>
    <t>1 Overhead_15_02_09</t>
  </si>
  <si>
    <t>-210-1 Overhead_15_02_09----</t>
  </si>
  <si>
    <t>Visa &amp; Licenses</t>
  </si>
  <si>
    <t>1 Equipment_11_01</t>
  </si>
  <si>
    <t>-210-1 Equipment_11_01----</t>
  </si>
  <si>
    <t>1 Equipment_11</t>
  </si>
  <si>
    <t>Transport AMS Cranes</t>
  </si>
  <si>
    <t>1 Equipment_11_02</t>
  </si>
  <si>
    <t>-135-1 Equipment_11_02----</t>
  </si>
  <si>
    <t>Transport Earth Works</t>
  </si>
  <si>
    <t>-210-J00000114--99-999-</t>
  </si>
  <si>
    <t>Workshop EM</t>
  </si>
  <si>
    <t>-135-Workshop EM----</t>
  </si>
  <si>
    <t>Workshop EM_01</t>
  </si>
  <si>
    <t>-135-Workshop EM_01----</t>
  </si>
  <si>
    <t>Maintenance &amp; Repair</t>
  </si>
  <si>
    <t>Workshop EM_02</t>
  </si>
  <si>
    <t>-135-Workshop EM_02----</t>
  </si>
  <si>
    <t>Workshop EM_03</t>
  </si>
  <si>
    <t>-135-Workshop EM_03----</t>
  </si>
  <si>
    <t>Workshop EM_04</t>
  </si>
  <si>
    <t>-135-Workshop EM_04----</t>
  </si>
  <si>
    <t>Assets non depreciated</t>
  </si>
  <si>
    <t>Workshop EM_05</t>
  </si>
  <si>
    <t>-135-Workshop EM_05----</t>
  </si>
  <si>
    <t>Workshop EM_06</t>
  </si>
  <si>
    <t>-135-Workshop EM_06----</t>
  </si>
  <si>
    <t>Workshop EM_07</t>
  </si>
  <si>
    <t>-135-Workshop EM_07----</t>
  </si>
  <si>
    <t>Workshop EM_08</t>
  </si>
  <si>
    <t>-135-Workshop EM_08----</t>
  </si>
  <si>
    <t>Workshop EM_09</t>
  </si>
  <si>
    <t>-135-Workshop EM_09----</t>
  </si>
  <si>
    <t>Workshop EM_10</t>
  </si>
  <si>
    <t>-135-Workshop EM_10----</t>
  </si>
  <si>
    <t>Workshop EM_11</t>
  </si>
  <si>
    <t>-135-Workshop EM_11----</t>
  </si>
  <si>
    <t>Transport</t>
  </si>
  <si>
    <t>Workshop EM_12</t>
  </si>
  <si>
    <t>-135-Workshop EM_12----</t>
  </si>
  <si>
    <t>Personnel</t>
  </si>
  <si>
    <t>Workshop EM_12_01</t>
  </si>
  <si>
    <t>-135-Workshop EM_12_01----</t>
  </si>
  <si>
    <t>Workshop EM_12_02</t>
  </si>
  <si>
    <t>-135-Workshop EM_12_02----</t>
  </si>
  <si>
    <t>Workshop EM_12_02_01</t>
  </si>
  <si>
    <t>-135-Workshop EM_12_02_01----</t>
  </si>
  <si>
    <t>Workshop EM_12_02_02</t>
  </si>
  <si>
    <t>-135-Workshop EM_12_02_02----</t>
  </si>
  <si>
    <t>Workshop EM_12_02_03</t>
  </si>
  <si>
    <t>-135-Workshop EM_12_02_03----</t>
  </si>
  <si>
    <t>Workshop EM_12_02_04</t>
  </si>
  <si>
    <t>-135-Workshop EM_12_02_04----</t>
  </si>
  <si>
    <t>Workshop EM_12_02_05</t>
  </si>
  <si>
    <t>-135-Workshop EM_12_02_05----</t>
  </si>
  <si>
    <t>Workshop EM_12_02_06</t>
  </si>
  <si>
    <t>-135-Workshop EM_12_02_06----</t>
  </si>
  <si>
    <t>Workshop EM_12_02_07</t>
  </si>
  <si>
    <t>-135-Workshop EM_12_02_07----</t>
  </si>
  <si>
    <t>Workshop EM_12_02_08</t>
  </si>
  <si>
    <t>-135-Workshop EM_12_02_08----</t>
  </si>
  <si>
    <t>Workshop EM_12_02_09</t>
  </si>
  <si>
    <t>-135-Workshop EM_12_02_09----</t>
  </si>
  <si>
    <t>Visa &amp; licences</t>
  </si>
  <si>
    <t>Workshop EM_12_03</t>
  </si>
  <si>
    <t>-135-Workshop EM_12_03----</t>
  </si>
  <si>
    <t>Workshop EM_12_04</t>
  </si>
  <si>
    <t>-135-Workshop EM_12_04----</t>
  </si>
  <si>
    <t>Workshop EM_12_05</t>
  </si>
  <si>
    <t>-135-Workshop EM_12_05----</t>
  </si>
  <si>
    <t>Workshop EM_12_06</t>
  </si>
  <si>
    <t>-135-Workshop EM_12_06----</t>
  </si>
  <si>
    <t>Temporary Staff</t>
  </si>
  <si>
    <t>Workshop EM_12_07</t>
  </si>
  <si>
    <t>-135-Workshop EM_12_07----</t>
  </si>
  <si>
    <t>Personel Protection Equipment (PPE)</t>
  </si>
  <si>
    <t>Workshop EM_12_08</t>
  </si>
  <si>
    <t>-135-Workshop EM_12_08----</t>
  </si>
  <si>
    <t>EMWYard</t>
  </si>
  <si>
    <t>-135-EMWYard--99-999-</t>
  </si>
  <si>
    <t>EMW Yard - Clean up</t>
  </si>
  <si>
    <t>-135-R00000028--99-999-</t>
  </si>
  <si>
    <t>-210-J00000150--99-999-</t>
  </si>
  <si>
    <t>-210-J00000158--99-999-</t>
  </si>
  <si>
    <t>-210-J00000161--99-999-</t>
  </si>
  <si>
    <t>-210-J00000174--99-999-</t>
  </si>
  <si>
    <t>-210-J00000186--99-999-</t>
  </si>
  <si>
    <t>-210-J00000191--99-999-</t>
  </si>
  <si>
    <t>1 Overhead_02_42</t>
  </si>
  <si>
    <t>-135-1 Overhead_02_42----</t>
  </si>
  <si>
    <t>AMS AD Workshop + office</t>
  </si>
  <si>
    <t>2 Project_02</t>
  </si>
  <si>
    <t>-135-2 Project_02--99-999-</t>
  </si>
  <si>
    <t>AMS AD</t>
  </si>
  <si>
    <t>-135-R00000043--99-999-</t>
  </si>
  <si>
    <t>-210-J00000195--99-999-</t>
  </si>
  <si>
    <t>J_Yard</t>
  </si>
  <si>
    <t>-210-J_Yard----</t>
  </si>
  <si>
    <t>J_Yard (operator hrs Yard)</t>
  </si>
  <si>
    <t>J_Workshop</t>
  </si>
  <si>
    <t>-210-J_Workshop----</t>
  </si>
  <si>
    <t>J_Workshop (mechanic hrs Yard)</t>
  </si>
  <si>
    <t>R_Yard</t>
  </si>
  <si>
    <t>-135-R_Yard----</t>
  </si>
  <si>
    <t>R_Yard (operator hrs Yard)</t>
  </si>
  <si>
    <t>R_Workshop</t>
  </si>
  <si>
    <t>-135-R_Workshop----</t>
  </si>
  <si>
    <t>R_Workshop (mechanic hrs Yard)</t>
  </si>
  <si>
    <t>-210-J00000196--99-999-</t>
  </si>
  <si>
    <t>-210-J00000197--99-999-</t>
  </si>
  <si>
    <t>-210-J00000201--99-999-</t>
  </si>
  <si>
    <t>-210-J00000204--99-999-</t>
  </si>
  <si>
    <t>-210-J00000211--99-999-</t>
  </si>
  <si>
    <t>-210-J00000213--99-999-</t>
  </si>
  <si>
    <t>-210-J00000218--99-999-</t>
  </si>
  <si>
    <t>-135-R00000066----</t>
  </si>
  <si>
    <t>-210-J00000224--99-999-</t>
  </si>
  <si>
    <t>-210-J00000225--99-999-</t>
  </si>
  <si>
    <t>-210-J00000229--AC-999-</t>
  </si>
  <si>
    <t>-210-J00000230--99-999-</t>
  </si>
  <si>
    <t>1 Equipment_01_03</t>
  </si>
  <si>
    <t>-465-1 Equipment_01_03--99-999-</t>
  </si>
  <si>
    <t>Maintenance &amp; repair Shared Service</t>
  </si>
  <si>
    <t>CR Workshop</t>
  </si>
  <si>
    <t>-210-CR Workshop--99-999-</t>
  </si>
  <si>
    <t>CR Workshop_01</t>
  </si>
  <si>
    <t>-210-CR Workshop_01--99-999-</t>
  </si>
  <si>
    <t>CR Workshop_02</t>
  </si>
  <si>
    <t>-210-CR Workshop_02--99-999-</t>
  </si>
  <si>
    <t>CR Workshop_03</t>
  </si>
  <si>
    <t>-210-CR Workshop_03--99-999-</t>
  </si>
  <si>
    <t>CR Workshop_04</t>
  </si>
  <si>
    <t>-210-CR Workshop_04--99-999-</t>
  </si>
  <si>
    <t>CR Workshop_05</t>
  </si>
  <si>
    <t>-210-CR Workshop_05--99-999-</t>
  </si>
  <si>
    <t>CR Workshop_06</t>
  </si>
  <si>
    <t>-210-CR Workshop_06--99-999-</t>
  </si>
  <si>
    <t>CR Workshop_07</t>
  </si>
  <si>
    <t>-210-CR Workshop_07--99-999-</t>
  </si>
  <si>
    <t>CR Workshop_08</t>
  </si>
  <si>
    <t>-210-CR Workshop_08--99-999-</t>
  </si>
  <si>
    <t>CR Workshop_09</t>
  </si>
  <si>
    <t>-210-CR Workshop_09--99-999-</t>
  </si>
  <si>
    <t>CR Workshop_10</t>
  </si>
  <si>
    <t>-210-CR Workshop_10--99-999-</t>
  </si>
  <si>
    <t>CR Workshop_11</t>
  </si>
  <si>
    <t>-210-CR Workshop_11--99-999-</t>
  </si>
  <si>
    <t>CR Workshop_12</t>
  </si>
  <si>
    <t>-210-CR Workshop_12--99-999-</t>
  </si>
  <si>
    <t>CR Workshop_12_01</t>
  </si>
  <si>
    <t>-210-CR Workshop_12_01--99-999-</t>
  </si>
  <si>
    <t>CR Workshop_12_02</t>
  </si>
  <si>
    <t>-210-CR Workshop_12_02--99-999-</t>
  </si>
  <si>
    <t>CR Workshop_12_03</t>
  </si>
  <si>
    <t>-210-CR Workshop_12_03--99-999-</t>
  </si>
  <si>
    <t>CR Workshop_12_04</t>
  </si>
  <si>
    <t>-210-CR Workshop_12_04--99-999-</t>
  </si>
  <si>
    <t>CR Workshop_12_05</t>
  </si>
  <si>
    <t>-210-CR Workshop_12_05--99-999-</t>
  </si>
  <si>
    <t>CR Workshop_12_06</t>
  </si>
  <si>
    <t>-210-CR Workshop_12_06--99-999-</t>
  </si>
  <si>
    <t>CR Workshop_12_07</t>
  </si>
  <si>
    <t>-210-CR Workshop_12_07--99-999-</t>
  </si>
  <si>
    <t>CR Workshop_12_08</t>
  </si>
  <si>
    <t>-210-CR Workshop_12_08--99-999-</t>
  </si>
  <si>
    <t>CR Workshop_12_02_01</t>
  </si>
  <si>
    <t>-210-CR Workshop_12_02_01--99-999-</t>
  </si>
  <si>
    <t>CR Workshop_12_02_02</t>
  </si>
  <si>
    <t>-210-CR Workshop_12_02_02--99-999-</t>
  </si>
  <si>
    <t>CR Workshop_12_02_03</t>
  </si>
  <si>
    <t>-210-CR Workshop_12_02_03--99-999-</t>
  </si>
  <si>
    <t>CR Workshop_12_02_04</t>
  </si>
  <si>
    <t>-210-CR Workshop_12_02_04--99-999-</t>
  </si>
  <si>
    <t>CR Workshop_12_02_05</t>
  </si>
  <si>
    <t>-210-CR Workshop_12_02_05--99-999-</t>
  </si>
  <si>
    <t>CR Workshop_12_02_06</t>
  </si>
  <si>
    <t>-210-CR Workshop_12_02_06--99-999-</t>
  </si>
  <si>
    <t>CR Workshop_12_02_07</t>
  </si>
  <si>
    <t>-210-CR Workshop_12_02_07--99-999-</t>
  </si>
  <si>
    <t>CR Workshop_12_02_08</t>
  </si>
  <si>
    <t>-210-CR Workshop_12_02_08--99-999-</t>
  </si>
  <si>
    <t>CR Workshop_12_02_09</t>
  </si>
  <si>
    <t>-210-CR Workshop_12_02_09--99-999-</t>
  </si>
  <si>
    <t>-135-R00000074--99-999-</t>
  </si>
  <si>
    <t>-210-J00000235--99-999-</t>
  </si>
  <si>
    <t>-210-J00000237--99-999-</t>
  </si>
  <si>
    <t>-135-R00000078--99-999-</t>
  </si>
  <si>
    <t>-210-J00000241--99-999-</t>
  </si>
  <si>
    <t>ETR-1162</t>
  </si>
  <si>
    <t>-485-ETR\-1162----</t>
  </si>
  <si>
    <t>Trading asset ETR-1162  CAT D8R</t>
  </si>
  <si>
    <t>ETR-1163</t>
  </si>
  <si>
    <t>-485-ETR\-1163----</t>
  </si>
  <si>
    <t>Trading asset ETR-1163 EX1200-6 raiser kit</t>
  </si>
  <si>
    <t>-210-J00000243--99-999-</t>
  </si>
  <si>
    <t>-210-J00000244--99-999-</t>
  </si>
  <si>
    <t>-210-J00000246--99-999-</t>
  </si>
  <si>
    <t>-135-R00000097--99-999-</t>
  </si>
  <si>
    <t>Workshop EM_13</t>
  </si>
  <si>
    <t>-135-Workshop EM_13----</t>
  </si>
  <si>
    <t>Batam</t>
  </si>
  <si>
    <t>-135-R00000100--99-999-</t>
  </si>
  <si>
    <t>-210-J00000248--99-999-</t>
  </si>
  <si>
    <t>-135-R00000104--99-999-</t>
  </si>
  <si>
    <t>-210-J00000251--99-999-</t>
  </si>
  <si>
    <t>-210-J00000252--99-999-</t>
  </si>
  <si>
    <t>-210-J00000253--99-999-</t>
  </si>
  <si>
    <t>-210-J00000254--99-999-</t>
  </si>
  <si>
    <t>-135-R00000111--99-999-</t>
  </si>
  <si>
    <t>-135-R00000112--99-999-</t>
  </si>
  <si>
    <t>-210-J00000256--99-999-</t>
  </si>
  <si>
    <t>-210-J00000257--99-999-</t>
  </si>
  <si>
    <t>-210-J00000258--99-999-</t>
  </si>
  <si>
    <t>-135-R00000118--99-999-</t>
  </si>
  <si>
    <t>-210-J00000259--99-999-</t>
  </si>
  <si>
    <t>-135-R00000119--99-999-</t>
  </si>
  <si>
    <t>-135-R00000109--99-999-</t>
  </si>
  <si>
    <t>-135-R00000120--99-999-</t>
  </si>
  <si>
    <t>-210-J00000261--99-999-</t>
  </si>
  <si>
    <t>-210-J00000262--99-999-</t>
  </si>
  <si>
    <t>-210-J00000263--99-999-</t>
  </si>
  <si>
    <t>-135-R00000123--99-999-</t>
  </si>
  <si>
    <t>-135-R00000124--99-999-</t>
  </si>
  <si>
    <t>-210-J00000266--99-999-</t>
  </si>
  <si>
    <t>-135-R00000128--99-999-</t>
  </si>
  <si>
    <t>T00000001</t>
  </si>
  <si>
    <t>-135-T00000001--99-999-</t>
  </si>
  <si>
    <t>AMS EM - Special External Transportation</t>
  </si>
  <si>
    <t>-210-J00000268--99-999-</t>
  </si>
  <si>
    <t>-210-J00000269--99-999-</t>
  </si>
  <si>
    <t>-135-R00000135--99-999-</t>
  </si>
  <si>
    <t>-135-R00000136--99-999-</t>
  </si>
  <si>
    <t>R90000000</t>
  </si>
  <si>
    <t>-135-R90000000--99-999-</t>
  </si>
  <si>
    <t>EM Training Yard</t>
  </si>
  <si>
    <t>-210-J00000270--99-999-</t>
  </si>
  <si>
    <t>R_Standby</t>
  </si>
  <si>
    <t>-135-R_Standby----</t>
  </si>
  <si>
    <t>R_Standby (operators hrs Standby)</t>
  </si>
  <si>
    <t>-135-R00000140--99-999-</t>
  </si>
  <si>
    <t>-135-R00000141--99-999-</t>
  </si>
  <si>
    <t>ETR-1196</t>
  </si>
  <si>
    <t>-485-ETR\-1196----</t>
  </si>
  <si>
    <t>Trading asset 1196 - CAT D8T</t>
  </si>
  <si>
    <t>-210-J00000271--99-999-</t>
  </si>
  <si>
    <t>-210-J00000272--99-999-</t>
  </si>
  <si>
    <t>-135-R00000139--99-999-</t>
  </si>
  <si>
    <t>2 Project_02_42_03</t>
  </si>
  <si>
    <t>-135-2 Project_02_42_03--99-999-</t>
  </si>
  <si>
    <t>2 Project_02_42</t>
  </si>
  <si>
    <t>AD Floor Office UAE</t>
  </si>
  <si>
    <t>-210-J00000273--99-999-</t>
  </si>
  <si>
    <t>-210-J00000274--99-999-</t>
  </si>
  <si>
    <t>-135-R00000143--99-999-</t>
  </si>
  <si>
    <t>-210-J00000275--99-999-</t>
  </si>
  <si>
    <t>-135-R00000147--99-999-</t>
  </si>
  <si>
    <t>-135-R00000148--99-999-</t>
  </si>
  <si>
    <t>-135-R00000151--99-999-</t>
  </si>
  <si>
    <t>-135-R00000138--99-999-</t>
  </si>
  <si>
    <t>-210-J00000276--99-999-</t>
  </si>
  <si>
    <t>-210-J00000277--99-999-</t>
  </si>
  <si>
    <t>-210-J00000278--99-999-</t>
  </si>
  <si>
    <t>-135-R00000153--99-999-</t>
  </si>
  <si>
    <t>-135-R00000154--99-999-</t>
  </si>
  <si>
    <t>-210-J00000279--99-999-</t>
  </si>
  <si>
    <t>-135-R00000155--99-999-</t>
  </si>
  <si>
    <t>-135-R00000156--99-999-</t>
  </si>
  <si>
    <t>-135-R00000157--99-999-</t>
  </si>
  <si>
    <t>1 Equipment_04_03</t>
  </si>
  <si>
    <t>-465-1 Equipment_04_03--99-999-</t>
  </si>
  <si>
    <t>Assets non depreciated Shared Service</t>
  </si>
  <si>
    <t>-135-R00000150--99-999-</t>
  </si>
  <si>
    <t>-135-R00000158--99-999-</t>
  </si>
  <si>
    <t>-210-J00000280--99-999-</t>
  </si>
  <si>
    <t>-210-J00000281--99-999-</t>
  </si>
  <si>
    <t>-210-J00000282--99-999-</t>
  </si>
  <si>
    <t>-135-R00000164--99-999-</t>
  </si>
  <si>
    <t>-135-R00000161--99-999-</t>
  </si>
  <si>
    <t>-135-R00000162--99-999-</t>
  </si>
  <si>
    <t>-135-R00000159--99-999-</t>
  </si>
  <si>
    <t>-135-R00000160--99-999-</t>
  </si>
  <si>
    <t>-135-R00000163--99-999-</t>
  </si>
  <si>
    <t>-210-J00000283--99-999-</t>
  </si>
  <si>
    <t>-135-R00000165--99-999-</t>
  </si>
  <si>
    <t>-135-R00000166--99-999-</t>
  </si>
  <si>
    <t>=IF(OR(LEFT([@ProjectID],4)="J000",LEFT([@ProjectID],4)="R000"),
LEFT([@ProjectID],1)&amp;VALUE(MID([@ProjectID],2,99)),
"")</t>
  </si>
  <si>
    <t>DisplayName</t>
  </si>
  <si>
    <t>CompanyName</t>
  </si>
  <si>
    <t>EmailAddress</t>
  </si>
  <si>
    <t>OfficeLocation</t>
  </si>
  <si>
    <t>JobTitle</t>
  </si>
  <si>
    <t>Zubaida Al Farsi</t>
  </si>
  <si>
    <t>Aertssen Machinery Services</t>
  </si>
  <si>
    <t>zubaida.alfarsi@aertssen.be</t>
  </si>
  <si>
    <t>AMS - Abu Dhabi</t>
  </si>
  <si>
    <t>Branch Manager</t>
  </si>
  <si>
    <t>Zenios Zeniou</t>
  </si>
  <si>
    <t>Aertssen Machinery Services Ltd</t>
  </si>
  <si>
    <t>zenonas.zeniou@aertssen.be</t>
  </si>
  <si>
    <t>AMS - Cyprus</t>
  </si>
  <si>
    <t>Finance Manager</t>
  </si>
  <si>
    <t>Yasser Hassan</t>
  </si>
  <si>
    <t>yasser.hassan@aertssen.be</t>
  </si>
  <si>
    <t>Public Relations Officer</t>
  </si>
  <si>
    <t>Yanick Bormans</t>
  </si>
  <si>
    <t>yanick.bormans@aertssen.be</t>
  </si>
  <si>
    <t>Business Process Manager</t>
  </si>
  <si>
    <t>Yan Huang</t>
  </si>
  <si>
    <t>yan.huang@aertssen.be</t>
  </si>
  <si>
    <t>Accountant</t>
  </si>
  <si>
    <t>William Barrantes</t>
  </si>
  <si>
    <t>william.barrantes@aertssen.be</t>
  </si>
  <si>
    <t>AMS - Duba</t>
  </si>
  <si>
    <t>Expat Mechanic</t>
  </si>
  <si>
    <t>Wietse Schaefer</t>
  </si>
  <si>
    <t>wietse.schaefer@aertssen.be</t>
  </si>
  <si>
    <t>Project Manager</t>
  </si>
  <si>
    <t>Wesley Hamal</t>
  </si>
  <si>
    <t>wesley.hamal@aertssen.be</t>
  </si>
  <si>
    <t>Workshop Manager</t>
  </si>
  <si>
    <t>Vinod Nair</t>
  </si>
  <si>
    <t>vinod.nair@aertssen.be</t>
  </si>
  <si>
    <t>Workshop Admin</t>
  </si>
  <si>
    <t>Vinay K Sreekumaran</t>
  </si>
  <si>
    <t>vinay.ks@aertssen.be</t>
  </si>
  <si>
    <t>Assistant Operations Manager</t>
  </si>
  <si>
    <t>Victoria Devooght</t>
  </si>
  <si>
    <t>victoria.devooght@aertssen.be</t>
  </si>
  <si>
    <t>HR Manager</t>
  </si>
  <si>
    <t>Velu Malaichamy</t>
  </si>
  <si>
    <t>Velu.Malaichamy@aertssen.be</t>
  </si>
  <si>
    <t>Supervisor</t>
  </si>
  <si>
    <t>Udala Arachchilage</t>
  </si>
  <si>
    <t>udala.arachchilage@aertssen.be</t>
  </si>
  <si>
    <t>Camp Boss</t>
  </si>
  <si>
    <t>Ubaid Rahman</t>
  </si>
  <si>
    <t>ubaid.rahman@aertssen.be</t>
  </si>
  <si>
    <t>AMS Duba</t>
  </si>
  <si>
    <t>Tony Nuyts</t>
  </si>
  <si>
    <t>Tony.Nuyts@Aertssen.Be</t>
  </si>
  <si>
    <t>Business Unit Manager Middle East</t>
  </si>
  <si>
    <t>Tauseef Riaz</t>
  </si>
  <si>
    <t>tauseef.riaz@AERTSSEN.BE</t>
  </si>
  <si>
    <t>Commercial Executive</t>
  </si>
  <si>
    <t>Tariq Khan</t>
  </si>
  <si>
    <t>tariq.khan@aertssen.be</t>
  </si>
  <si>
    <t>Supervisor - Crane Division</t>
  </si>
  <si>
    <t>Sunil Singh</t>
  </si>
  <si>
    <t>sunil.singh@aertssen.be</t>
  </si>
  <si>
    <t>USER: AMS AD</t>
  </si>
  <si>
    <t>Procurement Officer</t>
  </si>
  <si>
    <t>Sumith Lal</t>
  </si>
  <si>
    <t>sumith.lal@aertssen.be</t>
  </si>
  <si>
    <t>Store Picker</t>
  </si>
  <si>
    <t>Sultan Ahmad</t>
  </si>
  <si>
    <t>sultan.ahmad@aertssen.be</t>
  </si>
  <si>
    <t>Foreman</t>
  </si>
  <si>
    <t>Steve Hirst</t>
  </si>
  <si>
    <t>steve.hirst@aertssen.be</t>
  </si>
  <si>
    <t>Stephan Eeckhout</t>
  </si>
  <si>
    <t>stephan.eeckhout@aertssen.be</t>
  </si>
  <si>
    <t>Manager Earthmoving Division</t>
  </si>
  <si>
    <t>Srinivas Titti</t>
  </si>
  <si>
    <t>srinivas.titti@aertssen.be</t>
  </si>
  <si>
    <t>Silvia Manuel</t>
  </si>
  <si>
    <t>silvia.manuel@aertssen.be</t>
  </si>
  <si>
    <t>Public Relation Officer</t>
  </si>
  <si>
    <t>Shinjo Joy</t>
  </si>
  <si>
    <t>shinjo.joy@aertssen.be</t>
  </si>
  <si>
    <t>Shijo Andrews</t>
  </si>
  <si>
    <t>shijo.andrews@aertssen.be</t>
  </si>
  <si>
    <t>Mechanical Supervisor</t>
  </si>
  <si>
    <t>Shijil Cp</t>
  </si>
  <si>
    <t>shijil.cp@aertssen.be</t>
  </si>
  <si>
    <t>Sheila Ararao</t>
  </si>
  <si>
    <t>sheila.ararao@aertssen.be</t>
  </si>
  <si>
    <t>Workshop / Procurement Officer</t>
  </si>
  <si>
    <t>Shaun Spies</t>
  </si>
  <si>
    <t>shaun.spies@aertssen.be</t>
  </si>
  <si>
    <t>Shama Altamimi</t>
  </si>
  <si>
    <t>shama.altamimi@Aertssen.be</t>
  </si>
  <si>
    <t>HR Business Partner</t>
  </si>
  <si>
    <t>Shakir Meethal</t>
  </si>
  <si>
    <t>shakir.meethal@aertssen.be</t>
  </si>
  <si>
    <t>Storekeeper</t>
  </si>
  <si>
    <t>Shaima Alzaabi</t>
  </si>
  <si>
    <t>shaima.alzaabi@aertssen.be</t>
  </si>
  <si>
    <t>Receptionist</t>
  </si>
  <si>
    <t>Shahfeen Shamsudheen</t>
  </si>
  <si>
    <t>shahfeen.shamsudheen@aertssen.be</t>
  </si>
  <si>
    <t>AMS Abu Dhabi</t>
  </si>
  <si>
    <t>Senior Procurement Officer</t>
  </si>
  <si>
    <t>Security AMS QA</t>
  </si>
  <si>
    <t>Aertssen Machinery Services WLL</t>
  </si>
  <si>
    <t>security.qa@aertssen.be</t>
  </si>
  <si>
    <t>AMS - Qatar</t>
  </si>
  <si>
    <t>Saleh Al Humaidi</t>
  </si>
  <si>
    <t>saleh.alhumaidi@aertssen.be</t>
  </si>
  <si>
    <t>PRO</t>
  </si>
  <si>
    <t>Sahaya Jekin</t>
  </si>
  <si>
    <t>sahaya.jekin@aertssen.be</t>
  </si>
  <si>
    <t>HSE and Project Coordinator</t>
  </si>
  <si>
    <t>Sahar Madeieh</t>
  </si>
  <si>
    <t>sahar.madeieh@aertssen.be</t>
  </si>
  <si>
    <t>Ryan Perez</t>
  </si>
  <si>
    <t>ryan.perez@aertssen.be</t>
  </si>
  <si>
    <t>Sr. Workshop Admin</t>
  </si>
  <si>
    <t>Ryan Bayhonan</t>
  </si>
  <si>
    <t>ryan.bayhonan@aertssen.be</t>
  </si>
  <si>
    <t>Accounting Manager</t>
  </si>
  <si>
    <t>Rowell Pacho</t>
  </si>
  <si>
    <t>rowell.pacho@aertssen.be</t>
  </si>
  <si>
    <t>Document Controller</t>
  </si>
  <si>
    <t>Roel Kenis</t>
  </si>
  <si>
    <t>roel.kenis@aertssen.be</t>
  </si>
  <si>
    <t>AMS - Dammam</t>
  </si>
  <si>
    <t>Robert Young</t>
  </si>
  <si>
    <t>robert.young@aertssen.be</t>
  </si>
  <si>
    <t>Branding &amp; Stickering Officer</t>
  </si>
  <si>
    <t>Robert Hooks</t>
  </si>
  <si>
    <t>robert.hooks@aertssen.be</t>
  </si>
  <si>
    <t>Superintendent</t>
  </si>
  <si>
    <t>Robbert-Jan Willems</t>
  </si>
  <si>
    <t>robbert-jan.willems@aertssen.be</t>
  </si>
  <si>
    <t>Manager Crane Division</t>
  </si>
  <si>
    <t>Ritto Raphel</t>
  </si>
  <si>
    <t>ritto.raphel@aertssen.be</t>
  </si>
  <si>
    <t>Operations officer</t>
  </si>
  <si>
    <t>Renjith Sidharthan</t>
  </si>
  <si>
    <t>renjith.sidharthan@aertssen.be</t>
  </si>
  <si>
    <t>Lifting Engineer</t>
  </si>
  <si>
    <t>Relie Santiago</t>
  </si>
  <si>
    <t>relie.santiago@aertssen.be</t>
  </si>
  <si>
    <t>Warehouse Administrator</t>
  </si>
  <si>
    <t>Rawdha Al Mansouri</t>
  </si>
  <si>
    <t>rawdha.almansouri@aertssen.be</t>
  </si>
  <si>
    <t>Office Administrator</t>
  </si>
  <si>
    <t>Ranjith Ramachandran</t>
  </si>
  <si>
    <t>ranjith.ramachandran@aertssen.be</t>
  </si>
  <si>
    <t>Rakesh Nair</t>
  </si>
  <si>
    <t>Rakesh.Nair@aertssen.be</t>
  </si>
  <si>
    <t>Logistics Executive</t>
  </si>
  <si>
    <t>Raj Neupane</t>
  </si>
  <si>
    <t>raj.neupane@aertssen.be</t>
  </si>
  <si>
    <t>HR Admin</t>
  </si>
  <si>
    <t>Rahul Vishwakarma</t>
  </si>
  <si>
    <t>rahul.vishwakarma@aertssen.be</t>
  </si>
  <si>
    <t>Purchaser AMS Qatar</t>
  </si>
  <si>
    <t>purchaser.qatar@aertssen.be</t>
  </si>
  <si>
    <t>Purchaser</t>
  </si>
  <si>
    <t>Pravesh Katuwal</t>
  </si>
  <si>
    <t>pravesh.katuwal@aertssen.be</t>
  </si>
  <si>
    <t>Compensation &amp; Benefits</t>
  </si>
  <si>
    <t>Pieter Myny</t>
  </si>
  <si>
    <t>pieter.myny@aertssen.be</t>
  </si>
  <si>
    <t>Pieter Martens</t>
  </si>
  <si>
    <t>pieter.martens@aertssen.be</t>
  </si>
  <si>
    <t>Peter McLean</t>
  </si>
  <si>
    <t>peter.mclean@aertssen.be</t>
  </si>
  <si>
    <t>Osama Khaled</t>
  </si>
  <si>
    <t>osama.khaled@aertssen.be</t>
  </si>
  <si>
    <t>Omar Al Balawi</t>
  </si>
  <si>
    <t>omar.albalawi@aertssen.be</t>
  </si>
  <si>
    <t>HR Assistant</t>
  </si>
  <si>
    <t>Nisreen Jad</t>
  </si>
  <si>
    <t>nisreen.jad@aertssen.be</t>
  </si>
  <si>
    <t>Nishanth Amalraj</t>
  </si>
  <si>
    <t>nishanth.amalraj@aertssen.be</t>
  </si>
  <si>
    <t>Workshop Administrator</t>
  </si>
  <si>
    <t>Nidhinraj Kariyattil</t>
  </si>
  <si>
    <t>nidhinraj.kariyattil@aertssen.be</t>
  </si>
  <si>
    <t>Nick De Cock</t>
  </si>
  <si>
    <t>nick.decock@aertssen.be</t>
  </si>
  <si>
    <t>Assistant Project Manager</t>
  </si>
  <si>
    <t>Nestor Javier</t>
  </si>
  <si>
    <t>nestor.javier@aertssen.be</t>
  </si>
  <si>
    <t>Nathan Seuntjes</t>
  </si>
  <si>
    <t>nathan.seuntjes@aertssen.be</t>
  </si>
  <si>
    <t>Intern</t>
  </si>
  <si>
    <t>Muru Chellappan</t>
  </si>
  <si>
    <t>muru.chellappan@aertssen.be</t>
  </si>
  <si>
    <t>Muhammad Nasir</t>
  </si>
  <si>
    <t>Muhammad.Nasir@aertssen.be</t>
  </si>
  <si>
    <t>Muhammad Khan</t>
  </si>
  <si>
    <t>muhammad.khan@aertssen.be</t>
  </si>
  <si>
    <t>Safety Officer</t>
  </si>
  <si>
    <t>Mohammed Shabeer</t>
  </si>
  <si>
    <t>mohammed.shabeer@aertssen.be</t>
  </si>
  <si>
    <t>Mohammad Khan</t>
  </si>
  <si>
    <t>mohammad.khan@aertssen.be</t>
  </si>
  <si>
    <t>Commercial Resident</t>
  </si>
  <si>
    <t>Mohamed Farliyas</t>
  </si>
  <si>
    <t>Mohamed.Farliyas@aertssen.be</t>
  </si>
  <si>
    <t>Commercial Manager</t>
  </si>
  <si>
    <t>Dr. Mohamed Abd El Azeem</t>
  </si>
  <si>
    <t>mohamed.abdelazeem@aertssen.be</t>
  </si>
  <si>
    <t>Business Development Manager</t>
  </si>
  <si>
    <t>Michel Oerlemans</t>
  </si>
  <si>
    <t>michel.oerlemans@aertssen.be</t>
  </si>
  <si>
    <t>Works Manager</t>
  </si>
  <si>
    <t>Michael Verselder</t>
  </si>
  <si>
    <t>michael.verselder@aertssen.be</t>
  </si>
  <si>
    <t>Mark Del Mundo</t>
  </si>
  <si>
    <t>mark.delmundo@AERTSSEN.BE</t>
  </si>
  <si>
    <t>ICT Support Engineer</t>
  </si>
  <si>
    <t>Mark Castro</t>
  </si>
  <si>
    <t>mark.castro@aertssen.be</t>
  </si>
  <si>
    <t>Mariem Khlifi</t>
  </si>
  <si>
    <t>mariem.khlifi@aertssen.be</t>
  </si>
  <si>
    <t>Marco Van Oosterhout</t>
  </si>
  <si>
    <t>marco.van.oosterhout@aertssen.be</t>
  </si>
  <si>
    <t>Marcel Vanhee</t>
  </si>
  <si>
    <t>marcel.vanhee@aertssen.be</t>
  </si>
  <si>
    <t>Workshop Superintendent</t>
  </si>
  <si>
    <t>Manigandan Rajagopal</t>
  </si>
  <si>
    <t>manigandan.rajagopal@aertssen.be</t>
  </si>
  <si>
    <t>Procurement Admin</t>
  </si>
  <si>
    <t>Mahmoud Dardery</t>
  </si>
  <si>
    <t>mahmoud.dardery@aertssen.be</t>
  </si>
  <si>
    <t>HR Coordinator</t>
  </si>
  <si>
    <t>Maha Almeqbaali</t>
  </si>
  <si>
    <t>maha.almeqbaali@aertssen.be</t>
  </si>
  <si>
    <t>HR Administrator</t>
  </si>
  <si>
    <t>Mabelle De Jesus</t>
  </si>
  <si>
    <t>mabelle.de.jesus@aertssen.be</t>
  </si>
  <si>
    <t>HR Officer</t>
  </si>
  <si>
    <t>Lowie van den Bemt</t>
  </si>
  <si>
    <t>lowie.vandenbemt@aertssen.be</t>
  </si>
  <si>
    <t>Workshop Team Leader</t>
  </si>
  <si>
    <t>Lowie De Lombaerde</t>
  </si>
  <si>
    <t>lowie.delombaerde@aertssen.be</t>
  </si>
  <si>
    <t>Project Engineer</t>
  </si>
  <si>
    <t>Lourens Van Zyl</t>
  </si>
  <si>
    <t>lourens.van.zyl@aertssen.be</t>
  </si>
  <si>
    <t>Louis Dorricott</t>
  </si>
  <si>
    <t>louis.dorricott@aertssen.be</t>
  </si>
  <si>
    <t>AMS - AMS Duba</t>
  </si>
  <si>
    <t>Lindsay Martinez</t>
  </si>
  <si>
    <t>lindsay.martinez@aertssen.be</t>
  </si>
  <si>
    <t>Project Coordinator</t>
  </si>
  <si>
    <t>Larry Gine</t>
  </si>
  <si>
    <t>larry.gine@aertssen.be</t>
  </si>
  <si>
    <t>Laiju Sundar</t>
  </si>
  <si>
    <t>laiju.sundar@aertssen.be</t>
  </si>
  <si>
    <t>Teamlead Procurement &amp; Admin</t>
  </si>
  <si>
    <t>Kunju Ahmed</t>
  </si>
  <si>
    <t>kunju.ahmed@aertssen.be</t>
  </si>
  <si>
    <t>Kristian Faber</t>
  </si>
  <si>
    <t>kristian.faber@aertssen.be</t>
  </si>
  <si>
    <t>Kobe Peeters</t>
  </si>
  <si>
    <t>kobe.peeters@aertssen.be</t>
  </si>
  <si>
    <t>Kishan Ganegoda</t>
  </si>
  <si>
    <t>kishan.ganegoda@aertssen.be</t>
  </si>
  <si>
    <t>Warehouse Admin</t>
  </si>
  <si>
    <t>Khader Abueida</t>
  </si>
  <si>
    <t>khader.abueida@aertssen.be</t>
  </si>
  <si>
    <t>PR Officer</t>
  </si>
  <si>
    <t>Kawthar Homoud</t>
  </si>
  <si>
    <t>kawthar.homoud@aertssen.be</t>
  </si>
  <si>
    <t>Katrina Malang</t>
  </si>
  <si>
    <t>katrina.malang@aertssen.be</t>
  </si>
  <si>
    <t>Quantity Surveyor</t>
  </si>
  <si>
    <t>Julie Gerona</t>
  </si>
  <si>
    <t>julie.gerona@aertssen.be</t>
  </si>
  <si>
    <t>Jorge Vasquez</t>
  </si>
  <si>
    <t>jorge.vasquez@aertssen.be</t>
  </si>
  <si>
    <t>Joost Bertels</t>
  </si>
  <si>
    <t>joost.bertels@aertssen.be</t>
  </si>
  <si>
    <t>John Phillips</t>
  </si>
  <si>
    <t>john.phillips@aertssen.be</t>
  </si>
  <si>
    <t>Earthmoving Workshop Teamleader</t>
  </si>
  <si>
    <t>Jithin Biju</t>
  </si>
  <si>
    <t>jithin.biju@aertssen.be</t>
  </si>
  <si>
    <t>Logistic Admin</t>
  </si>
  <si>
    <t>Jhomer De Jesus</t>
  </si>
  <si>
    <t>jhomer.de.jesus@aertssen.be</t>
  </si>
  <si>
    <t>Jesus Tulabut</t>
  </si>
  <si>
    <t>jesus.tulabut@aertssen.be</t>
  </si>
  <si>
    <t>Jerry Girinivas</t>
  </si>
  <si>
    <t>jerry.girinivas@aertssen.be</t>
  </si>
  <si>
    <t>Senior Purchaser</t>
  </si>
  <si>
    <t>Jerin Johnson</t>
  </si>
  <si>
    <t>jerin.johnson@aertssen.be</t>
  </si>
  <si>
    <t>Warehouse Foreman</t>
  </si>
  <si>
    <t>Jennifer Hofmans</t>
  </si>
  <si>
    <t>jennifer.hofmans@aertssen.be</t>
  </si>
  <si>
    <t>Commercial Project Manager</t>
  </si>
  <si>
    <t>Jay Reyes</t>
  </si>
  <si>
    <t>jay.reyes@aertssen.be</t>
  </si>
  <si>
    <t>Time Keeper</t>
  </si>
  <si>
    <t>Jatinder Singh</t>
  </si>
  <si>
    <t>jatinder.singh@aertssen.be</t>
  </si>
  <si>
    <t>Heavy Lifting Supervisor</t>
  </si>
  <si>
    <t>Jason Englatiera</t>
  </si>
  <si>
    <t>jason.englatiera@aertssen.be</t>
  </si>
  <si>
    <t>Time keeper</t>
  </si>
  <si>
    <t>James Gan</t>
  </si>
  <si>
    <t>james.gan@aertssen.be</t>
  </si>
  <si>
    <t>Procurement Administrator</t>
  </si>
  <si>
    <t>James Arias</t>
  </si>
  <si>
    <t>james.arias@aertssen.be</t>
  </si>
  <si>
    <t>HSE Supervisor</t>
  </si>
  <si>
    <t>Jackson Verghese</t>
  </si>
  <si>
    <t>jackson.verghese@aertssen.be</t>
  </si>
  <si>
    <t>Jackie Sabandal</t>
  </si>
  <si>
    <t>jackie.sabandal@aertssen.be</t>
  </si>
  <si>
    <t>Imthiyas Ahamed</t>
  </si>
  <si>
    <t>imthiyas.ahamed@aertssen.be</t>
  </si>
  <si>
    <t>Imran Khan</t>
  </si>
  <si>
    <t>imran.khan@aertssen.be</t>
  </si>
  <si>
    <t>Workshop Technician</t>
  </si>
  <si>
    <t>Imran Iqbal</t>
  </si>
  <si>
    <t>imran.iqbal@aertssen.be</t>
  </si>
  <si>
    <t>Imam Santoso</t>
  </si>
  <si>
    <t>imam.santoso@aertssen.be</t>
  </si>
  <si>
    <t>Store Keeper</t>
  </si>
  <si>
    <t>Ibrahem Do</t>
  </si>
  <si>
    <t>ibrahem.do@aertssen.be</t>
  </si>
  <si>
    <t>Government Relationship Officer</t>
  </si>
  <si>
    <t>Huzzayf Jassame</t>
  </si>
  <si>
    <t>Huzzayf.Jassame@aertssen.be</t>
  </si>
  <si>
    <t>Hussein Ayad</t>
  </si>
  <si>
    <t>hussein.ayad@aertssen.be</t>
  </si>
  <si>
    <t>Hillary Abhilash</t>
  </si>
  <si>
    <t>hillary.abhilash@aertssen.be</t>
  </si>
  <si>
    <t>Hiede Englaterra</t>
  </si>
  <si>
    <t>hiede.englaterra@aertssen.be</t>
  </si>
  <si>
    <t>Operations Coordinator</t>
  </si>
  <si>
    <t>Henry Ugwuanyi</t>
  </si>
  <si>
    <t>henry.ugwuanyi@aertssen.be</t>
  </si>
  <si>
    <t>Safety Supervisor</t>
  </si>
  <si>
    <t>Hector Sancho</t>
  </si>
  <si>
    <t>hector.sancho@aertssen.be</t>
  </si>
  <si>
    <t>Harry Vermeer</t>
  </si>
  <si>
    <t>harry.vermeer@aertssen.be</t>
  </si>
  <si>
    <t>Harish Nair</t>
  </si>
  <si>
    <t>harish.nair@aertssen.be</t>
  </si>
  <si>
    <t>Logistic officer</t>
  </si>
  <si>
    <t>Hareesh Kumar</t>
  </si>
  <si>
    <t>hareesh.kumar@aertssen.be</t>
  </si>
  <si>
    <t>Sales Manager</t>
  </si>
  <si>
    <t>Hamoud Monder</t>
  </si>
  <si>
    <t>hamoud.monder@aertssen.be</t>
  </si>
  <si>
    <t>Guy Michiels</t>
  </si>
  <si>
    <t>guy.michiels@aertssen.be</t>
  </si>
  <si>
    <t>Gordy Weets</t>
  </si>
  <si>
    <t>gordy.weets@aertssen.be</t>
  </si>
  <si>
    <t>Gladys Ilagan</t>
  </si>
  <si>
    <t>gladys.ilagan@aertssen.be</t>
  </si>
  <si>
    <t>Gilbert Lagason</t>
  </si>
  <si>
    <t>gilbert.lagason@aertssen.be</t>
  </si>
  <si>
    <t>Ghulam Farid</t>
  </si>
  <si>
    <t>ghulam.farid@aertssen.be</t>
  </si>
  <si>
    <t>Trainer</t>
  </si>
  <si>
    <t>Garth Bristow</t>
  </si>
  <si>
    <t>garth.bristow@aertssen.be</t>
  </si>
  <si>
    <t>Senior Expat Mechanic</t>
  </si>
  <si>
    <t>Frederick Jequinto</t>
  </si>
  <si>
    <t>frederick.jequinto@aertssen.be</t>
  </si>
  <si>
    <t>Frank Thys</t>
  </si>
  <si>
    <t>frank.thys@aertssen.be</t>
  </si>
  <si>
    <t>Frank De Bruin</t>
  </si>
  <si>
    <t>frank.debruin@aertssen.be</t>
  </si>
  <si>
    <t>Work Manager</t>
  </si>
  <si>
    <t>Ferdinand Marais</t>
  </si>
  <si>
    <t>ferdinand.marais@aertssen.be</t>
  </si>
  <si>
    <t>Fayas Kandathil</t>
  </si>
  <si>
    <t>fayas.kandathil@aertssen.be</t>
  </si>
  <si>
    <t>Erwin Bueno</t>
  </si>
  <si>
    <t>erwin.bueno@aertssen.be</t>
  </si>
  <si>
    <t>Eric Koppenol</t>
  </si>
  <si>
    <t>eric.koppenol@aertssen.be</t>
  </si>
  <si>
    <t>Ellen Tuquero</t>
  </si>
  <si>
    <t>ellen.tuquero@aertssen.be</t>
  </si>
  <si>
    <t>Edwin Arauz</t>
  </si>
  <si>
    <t>edwin.arauz@aertssen.be</t>
  </si>
  <si>
    <t>Eckard Abarca</t>
  </si>
  <si>
    <t>eckard.abarca@aertssen.be</t>
  </si>
  <si>
    <t>Donal Kelly</t>
  </si>
  <si>
    <t>donal.kelly@aertssen.be</t>
  </si>
  <si>
    <t>Djen Saccasyn</t>
  </si>
  <si>
    <t>djen.saccasyn@aertssen.be</t>
  </si>
  <si>
    <t>Dennis Ort</t>
  </si>
  <si>
    <t>dennis.ort@aertssen.be</t>
  </si>
  <si>
    <t>Warehouse Manager</t>
  </si>
  <si>
    <t>Denis Brouwer</t>
  </si>
  <si>
    <t>denis.brouwer@aertssen.be</t>
  </si>
  <si>
    <t>David Van Bergen</t>
  </si>
  <si>
    <t>david.van.bergen@aertssen.be</t>
  </si>
  <si>
    <t>Technical Manager</t>
  </si>
  <si>
    <t>Darwin Vincent</t>
  </si>
  <si>
    <t>darwin.vincent@aertssen.be</t>
  </si>
  <si>
    <t>Daniel Clarke</t>
  </si>
  <si>
    <t>daniel.clarke@aertssen.be</t>
  </si>
  <si>
    <t>Cyril Soliva</t>
  </si>
  <si>
    <t>cyril.soliva@aertssen.be</t>
  </si>
  <si>
    <t>QHSE Executive</t>
  </si>
  <si>
    <t>Clayton Rama</t>
  </si>
  <si>
    <t>Clayton.Rama@aertssen.be</t>
  </si>
  <si>
    <t>Project Accountant</t>
  </si>
  <si>
    <t>Clarice Ballares</t>
  </si>
  <si>
    <t>clarice.ballares@aertssen.be</t>
  </si>
  <si>
    <t>Chris Del Rosario</t>
  </si>
  <si>
    <t>chris.del.rosario@aertssen.be</t>
  </si>
  <si>
    <t>Chester Castillo</t>
  </si>
  <si>
    <t>chester.castillo@aertssen.be</t>
  </si>
  <si>
    <t>Chanda Manalo</t>
  </si>
  <si>
    <t>Chanda.Manalo@aertssen.be</t>
  </si>
  <si>
    <t>Carlo Vivas</t>
  </si>
  <si>
    <t>carlo.vivas@aertssen.be</t>
  </si>
  <si>
    <t>Candy Villanueva</t>
  </si>
  <si>
    <t>candy.villanueva@aertssen.be</t>
  </si>
  <si>
    <t>Broono Cleetus</t>
  </si>
  <si>
    <t>broono.cleetus@aertssen.be</t>
  </si>
  <si>
    <t>Brecht Verbrugge</t>
  </si>
  <si>
    <t>brecht.verbrugge@aertssen.be</t>
  </si>
  <si>
    <t>Country Manager KSA</t>
  </si>
  <si>
    <t>Bob Tuinman</t>
  </si>
  <si>
    <t>bob.tuinman@aertssen.be</t>
  </si>
  <si>
    <t>Operations Manager</t>
  </si>
  <si>
    <t>Bhuvan Shukla</t>
  </si>
  <si>
    <t>bhuvan.shukla@aertssen.be</t>
  </si>
  <si>
    <t>Betina Cabrera</t>
  </si>
  <si>
    <t>betina.cabrera@aertssen.be</t>
  </si>
  <si>
    <t>Benoit Collin</t>
  </si>
  <si>
    <t>benoit.collin@aertssen.be</t>
  </si>
  <si>
    <t>Fleet Manager</t>
  </si>
  <si>
    <t>Bassam Gharib</t>
  </si>
  <si>
    <t>bassam.gharib@aertssen.be</t>
  </si>
  <si>
    <t>Surveyor</t>
  </si>
  <si>
    <t>Barry Forster</t>
  </si>
  <si>
    <t>barry.forster@AERTSSEN.BE</t>
  </si>
  <si>
    <t>Badar Alblooshi</t>
  </si>
  <si>
    <t>badar.alblooshi@aertssen.be</t>
  </si>
  <si>
    <t>Azarudeen Abubakkar</t>
  </si>
  <si>
    <t>azarudeen.abubakkar@aertssen.be</t>
  </si>
  <si>
    <t>Augustin Alexander</t>
  </si>
  <si>
    <t>augustin.alexander@aertssen.be</t>
  </si>
  <si>
    <t>Ashish Rana</t>
  </si>
  <si>
    <t>ashish.rana@aertssen.be</t>
  </si>
  <si>
    <t>Arthur Saegeman</t>
  </si>
  <si>
    <t>arthur.saegeman@aertssen.be</t>
  </si>
  <si>
    <t>Business Developper</t>
  </si>
  <si>
    <t>Arnoud Dom</t>
  </si>
  <si>
    <t>arnoud.dom@aertssen.be</t>
  </si>
  <si>
    <t>Country Manager</t>
  </si>
  <si>
    <t>Antonio Francisco Pinto</t>
  </si>
  <si>
    <t>francis.pinto@aertssen.be</t>
  </si>
  <si>
    <t>Sales Advisor</t>
  </si>
  <si>
    <t>Anton De Lange</t>
  </si>
  <si>
    <t>anton.de.lange@aertssen.be</t>
  </si>
  <si>
    <t>Andreas Roous</t>
  </si>
  <si>
    <t>andreas.roous@aertssen.be</t>
  </si>
  <si>
    <t>amstest</t>
  </si>
  <si>
    <t>amstest@AERTSSEN.BE</t>
  </si>
  <si>
    <t>Amin Ahmed</t>
  </si>
  <si>
    <t>amin.ahmed@aertssen.be</t>
  </si>
  <si>
    <t>Public Relations Manager</t>
  </si>
  <si>
    <t>Akshay Sunil</t>
  </si>
  <si>
    <t>akshay.sunil@aertssen.be</t>
  </si>
  <si>
    <t>Helper</t>
  </si>
  <si>
    <t>Muhammad Akmal Al Bhatti</t>
  </si>
  <si>
    <t>akmal.albhatti@aertssen.be</t>
  </si>
  <si>
    <t>Logistic Officer</t>
  </si>
  <si>
    <t>Akas Ramzan</t>
  </si>
  <si>
    <t>akas.ramzan@aertssen.be</t>
  </si>
  <si>
    <t>Ajan Hansaka</t>
  </si>
  <si>
    <t>ajan.hansaka@aertssen.be</t>
  </si>
  <si>
    <t>Store picker</t>
  </si>
  <si>
    <t>Ahmed Nasser</t>
  </si>
  <si>
    <t>ahmed.nasser@aertssen.be</t>
  </si>
  <si>
    <t>Afsalmon Majeed</t>
  </si>
  <si>
    <t>afsalmon.majeed@aertssen.be</t>
  </si>
  <si>
    <t>Adriaan Lourens</t>
  </si>
  <si>
    <t>adriaan.lourens@aertssen.be</t>
  </si>
  <si>
    <t>Adonis Tuazon</t>
  </si>
  <si>
    <t>adonis.tuazon@aertssen.be</t>
  </si>
  <si>
    <t>Aby Joseph</t>
  </si>
  <si>
    <t>aby.joseph@aertssen.be</t>
  </si>
  <si>
    <t>Aamir Arfat</t>
  </si>
  <si>
    <t>aamir.arfat@aertssen.be</t>
  </si>
  <si>
    <t>AMS - Oman</t>
  </si>
  <si>
    <t>Inventory_Warehouse</t>
  </si>
  <si>
    <t>BU</t>
  </si>
  <si>
    <t>WAREHOUSE NAME</t>
  </si>
  <si>
    <t>COUNTRY</t>
  </si>
  <si>
    <t>UAE</t>
  </si>
  <si>
    <t>PROVINCE</t>
  </si>
  <si>
    <t>ABU DHABI</t>
  </si>
  <si>
    <t>ALPHA</t>
  </si>
  <si>
    <t>DUBAI</t>
  </si>
  <si>
    <t>LOCATION_SITE</t>
  </si>
  <si>
    <t>R135</t>
  </si>
  <si>
    <t>REMOTE</t>
  </si>
  <si>
    <t>Project ID</t>
  </si>
  <si>
    <t>Project name</t>
  </si>
  <si>
    <t>1 Transport</t>
  </si>
  <si>
    <t>1 Transport_01</t>
  </si>
  <si>
    <t>1 Transport_02</t>
  </si>
  <si>
    <t>1 Transport_03</t>
  </si>
  <si>
    <t>1 Transport_04</t>
  </si>
  <si>
    <t>Asset non depreciated</t>
  </si>
  <si>
    <t>1 Transport_05</t>
  </si>
  <si>
    <t>1 Transport_06</t>
  </si>
  <si>
    <t>Interest</t>
  </si>
  <si>
    <t>1 Transport_07</t>
  </si>
  <si>
    <t>1 Transport_08</t>
  </si>
  <si>
    <t>1 Transport_09</t>
  </si>
  <si>
    <t>1 Transport_11</t>
  </si>
  <si>
    <t>1 Transport_12</t>
  </si>
  <si>
    <t>1 Transport_12_01</t>
  </si>
  <si>
    <t>1 Transport_12_02</t>
  </si>
  <si>
    <t>1 Transport_12_02_01</t>
  </si>
  <si>
    <t>1 Transport_12_02_02</t>
  </si>
  <si>
    <t>1 Transport_12_02_03</t>
  </si>
  <si>
    <t>1 Transport_12_02_04</t>
  </si>
  <si>
    <t>1 Transport_12_02_05</t>
  </si>
  <si>
    <t>School Fees</t>
  </si>
  <si>
    <t>1 Transport_12_02_06</t>
  </si>
  <si>
    <t>1 Transport_12_02_07</t>
  </si>
  <si>
    <t>1 Transport_12_02_08</t>
  </si>
  <si>
    <t>1 Transport_12_02_09</t>
  </si>
  <si>
    <t>VIsa &amp; licenses</t>
  </si>
  <si>
    <t>1 Transport_12_03</t>
  </si>
  <si>
    <t>1 Transport_12_04</t>
  </si>
  <si>
    <t>1 Transport_12_05</t>
  </si>
  <si>
    <t>1 Transport_12_06</t>
  </si>
  <si>
    <t>1 Transport_12_07</t>
  </si>
  <si>
    <t>1 Transport_12_08</t>
  </si>
  <si>
    <t>2 Project_02_42_04</t>
  </si>
  <si>
    <t>Evacuation project</t>
  </si>
  <si>
    <t>ETR-1218</t>
  </si>
  <si>
    <t>Trading asset ETR-1218 - CAT 6015B</t>
  </si>
  <si>
    <t>ETR-1219</t>
  </si>
  <si>
    <t>Trading asset ETR-1219 - Manitou MT932</t>
  </si>
  <si>
    <t>J00000284</t>
  </si>
  <si>
    <t>NBTC - Hail &amp; Gasha</t>
  </si>
  <si>
    <t>J00000285</t>
  </si>
  <si>
    <t>J00000286</t>
  </si>
  <si>
    <t>J00000287</t>
  </si>
  <si>
    <t>NMDC - AL Muzoun</t>
  </si>
  <si>
    <t>J00000288</t>
  </si>
  <si>
    <t>Star Ocean - Al Omairah Island</t>
  </si>
  <si>
    <t>J00000289</t>
  </si>
  <si>
    <t>Alas Emirates - Saadiyat Island</t>
  </si>
  <si>
    <t>J00000290</t>
  </si>
  <si>
    <t>NMDC - Lulu Island</t>
  </si>
  <si>
    <t>J00000291</t>
  </si>
  <si>
    <t>CCE - Zirku Island</t>
  </si>
  <si>
    <t>J00000292</t>
  </si>
  <si>
    <t>NBTC - MERAM Habshan</t>
  </si>
  <si>
    <t>J00000293</t>
  </si>
  <si>
    <t>Motorway - Lower Zakum, Al Omairah</t>
  </si>
  <si>
    <t>J00000294</t>
  </si>
  <si>
    <t>Al Dhafra - Offshore Projects</t>
  </si>
  <si>
    <t>J00000295</t>
  </si>
  <si>
    <t>Al Dhafra - Onshore Projects</t>
  </si>
  <si>
    <t>R00000091</t>
  </si>
  <si>
    <t>WEBUILD - Trojena Dam Project</t>
  </si>
  <si>
    <t>R00000167</t>
  </si>
  <si>
    <t>ARCO - Khor Fakkan Marine Works</t>
  </si>
  <si>
    <t>R00000168</t>
  </si>
  <si>
    <t>AMTC - Bubasala Razeen</t>
  </si>
  <si>
    <t>R00000169</t>
  </si>
  <si>
    <t>Van Vliet - Demolition Ras Laffan</t>
  </si>
  <si>
    <t>R00000170</t>
  </si>
  <si>
    <t>Van Oord - Naia Island</t>
  </si>
  <si>
    <t>R00000171</t>
  </si>
  <si>
    <t>BVA Marine - Dubai Creek Harbour</t>
  </si>
  <si>
    <t>R00000172</t>
  </si>
  <si>
    <t>BESIX - Sohar Port</t>
  </si>
  <si>
    <t>R00000173</t>
  </si>
  <si>
    <t>Larsen &amp; Toubro - DEWA Solar Plant</t>
  </si>
  <si>
    <t>R00000174</t>
  </si>
  <si>
    <t>RDMC - Petrosea Pakistan TSF Project</t>
  </si>
  <si>
    <t>R00000175</t>
  </si>
  <si>
    <t>SARCO - OXT2 Quay Wall</t>
  </si>
  <si>
    <t>R00000176</t>
  </si>
  <si>
    <t>NMDC - Jelly Fish Island</t>
  </si>
  <si>
    <t>R00000177</t>
  </si>
  <si>
    <t>NMDC - Fujairah Navy Base</t>
  </si>
  <si>
    <t>R00000178</t>
  </si>
  <si>
    <t>ALMUHANDIS - NMDC Yard Icad 2</t>
  </si>
  <si>
    <t>Mussafah</t>
  </si>
  <si>
    <t>Not applicable</t>
  </si>
  <si>
    <t>Sam Charles</t>
  </si>
  <si>
    <t>sam.charles@aertssen.be</t>
  </si>
  <si>
    <t>Internal 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</si>
</sst>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</fills>
  <borders count="4">
    <border>
      <left/>
      <right/>
      <top/>
      <bottom/>
      <diagonal/>
    </border>
    <border>
      <left/>
      <right/>
      <top style="thin">
        <color rgb="FF145F82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1" fillId="2" borderId="0" xfId="0" applyFont="1" applyFill="1"/>
    <xf numFmtId="0" fontId="0" fillId="0" borderId="0" xfId="0" applyAlignment="1">
      <alignment wrapText="1"/>
    </xf>
    <xf numFmtId="49" fontId="0" fillId="0" borderId="0" xfId="0" applyNumberFormat="1"/>
    <xf numFmtId="0" fontId="2" fillId="0" borderId="0" xfId="0" applyFont="1"/>
    <xf numFmtId="49" fontId="0" fillId="0" borderId="0" xfId="0" applyNumberFormat="1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Font="1" applyBorder="1"/>
    <xf numFmtId="0" fontId="0" fillId="0" borderId="3" xfId="0" applyFont="1" applyBorder="1"/>
    <xf numFmtId="49" fontId="0" fillId="0" borderId="0" xfId="0" applyNumberFormat="1" applyAlignment="1">
      <alignment horizontal="left"/>
    </xf>
    <xf numFmtId="0" fontId="0" fillId="0" borderId="0" xfId="0" applyNumberFormat="1"/>
    <xf numFmtId="0" fontId="4" fillId="0" borderId="0" xfId="0" applyFont="1" applyFill="1"/>
    <xf numFmtId="0" fontId="5" fillId="0" borderId="0" xfId="1"/>
  </cellXfs>
  <cellStyles count="2">
    <cellStyle name="Hyperlink" xfId="1" builtinId="8"/>
    <cellStyle name="Normal" xfId="0" builtinId="0"/>
  </cellStyles>
  <dxfs count="35"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145F82"/>
        </top>
        <bottom/>
        <vertical/>
        <horizontal/>
      </border>
    </dxf>
    <dxf>
      <border outline="0">
        <left style="thin">
          <color rgb="FF145F82"/>
        </left>
        <right style="thin">
          <color rgb="FF145F82"/>
        </right>
        <top style="thin">
          <color rgb="FF145F82"/>
        </top>
        <bottom style="thin">
          <color rgb="FF145F8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45F82"/>
          <bgColor rgb="FF145F8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145F82"/>
        </top>
        <bottom/>
        <vertical/>
        <horizontal/>
      </border>
    </dxf>
    <dxf>
      <border outline="0">
        <left style="thin">
          <color rgb="FF145F82"/>
        </left>
        <right style="thin">
          <color rgb="FF145F82"/>
        </right>
        <top style="thin">
          <color rgb="FF145F82"/>
        </top>
        <bottom style="thin">
          <color rgb="FF145F8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45F82"/>
          <bgColor rgb="FF145F8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145F82"/>
        </top>
        <bottom/>
        <vertical/>
        <horizontal/>
      </border>
    </dxf>
    <dxf>
      <border outline="0">
        <left style="thin">
          <color rgb="FF145F82"/>
        </left>
        <right style="thin">
          <color rgb="FF145F82"/>
        </right>
        <top style="thin">
          <color rgb="FF145F82"/>
        </top>
        <bottom style="thin">
          <color rgb="FF145F8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45F82"/>
          <bgColor rgb="FF145F82"/>
        </patternFill>
      </fill>
      <alignment horizontal="general" vertical="bottom" textRotation="0" wrapText="0" indent="0" justifyLastLine="0" shrinkToFit="0" readingOrder="0"/>
    </dxf>
  </dxfs>
  <tableStyles count="1" defaultTableStyle="TableStyleMedium2" defaultPivotStyle="PivotStyleMedium9">
    <tableStyle name="Invisible" pivot="0" table="0" count="0" xr9:uid="{DC21F5E1-0511-4191-81EC-A6FC100BEC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9FADD4-2FCD-43B0-90C5-9B9CB9E9DF3F}" name="T_ENTITY" displayName="T_ENTITY" ref="A1:A6" totalsRowShown="0" headerRowDxfId="34" dataDxfId="33" tableBorderDxfId="32">
  <autoFilter ref="A1:A6" xr:uid="{D29FADD4-2FCD-43B0-90C5-9B9CB9E9DF3F}"/>
  <tableColumns count="1">
    <tableColumn id="1" xr3:uid="{CA91E58B-4C56-4531-9063-9552261B2DEA}" name="Entity" dataDxfId="3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B3F7BF-B15F-49CA-96FB-709128A5DDA3}" name="T_BU" displayName="T_BU" ref="A1:A5" totalsRowShown="0" headerRowDxfId="30" dataDxfId="29" tableBorderDxfId="28">
  <autoFilter ref="A1:A5" xr:uid="{4EB3F7BF-B15F-49CA-96FB-709128A5DDA3}"/>
  <tableColumns count="1">
    <tableColumn id="1" xr3:uid="{5B4E2800-3EB0-409F-9845-1F80CEABE14A}" name="Business Unit" dataDxfId="2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F1FEC9-AB3C-4D6C-974C-99495D11DC5C}" name="T_REQUEST_TYPE" displayName="T_REQUEST_TYPE" ref="A1:A3" totalsRowShown="0">
  <autoFilter ref="A1:A3" xr:uid="{09F1FEC9-AB3C-4D6C-974C-99495D11DC5C}"/>
  <tableColumns count="1">
    <tableColumn id="1" xr3:uid="{C1969F38-20B5-4FE4-A60F-F25ABFE5827A}" name="Request typ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3C561D-71B0-431B-9DC9-BF9AAA414574}" name="T_ITEM_TYPE" displayName="T_ITEM_TYPE" ref="A1:C7" totalsRowShown="0" headerRowDxfId="26" dataDxfId="25" tableBorderDxfId="24">
  <autoFilter ref="A1:C7" xr:uid="{373C561D-71B0-431B-9DC9-BF9AAA414574}"/>
  <tableColumns count="3">
    <tableColumn id="3" xr3:uid="{28CFE494-0E58-43EF-B2D5-9008C628E156}" name="Item type - Primary" dataDxfId="23"/>
    <tableColumn id="4" xr3:uid="{B435490A-C8D3-4764-B264-F7012AB79190}" name="Item type - Secondary" dataDxfId="22"/>
    <tableColumn id="5" xr3:uid="{1A2937A1-7561-4788-B8C0-A958B1FE0FB3}" name="Item type" dataDxfId="21">
      <calculatedColumnFormula>_xlfn.TEXTJOIN(" | ", TRUE,T_ITEM_TYPE[[#This Row],[Item type - Primary]],T_ITEM_TYPE[[#This Row],[Item type - Secondary]])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A202E1-A28D-4809-9897-01651B068C20}" name="T_PROJECTS" displayName="T_PROJECTS" ref="A1:H294" totalsRowShown="0">
  <autoFilter ref="A1:H294" xr:uid="{B6A202E1-A28D-4809-9897-01651B068C20}"/>
  <tableColumns count="8">
    <tableColumn id="1" xr3:uid="{587E7583-A4AF-48D3-B78A-CB3FC69E0BBB}" name="dataAreaId"/>
    <tableColumn id="2" xr3:uid="{6BAD475D-6FF7-4626-9D8A-DB7360DBFE88}" name="ProjectID" dataDxfId="0"/>
    <tableColumn id="7" xr3:uid="{19CFDC38-4EB6-4779-9E14-6E5BBB7B8174}" name="ProjectID Abb" dataDxfId="20">
      <calculatedColumnFormula>IF(OR(LEFT(T_PROJECTS[[#This Row],[ProjectID]],4)="J000",LEFT(T_PROJECTS[[#This Row],[ProjectID]],4)="R000"),
LEFT(T_PROJECTS[[#This Row],[ProjectID]],1)&amp;VALUE(MID(T_PROJECTS[[#This Row],[ProjectID]],2,99)),
"")</calculatedColumnFormula>
    </tableColumn>
    <tableColumn id="3" xr3:uid="{96AB9E8F-85EB-4109-AAD0-ADAEADF74CE7}" name="DimensionDisplayValue"/>
    <tableColumn id="4" xr3:uid="{BFE2CBA2-A2CB-4B2F-A5BC-33C930D6E068}" name="ParentProject"/>
    <tableColumn id="5" xr3:uid="{1E2C2E12-E303-4694-939D-961A89E2C6BE}" name="ProjectStage"/>
    <tableColumn id="6" xr3:uid="{6D93D4B3-824F-4D68-9691-DDE3D0F16E57}" name="ProjectName"/>
    <tableColumn id="8" xr3:uid="{12679CB7-F970-42EE-8C81-813F1842A34C}" name="ProjectID_Name" dataDxfId="19">
      <calculatedColumnFormula>_xlfn.TEXTJOIN(" | ", TRUE, T_PROJECTS[[#This Row],[ProjectID]], T_PROJECTS[[#This Row],[ProjectName]],T_PROJECTS[[#This Row],[ProjectID Abb]])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BA6409-DCFF-4628-9805-D17811138425}" name="T_PROJECTS_D365" displayName="T_PROJECTS_D365" ref="L1:M294" totalsRowShown="0" dataDxfId="1">
  <autoFilter ref="L1:M294" xr:uid="{87BA6409-DCFF-4628-9805-D17811138425}"/>
  <tableColumns count="2">
    <tableColumn id="1" xr3:uid="{95433278-2F67-444B-B259-E35E5726CDD9}" name="Project ID" dataDxfId="3"/>
    <tableColumn id="2" xr3:uid="{8AFD1811-1839-4656-912E-55BADD690FAD}" name="Project name" dataDxfId="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5D4158-148E-408E-AF98-8458C51432D5}" name="T_LOCATION" displayName="T_LOCATION" ref="A1:D119" totalsRowShown="0">
  <autoFilter ref="A1:D119" xr:uid="{DD5D4158-148E-408E-AF98-8458C51432D5}"/>
  <tableColumns count="4">
    <tableColumn id="1" xr3:uid="{DC19500D-F34B-4CA2-8E8D-7205510F28FC}" name="ProjectID"/>
    <tableColumn id="4" xr3:uid="{4B75D320-74C9-42D7-B9E9-59057AC4AD39}" name="ProjectID Abb">
      <calculatedColumnFormula>IF(OR(LEFT(T_LOCATION[[#This Row],[ProjectID]],4)="J000",LEFT(T_LOCATION[[#This Row],[ProjectID]],4)="R000"),
LEFT(T_LOCATION[[#This Row],[ProjectID]],1)&amp;VALUE(MID(T_LOCATION[[#This Row],[ProjectID]],2,99)),
"")</calculatedColumnFormula>
    </tableColumn>
    <tableColumn id="2" xr3:uid="{F5D4BFB2-C461-4D1D-ADB0-9B62BA09A6BE}" name="ProjectName"/>
    <tableColumn id="3" xr3:uid="{40FD8F49-A99F-4849-894A-776FE9B0AB69}" name="Location">
      <calculatedColumnFormula>_xlfn.TEXTJOIN(" | ", TRUE, T_LOCATION[[#This Row],[ProjectID]], T_LOCATION[[#This Row],[ProjectID Abb]], T_LOCATION[[#This Row],[ProjectName]])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8371B6-A311-44AB-AD95-76BBCCCC842B}" name="T_REQUESTER" displayName="T_REQUESTER" ref="A1:E191" totalsRowShown="0">
  <autoFilter ref="A1:E191" xr:uid="{B98371B6-A311-44AB-AD95-76BBCCCC842B}"/>
  <tableColumns count="5">
    <tableColumn id="1" xr3:uid="{AB7AEDD2-E5E9-4885-873A-B22FA3ED4E18}" name="DisplayName"/>
    <tableColumn id="2" xr3:uid="{2148C4AC-D6AF-405E-86A8-6892A8FA9C7D}" name="CompanyName"/>
    <tableColumn id="3" xr3:uid="{75F4F8AB-B912-4977-A92F-5AD620717A38}" name="EmailAddress"/>
    <tableColumn id="4" xr3:uid="{BD96EFCF-BB07-47E2-BB09-E06FA5614FB2}" name="OfficeLocation"/>
    <tableColumn id="5" xr3:uid="{35DB8EAA-8EC5-4711-8A0F-B3C2892830E3}" name="JobTitl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46F8A6-83B2-4271-A7AD-6B5673376A2D}" name="T_WAREHOUSE_REP" displayName="T_WAREHOUSE_REP" ref="A1:E20" totalsRowShown="0">
  <autoFilter ref="A1:E20" xr:uid="{8146F8A6-83B2-4271-A7AD-6B5673376A2D}"/>
  <sortState xmlns:xlrd2="http://schemas.microsoft.com/office/spreadsheetml/2017/richdata2" ref="A2:E19">
    <sortCondition ref="E2:E20"/>
  </sortState>
  <tableColumns count="5">
    <tableColumn id="1" xr3:uid="{FFE1365A-0A22-43D5-87AB-1FA8C9A0299F}" name="DisplayName"/>
    <tableColumn id="2" xr3:uid="{D5ACE891-7AFD-448C-B6C4-5EDD6B034A49}" name="CompanyName"/>
    <tableColumn id="3" xr3:uid="{B8F3B421-5920-4FA3-BAB2-1D50140D778E}" name="EmailAddress"/>
    <tableColumn id="4" xr3:uid="{80EEBB42-C608-4F0A-A9DB-A5C27F225C27}" name="OfficeLocation"/>
    <tableColumn id="5" xr3:uid="{8249FD7D-FCF2-4EE8-9287-C14D935CFBD7}" name="JobTitl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75A436-E491-45AF-9764-1EF6316DBE0B}" name="T_BUYER" displayName="T_BUYER" ref="A1:E14" totalsRowShown="0" headerRowDxfId="18" dataDxfId="17">
  <autoFilter ref="A1:E14" xr:uid="{0575A436-E491-45AF-9764-1EF6316DBE0B}"/>
  <sortState xmlns:xlrd2="http://schemas.microsoft.com/office/spreadsheetml/2017/richdata2" ref="A2:E13">
    <sortCondition ref="E2:E14"/>
  </sortState>
  <tableColumns count="5">
    <tableColumn id="1" xr3:uid="{E1BB6612-4F23-4EED-B8F1-CF5982BA1DF6}" name="DisplayName" dataDxfId="16"/>
    <tableColumn id="2" xr3:uid="{5B4E8BEE-5F8B-4F64-84D8-F88F07C4ABC6}" name="CompanyName" dataDxfId="15"/>
    <tableColumn id="3" xr3:uid="{3C6CD560-2073-412C-8C06-7169BE0B16B2}" name="EmailAddress" dataDxfId="14"/>
    <tableColumn id="4" xr3:uid="{D306573A-5DB7-41D7-9B48-D59A3446CD7B}" name="OfficeLocation" dataDxfId="13"/>
    <tableColumn id="5" xr3:uid="{7288F768-73F4-495F-9081-0E3E82827FBC}" name="JobTitle" dataDxfId="12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0085DC5-67FF-4D75-83A9-B2F934272667}" name="T_INV_WAREHOUSE" displayName="T_INV_WAREHOUSE" ref="A1:F3" totalsRowShown="0" headerRowDxfId="11" dataDxfId="10">
  <autoFilter ref="A1:F3" xr:uid="{20085DC5-67FF-4D75-83A9-B2F934272667}"/>
  <tableColumns count="6">
    <tableColumn id="1" xr3:uid="{063B5733-8CBE-40C9-BFA6-CC023954234E}" name="Inventory_Warehouse" dataDxfId="9">
      <calculatedColumnFormula>_xlfn.TEXTJOIN(" | ",TRUE,T_INV_WAREHOUSE[[#This Row],[BU]:[WAREHOUSE NAME]])</calculatedColumnFormula>
    </tableColumn>
    <tableColumn id="2" xr3:uid="{65BE572E-2B7D-4595-AFF7-33BF61E79537}" name="BU" dataDxfId="8"/>
    <tableColumn id="5" xr3:uid="{1DCC7F62-C44E-4E29-A27C-8EC84B91DDDA}" name="COUNTRY" dataDxfId="7"/>
    <tableColumn id="6" xr3:uid="{0BF556F6-42A4-4428-BA6F-E9562AEBE60F}" name="PROVINCE" dataDxfId="6"/>
    <tableColumn id="3" xr3:uid="{F329687B-B73A-4C6F-BBCD-2E228417E205}" name="LOCATION_SITE" dataDxfId="5"/>
    <tableColumn id="4" xr3:uid="{0BD35289-9B86-4DD1-BA28-0B042B4593D9}" name="WAREHOUSE NAME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mailto:sam.charles@aertssen.b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CDBC-BA62-4538-B73D-2303C48718AE}">
  <sheetPr codeName="Sheet1"/>
  <dimension ref="A1:A6"/>
  <sheetViews>
    <sheetView workbookViewId="0">
      <selection activeCell="D9" sqref="D9"/>
    </sheetView>
  </sheetViews>
  <sheetFormatPr defaultRowHeight="15" x14ac:dyDescent="0.25"/>
  <cols>
    <col min="1" max="1" width="8.5703125" bestFit="1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5"/>
  <sheetViews>
    <sheetView workbookViewId="0">
      <selection activeCell="A23" sqref="A23"/>
    </sheetView>
  </sheetViews>
  <sheetFormatPr defaultRowHeight="15" x14ac:dyDescent="0.25"/>
  <cols>
    <col min="1" max="1" width="15.7109375" bestFit="1" customWidth="1"/>
  </cols>
  <sheetData>
    <row r="1" spans="1:1" x14ac:dyDescent="0.25">
      <c r="A1" s="2" t="s">
        <v>6</v>
      </c>
    </row>
    <row r="2" spans="1:1" x14ac:dyDescent="0.25">
      <c r="A2" s="1" t="s">
        <v>7</v>
      </c>
    </row>
    <row r="3" spans="1:1" x14ac:dyDescent="0.25">
      <c r="A3" s="1" t="s">
        <v>8</v>
      </c>
    </row>
    <row r="4" spans="1:1" x14ac:dyDescent="0.25">
      <c r="A4" s="1" t="s">
        <v>9</v>
      </c>
    </row>
    <row r="5" spans="1:1" x14ac:dyDescent="0.25">
      <c r="A5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9F99-4F1E-4D1C-B20D-1E138D2513D1}">
  <sheetPr codeName="Sheet3"/>
  <dimension ref="A1:A3"/>
  <sheetViews>
    <sheetView workbookViewId="0">
      <selection activeCell="C21" sqref="C21"/>
    </sheetView>
  </sheetViews>
  <sheetFormatPr defaultRowHeight="15" x14ac:dyDescent="0.25"/>
  <cols>
    <col min="1" max="1" width="15.140625" bestFit="1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6338-8C05-4BE1-89B2-F8B1AE922D15}">
  <sheetPr codeName="Sheet4"/>
  <dimension ref="A1:C7"/>
  <sheetViews>
    <sheetView workbookViewId="0">
      <selection activeCell="A2" sqref="A2"/>
    </sheetView>
  </sheetViews>
  <sheetFormatPr defaultRowHeight="15" x14ac:dyDescent="0.25"/>
  <cols>
    <col min="1" max="1" width="20.42578125" bestFit="1" customWidth="1"/>
    <col min="2" max="2" width="24.140625" bestFit="1" customWidth="1"/>
    <col min="3" max="3" width="28.5703125" bestFit="1" customWidth="1"/>
  </cols>
  <sheetData>
    <row r="1" spans="1:3" x14ac:dyDescent="0.25">
      <c r="A1" s="2" t="s">
        <v>14</v>
      </c>
      <c r="B1" s="2" t="s">
        <v>15</v>
      </c>
      <c r="C1" s="2" t="s">
        <v>16</v>
      </c>
    </row>
    <row r="2" spans="1:3" x14ac:dyDescent="0.25">
      <c r="A2" s="5" t="s">
        <v>17</v>
      </c>
      <c r="B2" s="5" t="s">
        <v>18</v>
      </c>
      <c r="C2" s="1" t="str">
        <f>_xlfn.TEXTJOIN(" | ", TRUE,T_ITEM_TYPE[[#This Row],[Item type - Primary]],T_ITEM_TYPE[[#This Row],[Item type - Secondary]])</f>
        <v>Material | Spare parts</v>
      </c>
    </row>
    <row r="3" spans="1:3" x14ac:dyDescent="0.25">
      <c r="A3" s="5" t="s">
        <v>17</v>
      </c>
      <c r="B3" s="5" t="s">
        <v>19</v>
      </c>
      <c r="C3" s="1" t="str">
        <f>_xlfn.TEXTJOIN(" | ", TRUE,T_ITEM_TYPE[[#This Row],[Item type - Primary]],T_ITEM_TYPE[[#This Row],[Item type - Secondary]])</f>
        <v>Material | General</v>
      </c>
    </row>
    <row r="4" spans="1:3" x14ac:dyDescent="0.25">
      <c r="A4" s="5" t="s">
        <v>20</v>
      </c>
      <c r="B4" s="5" t="s">
        <v>21</v>
      </c>
      <c r="C4" s="1" t="str">
        <f>_xlfn.TEXTJOIN(" | ", TRUE,T_ITEM_TYPE[[#This Row],[Item type - Primary]],T_ITEM_TYPE[[#This Row],[Item type - Secondary]])</f>
        <v>Service | TPI &amp; Training services</v>
      </c>
    </row>
    <row r="5" spans="1:3" x14ac:dyDescent="0.25">
      <c r="A5" s="5" t="s">
        <v>20</v>
      </c>
      <c r="B5" s="5" t="s">
        <v>22</v>
      </c>
      <c r="C5" s="1" t="str">
        <f>_xlfn.TEXTJOIN(" | ", TRUE,T_ITEM_TYPE[[#This Row],[Item type - Primary]],T_ITEM_TYPE[[#This Row],[Item type - Secondary]])</f>
        <v>Service | Rental Services</v>
      </c>
    </row>
    <row r="6" spans="1:3" x14ac:dyDescent="0.25">
      <c r="A6" s="5" t="s">
        <v>20</v>
      </c>
      <c r="B6" s="5" t="s">
        <v>19</v>
      </c>
      <c r="C6" s="1" t="str">
        <f>_xlfn.TEXTJOIN(" | ", TRUE,T_ITEM_TYPE[[#This Row],[Item type - Primary]],T_ITEM_TYPE[[#This Row],[Item type - Secondary]])</f>
        <v>Service | General</v>
      </c>
    </row>
    <row r="7" spans="1:3" x14ac:dyDescent="0.25">
      <c r="A7" s="5" t="s">
        <v>20</v>
      </c>
      <c r="B7" s="5" t="s">
        <v>23</v>
      </c>
      <c r="C7" s="1" t="str">
        <f>_xlfn.TEXTJOIN(" | ", TRUE,T_ITEM_TYPE[[#This Row],[Item type - Primary]],T_ITEM_TYPE[[#This Row],[Item type - Secondary]])</f>
        <v>Service | Maintenance services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2C78-D1F9-4E9F-B5A2-2426925997FC}">
  <sheetPr codeName="Sheet6"/>
  <dimension ref="A1:M294"/>
  <sheetViews>
    <sheetView topLeftCell="G1" workbookViewId="0">
      <selection activeCell="H14" sqref="H14"/>
    </sheetView>
  </sheetViews>
  <sheetFormatPr defaultRowHeight="15" x14ac:dyDescent="0.25"/>
  <cols>
    <col min="1" max="1" width="13.140625" bestFit="1" customWidth="1"/>
    <col min="2" max="2" width="22.42578125" bestFit="1" customWidth="1"/>
    <col min="3" max="3" width="22.42578125" customWidth="1"/>
    <col min="4" max="4" width="35.42578125" bestFit="1" customWidth="1"/>
    <col min="5" max="5" width="19.28515625" bestFit="1" customWidth="1"/>
    <col min="6" max="6" width="14.7109375" bestFit="1" customWidth="1"/>
    <col min="7" max="7" width="44.28515625" bestFit="1" customWidth="1"/>
    <col min="8" max="8" width="62.42578125" bestFit="1" customWidth="1"/>
    <col min="10" max="10" width="102" customWidth="1"/>
    <col min="11" max="11" width="16.85546875" customWidth="1"/>
    <col min="12" max="12" width="22" style="14" bestFit="1" customWidth="1"/>
    <col min="13" max="13" width="45.7109375" style="14" bestFit="1" customWidth="1"/>
  </cols>
  <sheetData>
    <row r="1" spans="1:13" x14ac:dyDescent="0.25">
      <c r="A1" t="s">
        <v>213</v>
      </c>
      <c r="B1" t="s">
        <v>24</v>
      </c>
      <c r="C1" t="s">
        <v>25</v>
      </c>
      <c r="D1" t="s">
        <v>214</v>
      </c>
      <c r="E1" t="s">
        <v>215</v>
      </c>
      <c r="F1" t="s">
        <v>216</v>
      </c>
      <c r="G1" t="s">
        <v>26</v>
      </c>
      <c r="H1" t="s">
        <v>217</v>
      </c>
      <c r="J1" t="s">
        <v>218</v>
      </c>
      <c r="L1" t="s">
        <v>1201</v>
      </c>
      <c r="M1" t="s">
        <v>1202</v>
      </c>
    </row>
    <row r="2" spans="1:13" ht="45" x14ac:dyDescent="0.25">
      <c r="A2" t="s">
        <v>219</v>
      </c>
      <c r="B2" s="14" t="s">
        <v>220</v>
      </c>
      <c r="C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" t="s">
        <v>221</v>
      </c>
      <c r="E2" t="s">
        <v>222</v>
      </c>
      <c r="F2" t="s">
        <v>223</v>
      </c>
      <c r="G2" t="s">
        <v>224</v>
      </c>
      <c r="H2" t="str">
        <f>_xlfn.TEXTJOIN(" | ", TRUE, T_PROJECTS[[#This Row],[ProjectID]], T_PROJECTS[[#This Row],[ProjectName]],T_PROJECTS[[#This Row],[ProjectID Abb]])</f>
        <v>1 Direct Labor_01 | Salary</v>
      </c>
      <c r="J2" s="6" t="s">
        <v>692</v>
      </c>
      <c r="K2" s="6"/>
      <c r="L2" s="14" t="s">
        <v>220</v>
      </c>
      <c r="M2" s="14" t="s">
        <v>224</v>
      </c>
    </row>
    <row r="3" spans="1:13" x14ac:dyDescent="0.25">
      <c r="A3" t="s">
        <v>219</v>
      </c>
      <c r="B3" s="14" t="s">
        <v>225</v>
      </c>
      <c r="C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3" t="s">
        <v>226</v>
      </c>
      <c r="E3" t="s">
        <v>222</v>
      </c>
      <c r="F3" t="s">
        <v>223</v>
      </c>
      <c r="G3" t="s">
        <v>227</v>
      </c>
      <c r="H3" t="str">
        <f>_xlfn.TEXTJOIN(" | ", TRUE, T_PROJECTS[[#This Row],[ProjectID]], T_PROJECTS[[#This Row],[ProjectName]],T_PROJECTS[[#This Row],[ProjectID Abb]])</f>
        <v>1 Direct Labor_02 | Extralegal</v>
      </c>
      <c r="L3" s="14" t="s">
        <v>225</v>
      </c>
      <c r="M3" s="14" t="s">
        <v>227</v>
      </c>
    </row>
    <row r="4" spans="1:13" x14ac:dyDescent="0.25">
      <c r="A4" t="s">
        <v>219</v>
      </c>
      <c r="B4" s="14" t="s">
        <v>228</v>
      </c>
      <c r="C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4" t="s">
        <v>226</v>
      </c>
      <c r="E4" t="s">
        <v>225</v>
      </c>
      <c r="F4" t="s">
        <v>223</v>
      </c>
      <c r="G4" t="s">
        <v>229</v>
      </c>
      <c r="H4" t="str">
        <f>_xlfn.TEXTJOIN(" | ", TRUE, T_PROJECTS[[#This Row],[ProjectID]], T_PROJECTS[[#This Row],[ProjectName]],T_PROJECTS[[#This Row],[ProjectID Abb]])</f>
        <v>1 Direct Labor_02_01 | Extralegal fuel</v>
      </c>
      <c r="L4" s="14" t="s">
        <v>228</v>
      </c>
      <c r="M4" s="14" t="s">
        <v>229</v>
      </c>
    </row>
    <row r="5" spans="1:13" x14ac:dyDescent="0.25">
      <c r="A5" t="s">
        <v>219</v>
      </c>
      <c r="B5" s="14" t="s">
        <v>230</v>
      </c>
      <c r="C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5" t="s">
        <v>226</v>
      </c>
      <c r="E5" t="s">
        <v>225</v>
      </c>
      <c r="F5" t="s">
        <v>223</v>
      </c>
      <c r="G5" t="s">
        <v>231</v>
      </c>
      <c r="H5" t="str">
        <f>_xlfn.TEXTJOIN(" | ", TRUE, T_PROJECTS[[#This Row],[ProjectID]], T_PROJECTS[[#This Row],[ProjectName]],T_PROJECTS[[#This Row],[ProjectID Abb]])</f>
        <v>1 Direct Labor_02_02 | Rental private cars</v>
      </c>
      <c r="J5" s="4" t="s">
        <v>232</v>
      </c>
      <c r="K5" s="4"/>
      <c r="L5" s="14" t="s">
        <v>230</v>
      </c>
      <c r="M5" s="14" t="s">
        <v>231</v>
      </c>
    </row>
    <row r="6" spans="1:13" x14ac:dyDescent="0.25">
      <c r="A6" t="s">
        <v>219</v>
      </c>
      <c r="B6" s="14" t="s">
        <v>360</v>
      </c>
      <c r="C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6" t="s">
        <v>234</v>
      </c>
      <c r="E6" t="s">
        <v>222</v>
      </c>
      <c r="F6" t="s">
        <v>223</v>
      </c>
      <c r="G6" t="s">
        <v>361</v>
      </c>
      <c r="H6" t="str">
        <f>_xlfn.TEXTJOIN(" | ", TRUE, T_PROJECTS[[#This Row],[ProjectID]], T_PROJECTS[[#This Row],[ProjectName]],T_PROJECTS[[#This Row],[ProjectID Abb]])</f>
        <v>1 Direct Labor_02_03 | Housing</v>
      </c>
      <c r="L6" s="14" t="s">
        <v>360</v>
      </c>
      <c r="M6" s="14" t="s">
        <v>361</v>
      </c>
    </row>
    <row r="7" spans="1:13" x14ac:dyDescent="0.25">
      <c r="A7" t="s">
        <v>219</v>
      </c>
      <c r="B7" s="14" t="s">
        <v>362</v>
      </c>
      <c r="C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7" t="s">
        <v>237</v>
      </c>
      <c r="E7" t="s">
        <v>222</v>
      </c>
      <c r="F7" t="s">
        <v>223</v>
      </c>
      <c r="G7" t="s">
        <v>363</v>
      </c>
      <c r="H7" t="str">
        <f>_xlfn.TEXTJOIN(" | ", TRUE, T_PROJECTS[[#This Row],[ProjectID]], T_PROJECTS[[#This Row],[ProjectName]],T_PROJECTS[[#This Row],[ProjectID Abb]])</f>
        <v>1 Direct Labor_02_04 | Utilities</v>
      </c>
      <c r="L7" s="14" t="s">
        <v>362</v>
      </c>
      <c r="M7" s="14" t="s">
        <v>363</v>
      </c>
    </row>
    <row r="8" spans="1:13" x14ac:dyDescent="0.25">
      <c r="A8" t="s">
        <v>219</v>
      </c>
      <c r="B8" s="14" t="s">
        <v>364</v>
      </c>
      <c r="C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8" t="s">
        <v>240</v>
      </c>
      <c r="E8" t="s">
        <v>222</v>
      </c>
      <c r="F8" t="s">
        <v>223</v>
      </c>
      <c r="G8" t="s">
        <v>365</v>
      </c>
      <c r="H8" t="str">
        <f>_xlfn.TEXTJOIN(" | ", TRUE, T_PROJECTS[[#This Row],[ProjectID]], T_PROJECTS[[#This Row],[ProjectName]],T_PROJECTS[[#This Row],[ProjectID Abb]])</f>
        <v>1 Direct Labor_02_07 | Laundry service</v>
      </c>
      <c r="L8" s="14" t="s">
        <v>364</v>
      </c>
      <c r="M8" s="14" t="s">
        <v>365</v>
      </c>
    </row>
    <row r="9" spans="1:13" x14ac:dyDescent="0.25">
      <c r="A9" t="s">
        <v>219</v>
      </c>
      <c r="B9" s="14" t="s">
        <v>372</v>
      </c>
      <c r="C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9" t="s">
        <v>243</v>
      </c>
      <c r="E9" t="s">
        <v>222</v>
      </c>
      <c r="F9" t="s">
        <v>223</v>
      </c>
      <c r="G9" t="s">
        <v>373</v>
      </c>
      <c r="H9" t="str">
        <f>_xlfn.TEXTJOIN(" | ", TRUE, T_PROJECTS[[#This Row],[ProjectID]], T_PROJECTS[[#This Row],[ProjectName]],T_PROJECTS[[#This Row],[ProjectID Abb]])</f>
        <v>1 Direct Labor_02_08 | Food</v>
      </c>
      <c r="L9" s="14" t="s">
        <v>372</v>
      </c>
      <c r="M9" s="14" t="s">
        <v>373</v>
      </c>
    </row>
    <row r="10" spans="1:13" x14ac:dyDescent="0.25">
      <c r="A10" t="s">
        <v>219</v>
      </c>
      <c r="B10" s="14" t="s">
        <v>374</v>
      </c>
      <c r="C1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0" t="s">
        <v>246</v>
      </c>
      <c r="E10" t="s">
        <v>222</v>
      </c>
      <c r="F10" t="s">
        <v>223</v>
      </c>
      <c r="G10" t="s">
        <v>375</v>
      </c>
      <c r="H10" t="str">
        <f>_xlfn.TEXTJOIN(" | ", TRUE, T_PROJECTS[[#This Row],[ProjectID]], T_PROJECTS[[#This Row],[ProjectName]],T_PROJECTS[[#This Row],[ProjectID Abb]])</f>
        <v>1 Direct Labor_02_09 | Visa &amp; licenses</v>
      </c>
      <c r="L10" s="14" t="s">
        <v>374</v>
      </c>
      <c r="M10" s="14" t="s">
        <v>375</v>
      </c>
    </row>
    <row r="11" spans="1:13" x14ac:dyDescent="0.25">
      <c r="A11" t="s">
        <v>219</v>
      </c>
      <c r="B11" s="14" t="s">
        <v>233</v>
      </c>
      <c r="C1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1" t="s">
        <v>249</v>
      </c>
      <c r="E11" t="s">
        <v>250</v>
      </c>
      <c r="F11" t="s">
        <v>223</v>
      </c>
      <c r="G11" t="s">
        <v>235</v>
      </c>
      <c r="H11" t="str">
        <f>_xlfn.TEXTJOIN(" | ", TRUE, T_PROJECTS[[#This Row],[ProjectID]], T_PROJECTS[[#This Row],[ProjectName]],T_PROJECTS[[#This Row],[ProjectID Abb]])</f>
        <v>1 Direct Labor_03 | Insurance</v>
      </c>
      <c r="L11" s="14" t="s">
        <v>233</v>
      </c>
      <c r="M11" s="14" t="s">
        <v>235</v>
      </c>
    </row>
    <row r="12" spans="1:13" x14ac:dyDescent="0.25">
      <c r="A12" t="s">
        <v>219</v>
      </c>
      <c r="B12" s="14" t="s">
        <v>236</v>
      </c>
      <c r="C1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2" t="s">
        <v>253</v>
      </c>
      <c r="E12" t="s">
        <v>254</v>
      </c>
      <c r="F12" t="s">
        <v>223</v>
      </c>
      <c r="G12" t="s">
        <v>238</v>
      </c>
      <c r="H12" t="str">
        <f>_xlfn.TEXTJOIN(" | ", TRUE, T_PROJECTS[[#This Row],[ProjectID]], T_PROJECTS[[#This Row],[ProjectName]],T_PROJECTS[[#This Row],[ProjectID Abb]])</f>
        <v>1 Direct Labor_04 | Travel</v>
      </c>
      <c r="L12" s="14" t="s">
        <v>236</v>
      </c>
      <c r="M12" s="14" t="s">
        <v>238</v>
      </c>
    </row>
    <row r="13" spans="1:13" x14ac:dyDescent="0.25">
      <c r="A13" t="s">
        <v>219</v>
      </c>
      <c r="B13" s="14" t="s">
        <v>239</v>
      </c>
      <c r="C1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3" t="s">
        <v>257</v>
      </c>
      <c r="E13" t="s">
        <v>254</v>
      </c>
      <c r="F13" t="s">
        <v>223</v>
      </c>
      <c r="G13" t="s">
        <v>241</v>
      </c>
      <c r="H13" t="str">
        <f>_xlfn.TEXTJOIN(" | ", TRUE, T_PROJECTS[[#This Row],[ProjectID]], T_PROJECTS[[#This Row],[ProjectName]],T_PROJECTS[[#This Row],[ProjectID Abb]])</f>
        <v>1 Direct Labor_05 | Training</v>
      </c>
      <c r="L13" s="14" t="s">
        <v>239</v>
      </c>
      <c r="M13" s="14" t="s">
        <v>241</v>
      </c>
    </row>
    <row r="14" spans="1:13" x14ac:dyDescent="0.25">
      <c r="A14" t="s">
        <v>219</v>
      </c>
      <c r="B14" s="14" t="s">
        <v>242</v>
      </c>
      <c r="C1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4" t="s">
        <v>259</v>
      </c>
      <c r="E14" t="s">
        <v>254</v>
      </c>
      <c r="F14" t="s">
        <v>223</v>
      </c>
      <c r="G14" t="s">
        <v>244</v>
      </c>
      <c r="H14" t="str">
        <f>_xlfn.TEXTJOIN(" | ", TRUE, T_PROJECTS[[#This Row],[ProjectID]], T_PROJECTS[[#This Row],[ProjectName]],T_PROJECTS[[#This Row],[ProjectID Abb]])</f>
        <v>1 Direct Labor_06 | Temporary staff</v>
      </c>
      <c r="L14" s="14" t="s">
        <v>242</v>
      </c>
      <c r="M14" s="14" t="s">
        <v>244</v>
      </c>
    </row>
    <row r="15" spans="1:13" x14ac:dyDescent="0.25">
      <c r="A15" t="s">
        <v>219</v>
      </c>
      <c r="B15" s="14" t="s">
        <v>245</v>
      </c>
      <c r="C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5" t="s">
        <v>262</v>
      </c>
      <c r="E15" t="s">
        <v>254</v>
      </c>
      <c r="F15" t="s">
        <v>223</v>
      </c>
      <c r="G15" t="s">
        <v>247</v>
      </c>
      <c r="H15" t="str">
        <f>_xlfn.TEXTJOIN(" | ", TRUE, T_PROJECTS[[#This Row],[ProjectID]], T_PROJECTS[[#This Row],[ProjectName]],T_PROJECTS[[#This Row],[ProjectID Abb]])</f>
        <v>1 Direct Labor_07 | Personal Protection Equipment (PPE)</v>
      </c>
      <c r="L15" s="14" t="s">
        <v>245</v>
      </c>
      <c r="M15" s="14" t="s">
        <v>247</v>
      </c>
    </row>
    <row r="16" spans="1:13" x14ac:dyDescent="0.25">
      <c r="A16" t="s">
        <v>219</v>
      </c>
      <c r="B16" s="14" t="s">
        <v>369</v>
      </c>
      <c r="C1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6" t="s">
        <v>265</v>
      </c>
      <c r="E16" t="s">
        <v>254</v>
      </c>
      <c r="F16" t="s">
        <v>223</v>
      </c>
      <c r="G16" t="s">
        <v>328</v>
      </c>
      <c r="H16" t="str">
        <f>_xlfn.TEXTJOIN(" | ", TRUE, T_PROJECTS[[#This Row],[ProjectID]], T_PROJECTS[[#This Row],[ProjectName]],T_PROJECTS[[#This Row],[ProjectID Abb]])</f>
        <v>1 Direct Labor_08 | Other</v>
      </c>
      <c r="L16" s="14" t="s">
        <v>369</v>
      </c>
      <c r="M16" s="14" t="s">
        <v>328</v>
      </c>
    </row>
    <row r="17" spans="1:13" x14ac:dyDescent="0.25">
      <c r="A17" t="s">
        <v>219</v>
      </c>
      <c r="B17" s="14" t="s">
        <v>380</v>
      </c>
      <c r="C1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7" t="s">
        <v>268</v>
      </c>
      <c r="E17" t="s">
        <v>254</v>
      </c>
      <c r="F17" t="s">
        <v>223</v>
      </c>
      <c r="G17" t="s">
        <v>382</v>
      </c>
      <c r="H17" t="str">
        <f>_xlfn.TEXTJOIN(" | ", TRUE, T_PROJECTS[[#This Row],[ProjectID]], T_PROJECTS[[#This Row],[ProjectName]],T_PROJECTS[[#This Row],[ProjectID Abb]])</f>
        <v>1 Equipment_00 | AMS Internal</v>
      </c>
      <c r="L17" s="14" t="s">
        <v>380</v>
      </c>
      <c r="M17" s="14" t="s">
        <v>382</v>
      </c>
    </row>
    <row r="18" spans="1:13" x14ac:dyDescent="0.25">
      <c r="A18" t="s">
        <v>219</v>
      </c>
      <c r="B18" s="14" t="s">
        <v>248</v>
      </c>
      <c r="C1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8" t="s">
        <v>271</v>
      </c>
      <c r="E18" t="s">
        <v>254</v>
      </c>
      <c r="F18" t="s">
        <v>223</v>
      </c>
      <c r="G18" t="s">
        <v>251</v>
      </c>
      <c r="H18" t="str">
        <f>_xlfn.TEXTJOIN(" | ", TRUE, T_PROJECTS[[#This Row],[ProjectID]], T_PROJECTS[[#This Row],[ProjectName]],T_PROJECTS[[#This Row],[ProjectID Abb]])</f>
        <v>1 Equipment_01_01 | Maintenance &amp; repair AMS Cranes</v>
      </c>
      <c r="L18" s="14" t="s">
        <v>248</v>
      </c>
      <c r="M18" s="14" t="s">
        <v>251</v>
      </c>
    </row>
    <row r="19" spans="1:13" x14ac:dyDescent="0.25">
      <c r="A19" t="s">
        <v>219</v>
      </c>
      <c r="B19" s="14" t="s">
        <v>383</v>
      </c>
      <c r="C1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9" t="s">
        <v>274</v>
      </c>
      <c r="E19" t="s">
        <v>254</v>
      </c>
      <c r="F19" t="s">
        <v>223</v>
      </c>
      <c r="G19" t="s">
        <v>385</v>
      </c>
      <c r="H19" t="str">
        <f>_xlfn.TEXTJOIN(" | ", TRUE, T_PROJECTS[[#This Row],[ProjectID]], T_PROJECTS[[#This Row],[ProjectName]],T_PROJECTS[[#This Row],[ProjectID Abb]])</f>
        <v>1 Equipment_01_02 | Maintenance &amp; repair Earth Works</v>
      </c>
      <c r="L19" s="14" t="s">
        <v>383</v>
      </c>
      <c r="M19" s="14" t="s">
        <v>385</v>
      </c>
    </row>
    <row r="20" spans="1:13" x14ac:dyDescent="0.25">
      <c r="A20" t="s">
        <v>219</v>
      </c>
      <c r="B20" s="14" t="s">
        <v>527</v>
      </c>
      <c r="C2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0" t="s">
        <v>277</v>
      </c>
      <c r="E20" t="s">
        <v>278</v>
      </c>
      <c r="F20" t="s">
        <v>223</v>
      </c>
      <c r="G20" t="s">
        <v>529</v>
      </c>
      <c r="H20" t="str">
        <f>_xlfn.TEXTJOIN(" | ", TRUE, T_PROJECTS[[#This Row],[ProjectID]], T_PROJECTS[[#This Row],[ProjectName]],T_PROJECTS[[#This Row],[ProjectID Abb]])</f>
        <v>1 Equipment_01_03 | Maintenance &amp; repair Shared Service</v>
      </c>
      <c r="L20" s="14" t="s">
        <v>527</v>
      </c>
      <c r="M20" s="14" t="s">
        <v>529</v>
      </c>
    </row>
    <row r="21" spans="1:13" x14ac:dyDescent="0.25">
      <c r="A21" t="s">
        <v>219</v>
      </c>
      <c r="B21" s="14" t="s">
        <v>252</v>
      </c>
      <c r="C2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1" t="s">
        <v>281</v>
      </c>
      <c r="E21" t="s">
        <v>278</v>
      </c>
      <c r="F21" t="s">
        <v>223</v>
      </c>
      <c r="G21" t="s">
        <v>255</v>
      </c>
      <c r="H21" t="str">
        <f>_xlfn.TEXTJOIN(" | ", TRUE, T_PROJECTS[[#This Row],[ProjectID]], T_PROJECTS[[#This Row],[ProjectName]],T_PROJECTS[[#This Row],[ProjectID Abb]])</f>
        <v>1 Equipment_02 | Fuel</v>
      </c>
      <c r="L21" s="14" t="s">
        <v>252</v>
      </c>
      <c r="M21" s="14" t="s">
        <v>255</v>
      </c>
    </row>
    <row r="22" spans="1:13" x14ac:dyDescent="0.25">
      <c r="A22" t="s">
        <v>219</v>
      </c>
      <c r="B22" s="14" t="s">
        <v>256</v>
      </c>
      <c r="C2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2" t="s">
        <v>284</v>
      </c>
      <c r="E22" t="s">
        <v>278</v>
      </c>
      <c r="F22" t="s">
        <v>223</v>
      </c>
      <c r="G22" t="s">
        <v>235</v>
      </c>
      <c r="H22" t="str">
        <f>_xlfn.TEXTJOIN(" | ", TRUE, T_PROJECTS[[#This Row],[ProjectID]], T_PROJECTS[[#This Row],[ProjectName]],T_PROJECTS[[#This Row],[ProjectID Abb]])</f>
        <v>1 Equipment_03 | Insurance</v>
      </c>
      <c r="L22" s="14" t="s">
        <v>256</v>
      </c>
      <c r="M22" s="14" t="s">
        <v>235</v>
      </c>
    </row>
    <row r="23" spans="1:13" x14ac:dyDescent="0.25">
      <c r="A23" t="s">
        <v>219</v>
      </c>
      <c r="B23" s="14" t="s">
        <v>386</v>
      </c>
      <c r="C2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3" t="s">
        <v>287</v>
      </c>
      <c r="E23" t="s">
        <v>283</v>
      </c>
      <c r="F23" t="s">
        <v>223</v>
      </c>
      <c r="G23" t="s">
        <v>389</v>
      </c>
      <c r="H23" t="str">
        <f>_xlfn.TEXTJOIN(" | ", TRUE, T_PROJECTS[[#This Row],[ProjectID]], T_PROJECTS[[#This Row],[ProjectName]],T_PROJECTS[[#This Row],[ProjectID Abb]])</f>
        <v>1 Equipment_04_01 | Assets non depreciated AMS Cranes</v>
      </c>
      <c r="L23" s="14" t="s">
        <v>386</v>
      </c>
      <c r="M23" s="14" t="s">
        <v>389</v>
      </c>
    </row>
    <row r="24" spans="1:13" x14ac:dyDescent="0.25">
      <c r="A24" t="s">
        <v>219</v>
      </c>
      <c r="B24" s="14" t="s">
        <v>390</v>
      </c>
      <c r="C2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4" t="s">
        <v>290</v>
      </c>
      <c r="E24" t="s">
        <v>283</v>
      </c>
      <c r="F24" t="s">
        <v>223</v>
      </c>
      <c r="G24" t="s">
        <v>392</v>
      </c>
      <c r="H24" t="str">
        <f>_xlfn.TEXTJOIN(" | ", TRUE, T_PROJECTS[[#This Row],[ProjectID]], T_PROJECTS[[#This Row],[ProjectName]],T_PROJECTS[[#This Row],[ProjectID Abb]])</f>
        <v>1 Equipment_04_02 | Assets non depreciated Earth Works</v>
      </c>
      <c r="L24" s="14" t="s">
        <v>390</v>
      </c>
      <c r="M24" s="14" t="s">
        <v>392</v>
      </c>
    </row>
    <row r="25" spans="1:13" x14ac:dyDescent="0.25">
      <c r="A25" t="s">
        <v>219</v>
      </c>
      <c r="B25" s="14" t="s">
        <v>675</v>
      </c>
      <c r="C2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5" t="s">
        <v>293</v>
      </c>
      <c r="E25" t="s">
        <v>278</v>
      </c>
      <c r="F25" t="s">
        <v>223</v>
      </c>
      <c r="G25" t="s">
        <v>677</v>
      </c>
      <c r="H25" t="str">
        <f>_xlfn.TEXTJOIN(" | ", TRUE, T_PROJECTS[[#This Row],[ProjectID]], T_PROJECTS[[#This Row],[ProjectName]],T_PROJECTS[[#This Row],[ProjectID Abb]])</f>
        <v>1 Equipment_04_03 | Assets non depreciated Shared Service</v>
      </c>
      <c r="L25" s="14" t="s">
        <v>675</v>
      </c>
      <c r="M25" s="14" t="s">
        <v>677</v>
      </c>
    </row>
    <row r="26" spans="1:13" x14ac:dyDescent="0.25">
      <c r="A26" t="s">
        <v>219</v>
      </c>
      <c r="B26" s="14" t="s">
        <v>258</v>
      </c>
      <c r="C2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6" t="s">
        <v>296</v>
      </c>
      <c r="E26" t="s">
        <v>278</v>
      </c>
      <c r="F26" t="s">
        <v>223</v>
      </c>
      <c r="G26" t="s">
        <v>260</v>
      </c>
      <c r="H26" t="str">
        <f>_xlfn.TEXTJOIN(" | ", TRUE, T_PROJECTS[[#This Row],[ProjectID]], T_PROJECTS[[#This Row],[ProjectName]],T_PROJECTS[[#This Row],[ProjectID Abb]])</f>
        <v>1 Equipment_05 | Rent</v>
      </c>
      <c r="L26" s="14" t="s">
        <v>258</v>
      </c>
      <c r="M26" s="14" t="s">
        <v>260</v>
      </c>
    </row>
    <row r="27" spans="1:13" x14ac:dyDescent="0.25">
      <c r="A27" t="s">
        <v>219</v>
      </c>
      <c r="B27" s="14" t="s">
        <v>261</v>
      </c>
      <c r="C2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7" t="s">
        <v>299</v>
      </c>
      <c r="E27" t="s">
        <v>278</v>
      </c>
      <c r="F27" t="s">
        <v>223</v>
      </c>
      <c r="G27" t="s">
        <v>263</v>
      </c>
      <c r="H27" t="str">
        <f>_xlfn.TEXTJOIN(" | ", TRUE, T_PROJECTS[[#This Row],[ProjectID]], T_PROJECTS[[#This Row],[ProjectName]],T_PROJECTS[[#This Row],[ProjectID Abb]])</f>
        <v>1 Equipment_06 | Intrest</v>
      </c>
      <c r="L27" s="14" t="s">
        <v>261</v>
      </c>
      <c r="M27" s="14" t="s">
        <v>263</v>
      </c>
    </row>
    <row r="28" spans="1:13" x14ac:dyDescent="0.25">
      <c r="A28" t="s">
        <v>219</v>
      </c>
      <c r="B28" s="14" t="s">
        <v>264</v>
      </c>
      <c r="C2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8" t="s">
        <v>301</v>
      </c>
      <c r="E28" t="s">
        <v>278</v>
      </c>
      <c r="F28" t="s">
        <v>223</v>
      </c>
      <c r="G28" t="s">
        <v>266</v>
      </c>
      <c r="H28" t="str">
        <f>_xlfn.TEXTJOIN(" | ", TRUE, T_PROJECTS[[#This Row],[ProjectID]], T_PROJECTS[[#This Row],[ProjectName]],T_PROJECTS[[#This Row],[ProjectID Abb]])</f>
        <v>1 Equipment_07 | Depreciation</v>
      </c>
      <c r="L28" s="14" t="s">
        <v>264</v>
      </c>
      <c r="M28" s="14" t="s">
        <v>266</v>
      </c>
    </row>
    <row r="29" spans="1:13" x14ac:dyDescent="0.25">
      <c r="A29" t="s">
        <v>219</v>
      </c>
      <c r="B29" s="14" t="s">
        <v>267</v>
      </c>
      <c r="C2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9" t="s">
        <v>304</v>
      </c>
      <c r="E29" t="s">
        <v>278</v>
      </c>
      <c r="F29" t="s">
        <v>223</v>
      </c>
      <c r="G29" t="s">
        <v>269</v>
      </c>
      <c r="H29" t="str">
        <f>_xlfn.TEXTJOIN(" | ", TRUE, T_PROJECTS[[#This Row],[ProjectID]], T_PROJECTS[[#This Row],[ProjectName]],T_PROJECTS[[#This Row],[ProjectID Abb]])</f>
        <v>1 Equipment_08 | Taxes (incl. Duties)</v>
      </c>
      <c r="L29" s="14" t="s">
        <v>267</v>
      </c>
      <c r="M29" s="14" t="s">
        <v>269</v>
      </c>
    </row>
    <row r="30" spans="1:13" x14ac:dyDescent="0.25">
      <c r="A30" t="s">
        <v>219</v>
      </c>
      <c r="B30" s="14" t="s">
        <v>270</v>
      </c>
      <c r="C3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30" t="s">
        <v>307</v>
      </c>
      <c r="E30" t="s">
        <v>278</v>
      </c>
      <c r="F30" t="s">
        <v>223</v>
      </c>
      <c r="G30" t="s">
        <v>272</v>
      </c>
      <c r="H30" t="str">
        <f>_xlfn.TEXTJOIN(" | ", TRUE, T_PROJECTS[[#This Row],[ProjectID]], T_PROJECTS[[#This Row],[ProjectName]],T_PROJECTS[[#This Row],[ProjectID Abb]])</f>
        <v>1 Equipment_09 | Technical inspection</v>
      </c>
      <c r="L30" s="14" t="s">
        <v>270</v>
      </c>
      <c r="M30" s="14" t="s">
        <v>272</v>
      </c>
    </row>
    <row r="31" spans="1:13" x14ac:dyDescent="0.25">
      <c r="A31" t="s">
        <v>219</v>
      </c>
      <c r="B31" s="14" t="s">
        <v>273</v>
      </c>
      <c r="C3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31" t="s">
        <v>310</v>
      </c>
      <c r="E31" t="s">
        <v>306</v>
      </c>
      <c r="F31" t="s">
        <v>223</v>
      </c>
      <c r="G31" t="s">
        <v>275</v>
      </c>
      <c r="H31" t="str">
        <f>_xlfn.TEXTJOIN(" | ", TRUE, T_PROJECTS[[#This Row],[ProjectID]], T_PROJECTS[[#This Row],[ProjectName]],T_PROJECTS[[#This Row],[ProjectID Abb]])</f>
        <v>1 Equipment_10 | Off-balance rent</v>
      </c>
      <c r="L31" s="14" t="s">
        <v>273</v>
      </c>
      <c r="M31" s="14" t="s">
        <v>275</v>
      </c>
    </row>
    <row r="32" spans="1:13" x14ac:dyDescent="0.25">
      <c r="A32" t="s">
        <v>219</v>
      </c>
      <c r="B32" s="14" t="s">
        <v>410</v>
      </c>
      <c r="C3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32" t="s">
        <v>312</v>
      </c>
      <c r="E32" t="s">
        <v>306</v>
      </c>
      <c r="F32" t="s">
        <v>223</v>
      </c>
      <c r="G32" t="s">
        <v>413</v>
      </c>
      <c r="H32" t="str">
        <f>_xlfn.TEXTJOIN(" | ", TRUE, T_PROJECTS[[#This Row],[ProjectID]], T_PROJECTS[[#This Row],[ProjectName]],T_PROJECTS[[#This Row],[ProjectID Abb]])</f>
        <v>1 Equipment_11_01 | Transport AMS Cranes</v>
      </c>
      <c r="L32" s="14" t="s">
        <v>410</v>
      </c>
      <c r="M32" s="14" t="s">
        <v>413</v>
      </c>
    </row>
    <row r="33" spans="1:13" x14ac:dyDescent="0.25">
      <c r="A33" t="s">
        <v>219</v>
      </c>
      <c r="B33" s="14" t="s">
        <v>414</v>
      </c>
      <c r="C3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33" t="s">
        <v>314</v>
      </c>
      <c r="E33" t="s">
        <v>306</v>
      </c>
      <c r="F33" t="s">
        <v>223</v>
      </c>
      <c r="G33" t="s">
        <v>416</v>
      </c>
      <c r="H33" t="str">
        <f>_xlfn.TEXTJOIN(" | ", TRUE, T_PROJECTS[[#This Row],[ProjectID]], T_PROJECTS[[#This Row],[ProjectName]],T_PROJECTS[[#This Row],[ProjectID Abb]])</f>
        <v>1 Equipment_11_02 | Transport Earth Works</v>
      </c>
      <c r="L33" s="14" t="s">
        <v>414</v>
      </c>
      <c r="M33" s="14" t="s">
        <v>416</v>
      </c>
    </row>
    <row r="34" spans="1:13" x14ac:dyDescent="0.25">
      <c r="A34" t="s">
        <v>219</v>
      </c>
      <c r="B34" s="14" t="s">
        <v>276</v>
      </c>
      <c r="C3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34" t="s">
        <v>316</v>
      </c>
      <c r="E34" t="s">
        <v>306</v>
      </c>
      <c r="F34" t="s">
        <v>223</v>
      </c>
      <c r="G34" t="s">
        <v>279</v>
      </c>
      <c r="H34" t="str">
        <f>_xlfn.TEXTJOIN(" | ", TRUE, T_PROJECTS[[#This Row],[ProjectID]], T_PROJECTS[[#This Row],[ProjectName]],T_PROJECTS[[#This Row],[ProjectID Abb]])</f>
        <v>1 Overhead_01 | Communication</v>
      </c>
      <c r="L34" s="14" t="s">
        <v>276</v>
      </c>
      <c r="M34" s="14" t="s">
        <v>279</v>
      </c>
    </row>
    <row r="35" spans="1:13" x14ac:dyDescent="0.25">
      <c r="A35" t="s">
        <v>219</v>
      </c>
      <c r="B35" s="14" t="s">
        <v>280</v>
      </c>
      <c r="C3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35" t="s">
        <v>318</v>
      </c>
      <c r="E35" t="s">
        <v>306</v>
      </c>
      <c r="F35" t="s">
        <v>223</v>
      </c>
      <c r="G35" t="s">
        <v>282</v>
      </c>
      <c r="H35" t="str">
        <f>_xlfn.TEXTJOIN(" | ", TRUE, T_PROJECTS[[#This Row],[ProjectID]], T_PROJECTS[[#This Row],[ProjectName]],T_PROJECTS[[#This Row],[ProjectID Abb]])</f>
        <v>1 Overhead_02 | Facilities</v>
      </c>
      <c r="L35" s="14" t="s">
        <v>280</v>
      </c>
      <c r="M35" s="14" t="s">
        <v>282</v>
      </c>
    </row>
    <row r="36" spans="1:13" x14ac:dyDescent="0.25">
      <c r="A36" t="s">
        <v>219</v>
      </c>
      <c r="B36" s="14" t="s">
        <v>344</v>
      </c>
      <c r="C3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36" t="s">
        <v>321</v>
      </c>
      <c r="E36" t="s">
        <v>306</v>
      </c>
      <c r="F36" t="s">
        <v>223</v>
      </c>
      <c r="G36" t="s">
        <v>346</v>
      </c>
      <c r="H36" t="str">
        <f>_xlfn.TEXTJOIN(" | ", TRUE, T_PROJECTS[[#This Row],[ProjectID]], T_PROJECTS[[#This Row],[ProjectName]],T_PROJECTS[[#This Row],[ProjectID Abb]])</f>
        <v>1 Overhead_02_23 | FAC AMS ICAD</v>
      </c>
      <c r="L36" s="14" t="s">
        <v>344</v>
      </c>
      <c r="M36" s="14" t="s">
        <v>346</v>
      </c>
    </row>
    <row r="37" spans="1:13" x14ac:dyDescent="0.25">
      <c r="A37" t="s">
        <v>219</v>
      </c>
      <c r="B37" s="14" t="s">
        <v>495</v>
      </c>
      <c r="C3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37" t="s">
        <v>323</v>
      </c>
      <c r="E37" t="s">
        <v>306</v>
      </c>
      <c r="F37" t="s">
        <v>223</v>
      </c>
      <c r="G37" t="s">
        <v>497</v>
      </c>
      <c r="H37" t="str">
        <f>_xlfn.TEXTJOIN(" | ", TRUE, T_PROJECTS[[#This Row],[ProjectID]], T_PROJECTS[[#This Row],[ProjectName]],T_PROJECTS[[#This Row],[ProjectID Abb]])</f>
        <v>1 Overhead_02_42 | AMS AD Workshop + office</v>
      </c>
      <c r="L37" s="14" t="s">
        <v>495</v>
      </c>
      <c r="M37" s="14" t="s">
        <v>497</v>
      </c>
    </row>
    <row r="38" spans="1:13" x14ac:dyDescent="0.25">
      <c r="A38" t="s">
        <v>219</v>
      </c>
      <c r="B38" s="14" t="s">
        <v>347</v>
      </c>
      <c r="C3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38" t="s">
        <v>325</v>
      </c>
      <c r="E38" t="s">
        <v>306</v>
      </c>
      <c r="F38" t="s">
        <v>223</v>
      </c>
      <c r="G38" t="s">
        <v>350</v>
      </c>
      <c r="H38" t="str">
        <f>_xlfn.TEXTJOIN(" | ", TRUE, T_PROJECTS[[#This Row],[ProjectID]], T_PROJECTS[[#This Row],[ProjectName]],T_PROJECTS[[#This Row],[ProjectID Abb]])</f>
        <v>1 Overhead_03_09 | Finance &amp; Controlling AMS</v>
      </c>
      <c r="L38" s="14" t="s">
        <v>347</v>
      </c>
      <c r="M38" s="14" t="s">
        <v>350</v>
      </c>
    </row>
    <row r="39" spans="1:13" x14ac:dyDescent="0.25">
      <c r="A39" t="s">
        <v>219</v>
      </c>
      <c r="B39" s="14" t="s">
        <v>351</v>
      </c>
      <c r="C3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39" t="s">
        <v>327</v>
      </c>
      <c r="E39" t="s">
        <v>306</v>
      </c>
      <c r="F39" t="s">
        <v>223</v>
      </c>
      <c r="G39" t="s">
        <v>354</v>
      </c>
      <c r="H39" t="str">
        <f>_xlfn.TEXTJOIN(" | ", TRUE, T_PROJECTS[[#This Row],[ProjectID]], T_PROJECTS[[#This Row],[ProjectName]],T_PROJECTS[[#This Row],[ProjectID Abb]])</f>
        <v>1 Overhead_04_09 | HR AMS</v>
      </c>
      <c r="L39" s="14" t="s">
        <v>351</v>
      </c>
      <c r="M39" s="14" t="s">
        <v>354</v>
      </c>
    </row>
    <row r="40" spans="1:13" x14ac:dyDescent="0.25">
      <c r="A40" t="s">
        <v>219</v>
      </c>
      <c r="B40" s="14" t="s">
        <v>366</v>
      </c>
      <c r="C4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40" t="s">
        <v>330</v>
      </c>
      <c r="E40" t="s">
        <v>278</v>
      </c>
      <c r="F40" t="s">
        <v>223</v>
      </c>
      <c r="G40" t="s">
        <v>368</v>
      </c>
      <c r="H40" t="str">
        <f>_xlfn.TEXTJOIN(" | ", TRUE, T_PROJECTS[[#This Row],[ProjectID]], T_PROJECTS[[#This Row],[ProjectName]],T_PROJECTS[[#This Row],[ProjectID Abb]])</f>
        <v>1 Overhead_04_90 | HR Recruitment</v>
      </c>
      <c r="L40" s="14" t="s">
        <v>366</v>
      </c>
      <c r="M40" s="14" t="s">
        <v>368</v>
      </c>
    </row>
    <row r="41" spans="1:13" x14ac:dyDescent="0.25">
      <c r="A41" t="s">
        <v>219</v>
      </c>
      <c r="B41" s="14" t="s">
        <v>283</v>
      </c>
      <c r="C4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41" t="s">
        <v>333</v>
      </c>
      <c r="E41" t="s">
        <v>278</v>
      </c>
      <c r="F41" t="s">
        <v>223</v>
      </c>
      <c r="G41" t="s">
        <v>285</v>
      </c>
      <c r="H41" t="str">
        <f>_xlfn.TEXTJOIN(" | ", TRUE, T_PROJECTS[[#This Row],[ProjectID]], T_PROJECTS[[#This Row],[ProjectName]],T_PROJECTS[[#This Row],[ProjectID Abb]])</f>
        <v>1 Overhead_06 | Legal</v>
      </c>
      <c r="L41" s="14" t="s">
        <v>283</v>
      </c>
      <c r="M41" s="14" t="s">
        <v>285</v>
      </c>
    </row>
    <row r="42" spans="1:13" x14ac:dyDescent="0.25">
      <c r="A42" t="s">
        <v>219</v>
      </c>
      <c r="B42" s="14" t="s">
        <v>286</v>
      </c>
      <c r="C4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42" t="s">
        <v>336</v>
      </c>
      <c r="E42" t="s">
        <v>278</v>
      </c>
      <c r="F42" t="s">
        <v>223</v>
      </c>
      <c r="G42" t="s">
        <v>288</v>
      </c>
      <c r="H42" t="str">
        <f>_xlfn.TEXTJOIN(" | ", TRUE, T_PROJECTS[[#This Row],[ProjectID]], T_PROJECTS[[#This Row],[ProjectName]],T_PROJECTS[[#This Row],[ProjectID Abb]])</f>
        <v>1 Overhead_06_01 | Legal general</v>
      </c>
      <c r="L42" s="14" t="s">
        <v>286</v>
      </c>
      <c r="M42" s="14" t="s">
        <v>288</v>
      </c>
    </row>
    <row r="43" spans="1:13" x14ac:dyDescent="0.25">
      <c r="A43" t="s">
        <v>219</v>
      </c>
      <c r="B43" s="14" t="s">
        <v>289</v>
      </c>
      <c r="C4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43" t="s">
        <v>339</v>
      </c>
      <c r="E43" t="s">
        <v>278</v>
      </c>
      <c r="F43" t="s">
        <v>223</v>
      </c>
      <c r="G43" t="s">
        <v>291</v>
      </c>
      <c r="H43" t="str">
        <f>_xlfn.TEXTJOIN(" | ", TRUE, T_PROJECTS[[#This Row],[ProjectID]], T_PROJECTS[[#This Row],[ProjectName]],T_PROJECTS[[#This Row],[ProjectID Abb]])</f>
        <v>1 Overhead_06_02 | Legal insurance</v>
      </c>
      <c r="L43" s="14" t="s">
        <v>289</v>
      </c>
      <c r="M43" s="14" t="s">
        <v>291</v>
      </c>
    </row>
    <row r="44" spans="1:13" x14ac:dyDescent="0.25">
      <c r="A44" t="s">
        <v>219</v>
      </c>
      <c r="B44" s="14" t="s">
        <v>292</v>
      </c>
      <c r="C4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44" t="s">
        <v>340</v>
      </c>
      <c r="E44" t="s">
        <v>341</v>
      </c>
      <c r="F44" t="s">
        <v>223</v>
      </c>
      <c r="G44" t="s">
        <v>294</v>
      </c>
      <c r="H44" t="str">
        <f>_xlfn.TEXTJOIN(" | ", TRUE, T_PROJECTS[[#This Row],[ProjectID]], T_PROJECTS[[#This Row],[ProjectName]],T_PROJECTS[[#This Row],[ProjectID Abb]])</f>
        <v>1 Overhead_07 | Management</v>
      </c>
      <c r="L44" s="14" t="s">
        <v>292</v>
      </c>
      <c r="M44" s="14" t="s">
        <v>294</v>
      </c>
    </row>
    <row r="45" spans="1:13" x14ac:dyDescent="0.25">
      <c r="A45" t="s">
        <v>219</v>
      </c>
      <c r="B45" s="14" t="s">
        <v>355</v>
      </c>
      <c r="C4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45" t="s">
        <v>342</v>
      </c>
      <c r="E45" t="s">
        <v>341</v>
      </c>
      <c r="F45" t="s">
        <v>223</v>
      </c>
      <c r="G45" t="s">
        <v>358</v>
      </c>
      <c r="H45" t="str">
        <f>_xlfn.TEXTJOIN(" | ", TRUE, T_PROJECTS[[#This Row],[ProjectID]], T_PROJECTS[[#This Row],[ProjectName]],T_PROJECTS[[#This Row],[ProjectID Abb]])</f>
        <v>1 Overhead_08_10 | Office management AMS</v>
      </c>
      <c r="L45" s="14" t="s">
        <v>355</v>
      </c>
      <c r="M45" s="14" t="s">
        <v>358</v>
      </c>
    </row>
    <row r="46" spans="1:13" x14ac:dyDescent="0.25">
      <c r="A46" t="s">
        <v>219</v>
      </c>
      <c r="B46" s="14" t="s">
        <v>295</v>
      </c>
      <c r="C4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46" t="s">
        <v>343</v>
      </c>
      <c r="E46" t="s">
        <v>341</v>
      </c>
      <c r="F46" t="s">
        <v>223</v>
      </c>
      <c r="G46" t="s">
        <v>297</v>
      </c>
      <c r="H46" t="str">
        <f>_xlfn.TEXTJOIN(" | ", TRUE, T_PROJECTS[[#This Row],[ProjectID]], T_PROJECTS[[#This Row],[ProjectName]],T_PROJECTS[[#This Row],[ProjectID Abb]])</f>
        <v>1 Overhead_10 | QESH</v>
      </c>
      <c r="L46" s="14" t="s">
        <v>295</v>
      </c>
      <c r="M46" s="14" t="s">
        <v>297</v>
      </c>
    </row>
    <row r="47" spans="1:13" x14ac:dyDescent="0.25">
      <c r="A47" t="s">
        <v>219</v>
      </c>
      <c r="B47" s="14" t="s">
        <v>298</v>
      </c>
      <c r="C4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47" t="s">
        <v>345</v>
      </c>
      <c r="E47" t="s">
        <v>280</v>
      </c>
      <c r="F47" t="s">
        <v>223</v>
      </c>
      <c r="G47" t="s">
        <v>260</v>
      </c>
      <c r="H47" t="str">
        <f>_xlfn.TEXTJOIN(" | ", TRUE, T_PROJECTS[[#This Row],[ProjectID]], T_PROJECTS[[#This Row],[ProjectName]],T_PROJECTS[[#This Row],[ProjectID Abb]])</f>
        <v>1 Overhead_11 | Rent</v>
      </c>
      <c r="L47" s="14" t="s">
        <v>298</v>
      </c>
      <c r="M47" s="14" t="s">
        <v>260</v>
      </c>
    </row>
    <row r="48" spans="1:13" x14ac:dyDescent="0.25">
      <c r="A48" t="s">
        <v>219</v>
      </c>
      <c r="B48" s="14" t="s">
        <v>300</v>
      </c>
      <c r="C4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48" t="s">
        <v>348</v>
      </c>
      <c r="E48" t="s">
        <v>349</v>
      </c>
      <c r="F48" t="s">
        <v>223</v>
      </c>
      <c r="G48" t="s">
        <v>302</v>
      </c>
      <c r="H48" t="str">
        <f>_xlfn.TEXTJOIN(" | ", TRUE, T_PROJECTS[[#This Row],[ProjectID]], T_PROJECTS[[#This Row],[ProjectName]],T_PROJECTS[[#This Row],[ProjectID Abb]])</f>
        <v>1 Overhead_12 | Sales</v>
      </c>
      <c r="L48" s="14" t="s">
        <v>300</v>
      </c>
      <c r="M48" s="14" t="s">
        <v>302</v>
      </c>
    </row>
    <row r="49" spans="1:13" x14ac:dyDescent="0.25">
      <c r="A49" t="s">
        <v>219</v>
      </c>
      <c r="B49" s="14" t="s">
        <v>303</v>
      </c>
      <c r="C4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49" t="s">
        <v>352</v>
      </c>
      <c r="E49" t="s">
        <v>353</v>
      </c>
      <c r="F49" t="s">
        <v>223</v>
      </c>
      <c r="G49" t="s">
        <v>305</v>
      </c>
      <c r="H49" t="str">
        <f>_xlfn.TEXTJOIN(" | ", TRUE, T_PROJECTS[[#This Row],[ProjectID]], T_PROJECTS[[#This Row],[ProjectName]],T_PROJECTS[[#This Row],[ProjectID Abb]])</f>
        <v>1 Overhead_13 | Marketing</v>
      </c>
      <c r="L49" s="14" t="s">
        <v>303</v>
      </c>
      <c r="M49" s="14" t="s">
        <v>305</v>
      </c>
    </row>
    <row r="50" spans="1:13" x14ac:dyDescent="0.25">
      <c r="A50" t="s">
        <v>219</v>
      </c>
      <c r="B50" s="14" t="s">
        <v>306</v>
      </c>
      <c r="C5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50" t="s">
        <v>356</v>
      </c>
      <c r="E50" t="s">
        <v>357</v>
      </c>
      <c r="F50" t="s">
        <v>223</v>
      </c>
      <c r="G50" t="s">
        <v>308</v>
      </c>
      <c r="H50" t="str">
        <f>_xlfn.TEXTJOIN(" | ", TRUE, T_PROJECTS[[#This Row],[ProjectID]], T_PROJECTS[[#This Row],[ProjectName]],T_PROJECTS[[#This Row],[ProjectID Abb]])</f>
        <v>1 Overhead_15 | White collars</v>
      </c>
      <c r="L50" s="14" t="s">
        <v>306</v>
      </c>
      <c r="M50" s="14" t="s">
        <v>308</v>
      </c>
    </row>
    <row r="51" spans="1:13" x14ac:dyDescent="0.25">
      <c r="A51" t="s">
        <v>219</v>
      </c>
      <c r="B51" s="14" t="s">
        <v>309</v>
      </c>
      <c r="C5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51" t="s">
        <v>359</v>
      </c>
      <c r="E51" t="s">
        <v>341</v>
      </c>
      <c r="F51" t="s">
        <v>223</v>
      </c>
      <c r="G51" t="s">
        <v>224</v>
      </c>
      <c r="H51" t="str">
        <f>_xlfn.TEXTJOIN(" | ", TRUE, T_PROJECTS[[#This Row],[ProjectID]], T_PROJECTS[[#This Row],[ProjectName]],T_PROJECTS[[#This Row],[ProjectID Abb]])</f>
        <v>1 Overhead_15_01 | Salary</v>
      </c>
      <c r="L51" s="14" t="s">
        <v>309</v>
      </c>
      <c r="M51" s="14" t="s">
        <v>224</v>
      </c>
    </row>
    <row r="52" spans="1:13" x14ac:dyDescent="0.25">
      <c r="A52" t="s">
        <v>219</v>
      </c>
      <c r="B52" s="14" t="s">
        <v>311</v>
      </c>
      <c r="C5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52" t="s">
        <v>226</v>
      </c>
      <c r="E52" t="s">
        <v>225</v>
      </c>
      <c r="F52" t="s">
        <v>223</v>
      </c>
      <c r="G52" t="s">
        <v>227</v>
      </c>
      <c r="H52" t="str">
        <f>_xlfn.TEXTJOIN(" | ", TRUE, T_PROJECTS[[#This Row],[ProjectID]], T_PROJECTS[[#This Row],[ProjectName]],T_PROJECTS[[#This Row],[ProjectID Abb]])</f>
        <v>1 Overhead_15_02 | Extralegal</v>
      </c>
      <c r="L52" s="14" t="s">
        <v>311</v>
      </c>
      <c r="M52" s="14" t="s">
        <v>227</v>
      </c>
    </row>
    <row r="53" spans="1:13" x14ac:dyDescent="0.25">
      <c r="A53" t="s">
        <v>219</v>
      </c>
      <c r="B53" s="14" t="s">
        <v>313</v>
      </c>
      <c r="C5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53" t="s">
        <v>226</v>
      </c>
      <c r="E53" t="s">
        <v>225</v>
      </c>
      <c r="F53" t="s">
        <v>223</v>
      </c>
      <c r="G53" t="s">
        <v>231</v>
      </c>
      <c r="H53" t="str">
        <f>_xlfn.TEXTJOIN(" | ", TRUE, T_PROJECTS[[#This Row],[ProjectID]], T_PROJECTS[[#This Row],[ProjectName]],T_PROJECTS[[#This Row],[ProjectID Abb]])</f>
        <v>1 Overhead_15_02_02 | Rental private cars</v>
      </c>
      <c r="L53" s="14" t="s">
        <v>313</v>
      </c>
      <c r="M53" s="14" t="s">
        <v>231</v>
      </c>
    </row>
    <row r="54" spans="1:13" x14ac:dyDescent="0.25">
      <c r="A54" t="s">
        <v>219</v>
      </c>
      <c r="B54" s="14" t="s">
        <v>393</v>
      </c>
      <c r="C5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54" t="s">
        <v>226</v>
      </c>
      <c r="E54" t="s">
        <v>225</v>
      </c>
      <c r="F54" t="s">
        <v>223</v>
      </c>
      <c r="G54" t="s">
        <v>361</v>
      </c>
      <c r="H54" t="str">
        <f>_xlfn.TEXTJOIN(" | ", TRUE, T_PROJECTS[[#This Row],[ProjectID]], T_PROJECTS[[#This Row],[ProjectName]],T_PROJECTS[[#This Row],[ProjectID Abb]])</f>
        <v>1 Overhead_15_02_03 | Housing</v>
      </c>
      <c r="L54" s="14" t="s">
        <v>393</v>
      </c>
      <c r="M54" s="14" t="s">
        <v>361</v>
      </c>
    </row>
    <row r="55" spans="1:13" x14ac:dyDescent="0.25">
      <c r="A55" t="s">
        <v>219</v>
      </c>
      <c r="B55" s="14" t="s">
        <v>395</v>
      </c>
      <c r="C5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55" t="s">
        <v>367</v>
      </c>
      <c r="E55" t="s">
        <v>353</v>
      </c>
      <c r="F55" t="s">
        <v>223</v>
      </c>
      <c r="G55" t="s">
        <v>363</v>
      </c>
      <c r="H55" t="str">
        <f>_xlfn.TEXTJOIN(" | ", TRUE, T_PROJECTS[[#This Row],[ProjectID]], T_PROJECTS[[#This Row],[ProjectName]],T_PROJECTS[[#This Row],[ProjectID Abb]])</f>
        <v>1 Overhead_15_02_04 | Utilities</v>
      </c>
      <c r="L55" s="14" t="s">
        <v>395</v>
      </c>
      <c r="M55" s="14" t="s">
        <v>363</v>
      </c>
    </row>
    <row r="56" spans="1:13" x14ac:dyDescent="0.25">
      <c r="A56" t="s">
        <v>219</v>
      </c>
      <c r="B56" s="14" t="s">
        <v>397</v>
      </c>
      <c r="C5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56" t="s">
        <v>370</v>
      </c>
      <c r="E56" t="s">
        <v>222</v>
      </c>
      <c r="F56" t="s">
        <v>223</v>
      </c>
      <c r="G56" t="s">
        <v>399</v>
      </c>
      <c r="H56" t="str">
        <f>_xlfn.TEXTJOIN(" | ", TRUE, T_PROJECTS[[#This Row],[ProjectID]], T_PROJECTS[[#This Row],[ProjectName]],T_PROJECTS[[#This Row],[ProjectID Abb]])</f>
        <v>1 Overhead_15_02_05 | School fees</v>
      </c>
      <c r="L56" s="14" t="s">
        <v>397</v>
      </c>
      <c r="M56" s="14" t="s">
        <v>399</v>
      </c>
    </row>
    <row r="57" spans="1:13" x14ac:dyDescent="0.25">
      <c r="A57" t="s">
        <v>219</v>
      </c>
      <c r="B57" s="14" t="s">
        <v>400</v>
      </c>
      <c r="C5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57" t="s">
        <v>371</v>
      </c>
      <c r="E57" t="s">
        <v>341</v>
      </c>
      <c r="F57" t="s">
        <v>223</v>
      </c>
      <c r="G57" t="s">
        <v>402</v>
      </c>
      <c r="H57" t="str">
        <f>_xlfn.TEXTJOIN(" | ", TRUE, T_PROJECTS[[#This Row],[ProjectID]], T_PROJECTS[[#This Row],[ProjectName]],T_PROJECTS[[#This Row],[ProjectID Abb]])</f>
        <v>1 Overhead_15_02_06 | Child allowance</v>
      </c>
      <c r="L57" s="14" t="s">
        <v>400</v>
      </c>
      <c r="M57" s="14" t="s">
        <v>402</v>
      </c>
    </row>
    <row r="58" spans="1:13" x14ac:dyDescent="0.25">
      <c r="A58" t="s">
        <v>219</v>
      </c>
      <c r="B58" s="14" t="s">
        <v>403</v>
      </c>
      <c r="C5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58" t="s">
        <v>226</v>
      </c>
      <c r="E58" t="s">
        <v>225</v>
      </c>
      <c r="F58" t="s">
        <v>223</v>
      </c>
      <c r="G58" t="s">
        <v>365</v>
      </c>
      <c r="H58" t="str">
        <f>_xlfn.TEXTJOIN(" | ", TRUE, T_PROJECTS[[#This Row],[ProjectID]], T_PROJECTS[[#This Row],[ProjectName]],T_PROJECTS[[#This Row],[ProjectID Abb]])</f>
        <v>1 Overhead_15_02_07 | Laundry service</v>
      </c>
      <c r="L58" s="14" t="s">
        <v>403</v>
      </c>
      <c r="M58" s="14" t="s">
        <v>365</v>
      </c>
    </row>
    <row r="59" spans="1:13" x14ac:dyDescent="0.25">
      <c r="A59" t="s">
        <v>219</v>
      </c>
      <c r="B59" s="14" t="s">
        <v>405</v>
      </c>
      <c r="C5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59" t="s">
        <v>226</v>
      </c>
      <c r="E59" t="s">
        <v>225</v>
      </c>
      <c r="F59" t="s">
        <v>223</v>
      </c>
      <c r="G59" t="s">
        <v>373</v>
      </c>
      <c r="H59" t="str">
        <f>_xlfn.TEXTJOIN(" | ", TRUE, T_PROJECTS[[#This Row],[ProjectID]], T_PROJECTS[[#This Row],[ProjectName]],T_PROJECTS[[#This Row],[ProjectID Abb]])</f>
        <v>1 Overhead_15_02_08 | Food</v>
      </c>
      <c r="L59" s="14" t="s">
        <v>405</v>
      </c>
      <c r="M59" s="14" t="s">
        <v>373</v>
      </c>
    </row>
    <row r="60" spans="1:13" x14ac:dyDescent="0.25">
      <c r="A60" t="s">
        <v>219</v>
      </c>
      <c r="B60" s="14" t="s">
        <v>407</v>
      </c>
      <c r="C6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60" t="s">
        <v>376</v>
      </c>
      <c r="E60" t="s">
        <v>341</v>
      </c>
      <c r="F60" t="s">
        <v>223</v>
      </c>
      <c r="G60" t="s">
        <v>409</v>
      </c>
      <c r="H60" t="str">
        <f>_xlfn.TEXTJOIN(" | ", TRUE, T_PROJECTS[[#This Row],[ProjectID]], T_PROJECTS[[#This Row],[ProjectName]],T_PROJECTS[[#This Row],[ProjectID Abb]])</f>
        <v>1 Overhead_15_02_09 | Visa &amp; Licenses</v>
      </c>
      <c r="L60" s="14" t="s">
        <v>407</v>
      </c>
      <c r="M60" s="14" t="s">
        <v>409</v>
      </c>
    </row>
    <row r="61" spans="1:13" x14ac:dyDescent="0.25">
      <c r="A61" t="s">
        <v>219</v>
      </c>
      <c r="B61" s="14" t="s">
        <v>315</v>
      </c>
      <c r="C6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61" t="s">
        <v>378</v>
      </c>
      <c r="E61" t="s">
        <v>278</v>
      </c>
      <c r="F61" t="s">
        <v>223</v>
      </c>
      <c r="G61" t="s">
        <v>235</v>
      </c>
      <c r="H61" t="str">
        <f>_xlfn.TEXTJOIN(" | ", TRUE, T_PROJECTS[[#This Row],[ProjectID]], T_PROJECTS[[#This Row],[ProjectName]],T_PROJECTS[[#This Row],[ProjectID Abb]])</f>
        <v>1 Overhead_15_03 | Insurance</v>
      </c>
      <c r="L61" s="14" t="s">
        <v>315</v>
      </c>
      <c r="M61" s="14" t="s">
        <v>235</v>
      </c>
    </row>
    <row r="62" spans="1:13" x14ac:dyDescent="0.25">
      <c r="A62" t="s">
        <v>219</v>
      </c>
      <c r="B62" s="14" t="s">
        <v>317</v>
      </c>
      <c r="C6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62" t="s">
        <v>381</v>
      </c>
      <c r="E62" t="s">
        <v>254</v>
      </c>
      <c r="F62" t="s">
        <v>223</v>
      </c>
      <c r="G62" t="s">
        <v>319</v>
      </c>
      <c r="H62" t="str">
        <f>_xlfn.TEXTJOIN(" | ", TRUE, T_PROJECTS[[#This Row],[ProjectID]], T_PROJECTS[[#This Row],[ProjectName]],T_PROJECTS[[#This Row],[ProjectID Abb]])</f>
        <v>1 Overhead_15_04 | Travel &amp; entertainment</v>
      </c>
      <c r="L62" s="14" t="s">
        <v>317</v>
      </c>
      <c r="M62" s="14" t="s">
        <v>319</v>
      </c>
    </row>
    <row r="63" spans="1:13" x14ac:dyDescent="0.25">
      <c r="A63" t="s">
        <v>219</v>
      </c>
      <c r="B63" s="14" t="s">
        <v>320</v>
      </c>
      <c r="C6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63" t="s">
        <v>384</v>
      </c>
      <c r="E63" t="s">
        <v>250</v>
      </c>
      <c r="F63" t="s">
        <v>223</v>
      </c>
      <c r="G63" t="s">
        <v>241</v>
      </c>
      <c r="H63" t="str">
        <f>_xlfn.TEXTJOIN(" | ", TRUE, T_PROJECTS[[#This Row],[ProjectID]], T_PROJECTS[[#This Row],[ProjectName]],T_PROJECTS[[#This Row],[ProjectID Abb]])</f>
        <v>1 Overhead_15_05 | Training</v>
      </c>
      <c r="L63" s="14" t="s">
        <v>320</v>
      </c>
      <c r="M63" s="14" t="s">
        <v>241</v>
      </c>
    </row>
    <row r="64" spans="1:13" x14ac:dyDescent="0.25">
      <c r="A64" t="s">
        <v>219</v>
      </c>
      <c r="B64" s="14" t="s">
        <v>322</v>
      </c>
      <c r="C6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64" t="s">
        <v>387</v>
      </c>
      <c r="E64" t="s">
        <v>388</v>
      </c>
      <c r="F64" t="s">
        <v>223</v>
      </c>
      <c r="G64" t="s">
        <v>244</v>
      </c>
      <c r="H64" t="str">
        <f>_xlfn.TEXTJOIN(" | ", TRUE, T_PROJECTS[[#This Row],[ProjectID]], T_PROJECTS[[#This Row],[ProjectName]],T_PROJECTS[[#This Row],[ProjectID Abb]])</f>
        <v>1 Overhead_15_06 | Temporary staff</v>
      </c>
      <c r="L64" s="14" t="s">
        <v>322</v>
      </c>
      <c r="M64" s="14" t="s">
        <v>244</v>
      </c>
    </row>
    <row r="65" spans="1:13" x14ac:dyDescent="0.25">
      <c r="A65" t="s">
        <v>219</v>
      </c>
      <c r="B65" s="14" t="s">
        <v>324</v>
      </c>
      <c r="C6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65" t="s">
        <v>391</v>
      </c>
      <c r="E65" t="s">
        <v>388</v>
      </c>
      <c r="F65" t="s">
        <v>223</v>
      </c>
      <c r="G65" t="s">
        <v>247</v>
      </c>
      <c r="H65" t="str">
        <f>_xlfn.TEXTJOIN(" | ", TRUE, T_PROJECTS[[#This Row],[ProjectID]], T_PROJECTS[[#This Row],[ProjectName]],T_PROJECTS[[#This Row],[ProjectID Abb]])</f>
        <v>1 Overhead_15_07 | Personal Protection Equipment (PPE)</v>
      </c>
      <c r="L65" s="14" t="s">
        <v>324</v>
      </c>
      <c r="M65" s="14" t="s">
        <v>247</v>
      </c>
    </row>
    <row r="66" spans="1:13" x14ac:dyDescent="0.25">
      <c r="A66" t="s">
        <v>219</v>
      </c>
      <c r="B66" s="14" t="s">
        <v>326</v>
      </c>
      <c r="C6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66" t="s">
        <v>394</v>
      </c>
      <c r="E66" t="s">
        <v>311</v>
      </c>
      <c r="F66" t="s">
        <v>223</v>
      </c>
      <c r="G66" t="s">
        <v>328</v>
      </c>
      <c r="H66" t="str">
        <f>_xlfn.TEXTJOIN(" | ", TRUE, T_PROJECTS[[#This Row],[ProjectID]], T_PROJECTS[[#This Row],[ProjectName]],T_PROJECTS[[#This Row],[ProjectID Abb]])</f>
        <v>1 Overhead_15_08 | Other</v>
      </c>
      <c r="L66" s="14" t="s">
        <v>326</v>
      </c>
      <c r="M66" s="14" t="s">
        <v>328</v>
      </c>
    </row>
    <row r="67" spans="1:13" x14ac:dyDescent="0.25">
      <c r="A67" t="s">
        <v>219</v>
      </c>
      <c r="B67" s="14" t="s">
        <v>329</v>
      </c>
      <c r="C6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67" t="s">
        <v>396</v>
      </c>
      <c r="E67" t="s">
        <v>311</v>
      </c>
      <c r="F67" t="s">
        <v>223</v>
      </c>
      <c r="G67" t="s">
        <v>331</v>
      </c>
      <c r="H67" t="str">
        <f>_xlfn.TEXTJOIN(" | ", TRUE, T_PROJECTS[[#This Row],[ProjectID]], T_PROJECTS[[#This Row],[ProjectName]],T_PROJECTS[[#This Row],[ProjectID Abb]])</f>
        <v>1 Overhead_18 | Treasury</v>
      </c>
      <c r="L67" s="14" t="s">
        <v>329</v>
      </c>
      <c r="M67" s="14" t="s">
        <v>331</v>
      </c>
    </row>
    <row r="68" spans="1:13" x14ac:dyDescent="0.25">
      <c r="A68" t="s">
        <v>219</v>
      </c>
      <c r="B68" s="14" t="s">
        <v>332</v>
      </c>
      <c r="C6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68" t="s">
        <v>398</v>
      </c>
      <c r="E68" t="s">
        <v>311</v>
      </c>
      <c r="F68" t="s">
        <v>223</v>
      </c>
      <c r="G68" t="s">
        <v>334</v>
      </c>
      <c r="H68" t="str">
        <f>_xlfn.TEXTJOIN(" | ", TRUE, T_PROJECTS[[#This Row],[ProjectID]], T_PROJECTS[[#This Row],[ProjectName]],T_PROJECTS[[#This Row],[ProjectID Abb]])</f>
        <v>1 Overhead_19 | Taxes</v>
      </c>
      <c r="L68" s="14" t="s">
        <v>332</v>
      </c>
      <c r="M68" s="14" t="s">
        <v>334</v>
      </c>
    </row>
    <row r="69" spans="1:13" x14ac:dyDescent="0.25">
      <c r="A69" t="s">
        <v>219</v>
      </c>
      <c r="B69" s="14" t="s">
        <v>335</v>
      </c>
      <c r="C6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69" t="s">
        <v>401</v>
      </c>
      <c r="E69" t="s">
        <v>311</v>
      </c>
      <c r="F69" t="s">
        <v>223</v>
      </c>
      <c r="G69" t="s">
        <v>337</v>
      </c>
      <c r="H69" t="str">
        <f>_xlfn.TEXTJOIN(" | ", TRUE, T_PROJECTS[[#This Row],[ProjectID]], T_PROJECTS[[#This Row],[ProjectName]],T_PROJECTS[[#This Row],[ProjectID Abb]])</f>
        <v>1 Overhead_20 | Non-assignable</v>
      </c>
      <c r="L69" s="14" t="s">
        <v>335</v>
      </c>
      <c r="M69" s="14" t="s">
        <v>337</v>
      </c>
    </row>
    <row r="70" spans="1:13" x14ac:dyDescent="0.25">
      <c r="A70" t="s">
        <v>219</v>
      </c>
      <c r="B70" s="14" t="s">
        <v>338</v>
      </c>
      <c r="C7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70" t="s">
        <v>404</v>
      </c>
      <c r="E70" t="s">
        <v>311</v>
      </c>
      <c r="F70" t="s">
        <v>223</v>
      </c>
      <c r="G70" t="s">
        <v>328</v>
      </c>
      <c r="H70" t="str">
        <f>_xlfn.TEXTJOIN(" | ", TRUE, T_PROJECTS[[#This Row],[ProjectID]], T_PROJECTS[[#This Row],[ProjectName]],T_PROJECTS[[#This Row],[ProjectID Abb]])</f>
        <v>1 Overhead_21 | Other</v>
      </c>
      <c r="L70" s="14" t="s">
        <v>338</v>
      </c>
      <c r="M70" s="14" t="s">
        <v>328</v>
      </c>
    </row>
    <row r="71" spans="1:13" x14ac:dyDescent="0.25">
      <c r="A71" t="s">
        <v>219</v>
      </c>
      <c r="B71" s="14" t="s">
        <v>377</v>
      </c>
      <c r="C7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71" t="s">
        <v>406</v>
      </c>
      <c r="E71" t="s">
        <v>311</v>
      </c>
      <c r="F71" t="s">
        <v>223</v>
      </c>
      <c r="G71" t="s">
        <v>379</v>
      </c>
      <c r="H71" t="str">
        <f>_xlfn.TEXTJOIN(" | ", TRUE, T_PROJECTS[[#This Row],[ProjectID]], T_PROJECTS[[#This Row],[ProjectName]],T_PROJECTS[[#This Row],[ProjectID Abb]])</f>
        <v>1 Overhead_26 | IT</v>
      </c>
      <c r="L71" s="14" t="s">
        <v>377</v>
      </c>
      <c r="M71" s="14" t="s">
        <v>379</v>
      </c>
    </row>
    <row r="72" spans="1:13" x14ac:dyDescent="0.25">
      <c r="A72" t="s">
        <v>219</v>
      </c>
      <c r="B72" s="14" t="s">
        <v>1203</v>
      </c>
      <c r="C7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72" t="s">
        <v>408</v>
      </c>
      <c r="E72" t="s">
        <v>311</v>
      </c>
      <c r="F72" t="s">
        <v>223</v>
      </c>
      <c r="G72" t="s">
        <v>444</v>
      </c>
      <c r="H72" t="str">
        <f>_xlfn.TEXTJOIN(" | ", TRUE, T_PROJECTS[[#This Row],[ProjectID]], T_PROJECTS[[#This Row],[ProjectName]],T_PROJECTS[[#This Row],[ProjectID Abb]])</f>
        <v>1 Transport | Transport</v>
      </c>
      <c r="L72" s="14" t="s">
        <v>1203</v>
      </c>
      <c r="M72" s="14" t="s">
        <v>444</v>
      </c>
    </row>
    <row r="73" spans="1:13" x14ac:dyDescent="0.25">
      <c r="A73" t="s">
        <v>219</v>
      </c>
      <c r="B73" s="14" t="s">
        <v>1204</v>
      </c>
      <c r="C7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73" t="s">
        <v>411</v>
      </c>
      <c r="E73" t="s">
        <v>412</v>
      </c>
      <c r="F73" t="s">
        <v>223</v>
      </c>
      <c r="G73" t="s">
        <v>422</v>
      </c>
      <c r="H73" t="str">
        <f>_xlfn.TEXTJOIN(" | ", TRUE, T_PROJECTS[[#This Row],[ProjectID]], T_PROJECTS[[#This Row],[ProjectName]],T_PROJECTS[[#This Row],[ProjectID Abb]])</f>
        <v>1 Transport_01 | Maintenance &amp; Repair</v>
      </c>
      <c r="L73" s="14" t="s">
        <v>1204</v>
      </c>
      <c r="M73" s="14" t="s">
        <v>422</v>
      </c>
    </row>
    <row r="74" spans="1:13" x14ac:dyDescent="0.25">
      <c r="A74" t="s">
        <v>219</v>
      </c>
      <c r="B74" s="14" t="s">
        <v>1205</v>
      </c>
      <c r="C7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74" t="s">
        <v>415</v>
      </c>
      <c r="E74" t="s">
        <v>412</v>
      </c>
      <c r="F74" t="s">
        <v>223</v>
      </c>
      <c r="G74" t="s">
        <v>255</v>
      </c>
      <c r="H74" t="str">
        <f>_xlfn.TEXTJOIN(" | ", TRUE, T_PROJECTS[[#This Row],[ProjectID]], T_PROJECTS[[#This Row],[ProjectName]],T_PROJECTS[[#This Row],[ProjectID Abb]])</f>
        <v>1 Transport_02 | Fuel</v>
      </c>
      <c r="L74" s="14" t="s">
        <v>1205</v>
      </c>
      <c r="M74" s="14" t="s">
        <v>255</v>
      </c>
    </row>
    <row r="75" spans="1:13" x14ac:dyDescent="0.25">
      <c r="A75" t="s">
        <v>219</v>
      </c>
      <c r="B75" s="14" t="s">
        <v>1206</v>
      </c>
      <c r="C7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75" t="s">
        <v>417</v>
      </c>
      <c r="E75" t="s">
        <v>341</v>
      </c>
      <c r="F75" t="s">
        <v>223</v>
      </c>
      <c r="G75" t="s">
        <v>235</v>
      </c>
      <c r="H75" t="str">
        <f>_xlfn.TEXTJOIN(" | ", TRUE, T_PROJECTS[[#This Row],[ProjectID]], T_PROJECTS[[#This Row],[ProjectName]],T_PROJECTS[[#This Row],[ProjectID Abb]])</f>
        <v>1 Transport_03 | Insurance</v>
      </c>
      <c r="L75" s="14" t="s">
        <v>1206</v>
      </c>
      <c r="M75" s="14" t="s">
        <v>235</v>
      </c>
    </row>
    <row r="76" spans="1:13" x14ac:dyDescent="0.25">
      <c r="A76" t="s">
        <v>219</v>
      </c>
      <c r="B76" s="14" t="s">
        <v>1207</v>
      </c>
      <c r="C7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76" t="s">
        <v>419</v>
      </c>
      <c r="E76" t="s">
        <v>341</v>
      </c>
      <c r="F76" t="s">
        <v>223</v>
      </c>
      <c r="G76" t="s">
        <v>1208</v>
      </c>
      <c r="H76" t="str">
        <f>_xlfn.TEXTJOIN(" | ", TRUE, T_PROJECTS[[#This Row],[ProjectID]], T_PROJECTS[[#This Row],[ProjectName]],T_PROJECTS[[#This Row],[ProjectID Abb]])</f>
        <v>1 Transport_04 | Asset non depreciated</v>
      </c>
      <c r="L76" s="14" t="s">
        <v>1207</v>
      </c>
      <c r="M76" s="14" t="s">
        <v>1208</v>
      </c>
    </row>
    <row r="77" spans="1:13" x14ac:dyDescent="0.25">
      <c r="A77" t="s">
        <v>219</v>
      </c>
      <c r="B77" s="14" t="s">
        <v>1209</v>
      </c>
      <c r="C7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77" t="s">
        <v>421</v>
      </c>
      <c r="E77" t="s">
        <v>418</v>
      </c>
      <c r="F77" t="s">
        <v>223</v>
      </c>
      <c r="G77" t="s">
        <v>260</v>
      </c>
      <c r="H77" t="str">
        <f>_xlfn.TEXTJOIN(" | ", TRUE, T_PROJECTS[[#This Row],[ProjectID]], T_PROJECTS[[#This Row],[ProjectName]],T_PROJECTS[[#This Row],[ProjectID Abb]])</f>
        <v>1 Transport_05 | Rent</v>
      </c>
      <c r="L77" s="14" t="s">
        <v>1209</v>
      </c>
      <c r="M77" s="14" t="s">
        <v>260</v>
      </c>
    </row>
    <row r="78" spans="1:13" x14ac:dyDescent="0.25">
      <c r="A78" t="s">
        <v>219</v>
      </c>
      <c r="B78" s="14" t="s">
        <v>1210</v>
      </c>
      <c r="C7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78" t="s">
        <v>424</v>
      </c>
      <c r="E78" t="s">
        <v>418</v>
      </c>
      <c r="F78" t="s">
        <v>223</v>
      </c>
      <c r="G78" t="s">
        <v>1211</v>
      </c>
      <c r="H78" t="str">
        <f>_xlfn.TEXTJOIN(" | ", TRUE, T_PROJECTS[[#This Row],[ProjectID]], T_PROJECTS[[#This Row],[ProjectName]],T_PROJECTS[[#This Row],[ProjectID Abb]])</f>
        <v>1 Transport_06 | Interest</v>
      </c>
      <c r="L78" s="14" t="s">
        <v>1210</v>
      </c>
      <c r="M78" s="14" t="s">
        <v>1211</v>
      </c>
    </row>
    <row r="79" spans="1:13" x14ac:dyDescent="0.25">
      <c r="A79" t="s">
        <v>219</v>
      </c>
      <c r="B79" s="14" t="s">
        <v>1212</v>
      </c>
      <c r="C7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79" t="s">
        <v>426</v>
      </c>
      <c r="E79" t="s">
        <v>418</v>
      </c>
      <c r="F79" t="s">
        <v>223</v>
      </c>
      <c r="G79" t="s">
        <v>266</v>
      </c>
      <c r="H79" t="str">
        <f>_xlfn.TEXTJOIN(" | ", TRUE, T_PROJECTS[[#This Row],[ProjectID]], T_PROJECTS[[#This Row],[ProjectName]],T_PROJECTS[[#This Row],[ProjectID Abb]])</f>
        <v>1 Transport_07 | Depreciation</v>
      </c>
      <c r="L79" s="14" t="s">
        <v>1212</v>
      </c>
      <c r="M79" s="14" t="s">
        <v>266</v>
      </c>
    </row>
    <row r="80" spans="1:13" x14ac:dyDescent="0.25">
      <c r="A80" t="s">
        <v>219</v>
      </c>
      <c r="B80" s="14" t="s">
        <v>1213</v>
      </c>
      <c r="C8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80" t="s">
        <v>428</v>
      </c>
      <c r="E80" t="s">
        <v>418</v>
      </c>
      <c r="F80" t="s">
        <v>223</v>
      </c>
      <c r="G80" t="s">
        <v>334</v>
      </c>
      <c r="H80" t="str">
        <f>_xlfn.TEXTJOIN(" | ", TRUE, T_PROJECTS[[#This Row],[ProjectID]], T_PROJECTS[[#This Row],[ProjectName]],T_PROJECTS[[#This Row],[ProjectID Abb]])</f>
        <v>1 Transport_08 | Taxes</v>
      </c>
      <c r="L80" s="14" t="s">
        <v>1213</v>
      </c>
      <c r="M80" s="14" t="s">
        <v>334</v>
      </c>
    </row>
    <row r="81" spans="1:13" x14ac:dyDescent="0.25">
      <c r="A81" t="s">
        <v>219</v>
      </c>
      <c r="B81" s="14" t="s">
        <v>1214</v>
      </c>
      <c r="C8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81" t="s">
        <v>431</v>
      </c>
      <c r="E81" t="s">
        <v>418</v>
      </c>
      <c r="F81" t="s">
        <v>223</v>
      </c>
      <c r="G81" t="s">
        <v>272</v>
      </c>
      <c r="H81" t="str">
        <f>_xlfn.TEXTJOIN(" | ", TRUE, T_PROJECTS[[#This Row],[ProjectID]], T_PROJECTS[[#This Row],[ProjectName]],T_PROJECTS[[#This Row],[ProjectID Abb]])</f>
        <v>1 Transport_09 | Technical inspection</v>
      </c>
      <c r="L81" s="14" t="s">
        <v>1214</v>
      </c>
      <c r="M81" s="14" t="s">
        <v>272</v>
      </c>
    </row>
    <row r="82" spans="1:13" x14ac:dyDescent="0.25">
      <c r="A82" t="s">
        <v>219</v>
      </c>
      <c r="B82" s="14" t="s">
        <v>1215</v>
      </c>
      <c r="C8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82" t="s">
        <v>433</v>
      </c>
      <c r="E82" t="s">
        <v>418</v>
      </c>
      <c r="F82" t="s">
        <v>223</v>
      </c>
      <c r="G82" t="s">
        <v>444</v>
      </c>
      <c r="H82" t="str">
        <f>_xlfn.TEXTJOIN(" | ", TRUE, T_PROJECTS[[#This Row],[ProjectID]], T_PROJECTS[[#This Row],[ProjectName]],T_PROJECTS[[#This Row],[ProjectID Abb]])</f>
        <v>1 Transport_11 | Transport</v>
      </c>
      <c r="L82" s="14" t="s">
        <v>1215</v>
      </c>
      <c r="M82" s="14" t="s">
        <v>444</v>
      </c>
    </row>
    <row r="83" spans="1:13" x14ac:dyDescent="0.25">
      <c r="A83" t="s">
        <v>219</v>
      </c>
      <c r="B83" s="14" t="s">
        <v>1216</v>
      </c>
      <c r="C8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83" t="s">
        <v>435</v>
      </c>
      <c r="E83" t="s">
        <v>418</v>
      </c>
      <c r="F83" t="s">
        <v>223</v>
      </c>
      <c r="G83" t="s">
        <v>447</v>
      </c>
      <c r="H83" t="str">
        <f>_xlfn.TEXTJOIN(" | ", TRUE, T_PROJECTS[[#This Row],[ProjectID]], T_PROJECTS[[#This Row],[ProjectName]],T_PROJECTS[[#This Row],[ProjectID Abb]])</f>
        <v>1 Transport_12 | Personnel</v>
      </c>
      <c r="L83" s="14" t="s">
        <v>1216</v>
      </c>
      <c r="M83" s="14" t="s">
        <v>447</v>
      </c>
    </row>
    <row r="84" spans="1:13" x14ac:dyDescent="0.25">
      <c r="A84" t="s">
        <v>219</v>
      </c>
      <c r="B84" s="14" t="s">
        <v>1217</v>
      </c>
      <c r="C8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84" t="s">
        <v>437</v>
      </c>
      <c r="E84" t="s">
        <v>418</v>
      </c>
      <c r="F84" t="s">
        <v>223</v>
      </c>
      <c r="G84" t="s">
        <v>224</v>
      </c>
      <c r="H84" t="str">
        <f>_xlfn.TEXTJOIN(" | ", TRUE, T_PROJECTS[[#This Row],[ProjectID]], T_PROJECTS[[#This Row],[ProjectName]],T_PROJECTS[[#This Row],[ProjectID Abb]])</f>
        <v>1 Transport_12_01 | Salary</v>
      </c>
      <c r="L84" s="14" t="s">
        <v>1217</v>
      </c>
      <c r="M84" s="14" t="s">
        <v>224</v>
      </c>
    </row>
    <row r="85" spans="1:13" x14ac:dyDescent="0.25">
      <c r="A85" t="s">
        <v>219</v>
      </c>
      <c r="B85" s="14" t="s">
        <v>1218</v>
      </c>
      <c r="C8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85" t="s">
        <v>439</v>
      </c>
      <c r="E85" t="s">
        <v>418</v>
      </c>
      <c r="F85" t="s">
        <v>223</v>
      </c>
      <c r="G85" t="s">
        <v>227</v>
      </c>
      <c r="H85" t="str">
        <f>_xlfn.TEXTJOIN(" | ", TRUE, T_PROJECTS[[#This Row],[ProjectID]], T_PROJECTS[[#This Row],[ProjectName]],T_PROJECTS[[#This Row],[ProjectID Abb]])</f>
        <v>1 Transport_12_02 | Extralegal</v>
      </c>
      <c r="L85" s="14" t="s">
        <v>1218</v>
      </c>
      <c r="M85" s="14" t="s">
        <v>227</v>
      </c>
    </row>
    <row r="86" spans="1:13" x14ac:dyDescent="0.25">
      <c r="A86" t="s">
        <v>219</v>
      </c>
      <c r="B86" s="14" t="s">
        <v>1219</v>
      </c>
      <c r="C8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86" t="s">
        <v>441</v>
      </c>
      <c r="E86" t="s">
        <v>418</v>
      </c>
      <c r="F86" t="s">
        <v>223</v>
      </c>
      <c r="G86" t="s">
        <v>229</v>
      </c>
      <c r="H86" t="str">
        <f>_xlfn.TEXTJOIN(" | ", TRUE, T_PROJECTS[[#This Row],[ProjectID]], T_PROJECTS[[#This Row],[ProjectName]],T_PROJECTS[[#This Row],[ProjectID Abb]])</f>
        <v>1 Transport_12_02_01 | Extralegal fuel</v>
      </c>
      <c r="L86" s="14" t="s">
        <v>1219</v>
      </c>
      <c r="M86" s="14" t="s">
        <v>229</v>
      </c>
    </row>
    <row r="87" spans="1:13" x14ac:dyDescent="0.25">
      <c r="A87" t="s">
        <v>219</v>
      </c>
      <c r="B87" s="14" t="s">
        <v>1220</v>
      </c>
      <c r="C8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87" t="s">
        <v>443</v>
      </c>
      <c r="E87" t="s">
        <v>418</v>
      </c>
      <c r="F87" t="s">
        <v>223</v>
      </c>
      <c r="G87" t="s">
        <v>231</v>
      </c>
      <c r="H87" t="str">
        <f>_xlfn.TEXTJOIN(" | ", TRUE, T_PROJECTS[[#This Row],[ProjectID]], T_PROJECTS[[#This Row],[ProjectName]],T_PROJECTS[[#This Row],[ProjectID Abb]])</f>
        <v>1 Transport_12_02_02 | Rental private cars</v>
      </c>
      <c r="L87" s="14" t="s">
        <v>1220</v>
      </c>
      <c r="M87" s="14" t="s">
        <v>231</v>
      </c>
    </row>
    <row r="88" spans="1:13" x14ac:dyDescent="0.25">
      <c r="A88" t="s">
        <v>219</v>
      </c>
      <c r="B88" s="14" t="s">
        <v>1221</v>
      </c>
      <c r="C8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88" t="s">
        <v>446</v>
      </c>
      <c r="E88" t="s">
        <v>418</v>
      </c>
      <c r="F88" t="s">
        <v>223</v>
      </c>
      <c r="G88" t="s">
        <v>361</v>
      </c>
      <c r="H88" t="str">
        <f>_xlfn.TEXTJOIN(" | ", TRUE, T_PROJECTS[[#This Row],[ProjectID]], T_PROJECTS[[#This Row],[ProjectName]],T_PROJECTS[[#This Row],[ProjectID Abb]])</f>
        <v>1 Transport_12_02_03 | Housing</v>
      </c>
      <c r="L88" s="14" t="s">
        <v>1221</v>
      </c>
      <c r="M88" s="14" t="s">
        <v>361</v>
      </c>
    </row>
    <row r="89" spans="1:13" x14ac:dyDescent="0.25">
      <c r="A89" t="s">
        <v>219</v>
      </c>
      <c r="B89" s="14" t="s">
        <v>1222</v>
      </c>
      <c r="C8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89" t="s">
        <v>449</v>
      </c>
      <c r="E89" t="s">
        <v>445</v>
      </c>
      <c r="F89" t="s">
        <v>223</v>
      </c>
      <c r="G89" t="s">
        <v>363</v>
      </c>
      <c r="H89" t="str">
        <f>_xlfn.TEXTJOIN(" | ", TRUE, T_PROJECTS[[#This Row],[ProjectID]], T_PROJECTS[[#This Row],[ProjectName]],T_PROJECTS[[#This Row],[ProjectID Abb]])</f>
        <v>1 Transport_12_02_04 | Utilities</v>
      </c>
      <c r="L89" s="14" t="s">
        <v>1222</v>
      </c>
      <c r="M89" s="14" t="s">
        <v>363</v>
      </c>
    </row>
    <row r="90" spans="1:13" x14ac:dyDescent="0.25">
      <c r="A90" t="s">
        <v>219</v>
      </c>
      <c r="B90" s="14" t="s">
        <v>1223</v>
      </c>
      <c r="C9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90" t="s">
        <v>451</v>
      </c>
      <c r="E90" t="s">
        <v>445</v>
      </c>
      <c r="F90" t="s">
        <v>223</v>
      </c>
      <c r="G90" t="s">
        <v>1224</v>
      </c>
      <c r="H90" t="str">
        <f>_xlfn.TEXTJOIN(" | ", TRUE, T_PROJECTS[[#This Row],[ProjectID]], T_PROJECTS[[#This Row],[ProjectName]],T_PROJECTS[[#This Row],[ProjectID Abb]])</f>
        <v>1 Transport_12_02_05 | School Fees</v>
      </c>
      <c r="L90" s="14" t="s">
        <v>1223</v>
      </c>
      <c r="M90" s="14" t="s">
        <v>1224</v>
      </c>
    </row>
    <row r="91" spans="1:13" x14ac:dyDescent="0.25">
      <c r="A91" t="s">
        <v>219</v>
      </c>
      <c r="B91" s="14" t="s">
        <v>1225</v>
      </c>
      <c r="C9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91" t="s">
        <v>453</v>
      </c>
      <c r="E91" t="s">
        <v>450</v>
      </c>
      <c r="F91" t="s">
        <v>223</v>
      </c>
      <c r="G91" t="s">
        <v>402</v>
      </c>
      <c r="H91" t="str">
        <f>_xlfn.TEXTJOIN(" | ", TRUE, T_PROJECTS[[#This Row],[ProjectID]], T_PROJECTS[[#This Row],[ProjectName]],T_PROJECTS[[#This Row],[ProjectID Abb]])</f>
        <v>1 Transport_12_02_06 | Child allowance</v>
      </c>
      <c r="L91" s="14" t="s">
        <v>1225</v>
      </c>
      <c r="M91" s="14" t="s">
        <v>402</v>
      </c>
    </row>
    <row r="92" spans="1:13" x14ac:dyDescent="0.25">
      <c r="A92" t="s">
        <v>219</v>
      </c>
      <c r="B92" s="14" t="s">
        <v>1226</v>
      </c>
      <c r="C9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92" t="s">
        <v>455</v>
      </c>
      <c r="E92" t="s">
        <v>450</v>
      </c>
      <c r="F92" t="s">
        <v>223</v>
      </c>
      <c r="G92" t="s">
        <v>365</v>
      </c>
      <c r="H92" t="str">
        <f>_xlfn.TEXTJOIN(" | ", TRUE, T_PROJECTS[[#This Row],[ProjectID]], T_PROJECTS[[#This Row],[ProjectName]],T_PROJECTS[[#This Row],[ProjectID Abb]])</f>
        <v>1 Transport_12_02_07 | Laundry service</v>
      </c>
      <c r="L92" s="14" t="s">
        <v>1226</v>
      </c>
      <c r="M92" s="14" t="s">
        <v>365</v>
      </c>
    </row>
    <row r="93" spans="1:13" x14ac:dyDescent="0.25">
      <c r="A93" t="s">
        <v>219</v>
      </c>
      <c r="B93" s="14" t="s">
        <v>1227</v>
      </c>
      <c r="C9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93" t="s">
        <v>457</v>
      </c>
      <c r="E93" t="s">
        <v>450</v>
      </c>
      <c r="F93" t="s">
        <v>223</v>
      </c>
      <c r="G93" t="s">
        <v>373</v>
      </c>
      <c r="H93" t="str">
        <f>_xlfn.TEXTJOIN(" | ", TRUE, T_PROJECTS[[#This Row],[ProjectID]], T_PROJECTS[[#This Row],[ProjectName]],T_PROJECTS[[#This Row],[ProjectID Abb]])</f>
        <v>1 Transport_12_02_08 | Food</v>
      </c>
      <c r="L93" s="14" t="s">
        <v>1227</v>
      </c>
      <c r="M93" s="14" t="s">
        <v>373</v>
      </c>
    </row>
    <row r="94" spans="1:13" x14ac:dyDescent="0.25">
      <c r="A94" t="s">
        <v>219</v>
      </c>
      <c r="B94" s="14" t="s">
        <v>1228</v>
      </c>
      <c r="C9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94" t="s">
        <v>459</v>
      </c>
      <c r="E94" t="s">
        <v>450</v>
      </c>
      <c r="F94" t="s">
        <v>223</v>
      </c>
      <c r="G94" t="s">
        <v>1229</v>
      </c>
      <c r="H94" t="str">
        <f>_xlfn.TEXTJOIN(" | ", TRUE, T_PROJECTS[[#This Row],[ProjectID]], T_PROJECTS[[#This Row],[ProjectName]],T_PROJECTS[[#This Row],[ProjectID Abb]])</f>
        <v>1 Transport_12_02_09 | VIsa &amp; licenses</v>
      </c>
      <c r="L94" s="14" t="s">
        <v>1228</v>
      </c>
      <c r="M94" s="14" t="s">
        <v>1229</v>
      </c>
    </row>
    <row r="95" spans="1:13" x14ac:dyDescent="0.25">
      <c r="A95" t="s">
        <v>219</v>
      </c>
      <c r="B95" s="14" t="s">
        <v>1230</v>
      </c>
      <c r="C9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95" t="s">
        <v>461</v>
      </c>
      <c r="E95" t="s">
        <v>450</v>
      </c>
      <c r="F95" t="s">
        <v>223</v>
      </c>
      <c r="G95" t="s">
        <v>235</v>
      </c>
      <c r="H95" t="str">
        <f>_xlfn.TEXTJOIN(" | ", TRUE, T_PROJECTS[[#This Row],[ProjectID]], T_PROJECTS[[#This Row],[ProjectName]],T_PROJECTS[[#This Row],[ProjectID Abb]])</f>
        <v>1 Transport_12_03 | Insurance</v>
      </c>
      <c r="L95" s="14" t="s">
        <v>1230</v>
      </c>
      <c r="M95" s="14" t="s">
        <v>235</v>
      </c>
    </row>
    <row r="96" spans="1:13" x14ac:dyDescent="0.25">
      <c r="A96" t="s">
        <v>219</v>
      </c>
      <c r="B96" s="14" t="s">
        <v>1231</v>
      </c>
      <c r="C9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96" t="s">
        <v>463</v>
      </c>
      <c r="E96" t="s">
        <v>450</v>
      </c>
      <c r="F96" t="s">
        <v>223</v>
      </c>
      <c r="G96" t="s">
        <v>238</v>
      </c>
      <c r="H96" t="str">
        <f>_xlfn.TEXTJOIN(" | ", TRUE, T_PROJECTS[[#This Row],[ProjectID]], T_PROJECTS[[#This Row],[ProjectName]],T_PROJECTS[[#This Row],[ProjectID Abb]])</f>
        <v>1 Transport_12_04 | Travel</v>
      </c>
      <c r="L96" s="14" t="s">
        <v>1231</v>
      </c>
      <c r="M96" s="14" t="s">
        <v>238</v>
      </c>
    </row>
    <row r="97" spans="1:13" x14ac:dyDescent="0.25">
      <c r="A97" t="s">
        <v>219</v>
      </c>
      <c r="B97" s="14" t="s">
        <v>1232</v>
      </c>
      <c r="C9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97" t="s">
        <v>465</v>
      </c>
      <c r="E97" t="s">
        <v>450</v>
      </c>
      <c r="F97" t="s">
        <v>223</v>
      </c>
      <c r="G97" t="s">
        <v>241</v>
      </c>
      <c r="H97" t="str">
        <f>_xlfn.TEXTJOIN(" | ", TRUE, T_PROJECTS[[#This Row],[ProjectID]], T_PROJECTS[[#This Row],[ProjectName]],T_PROJECTS[[#This Row],[ProjectID Abb]])</f>
        <v>1 Transport_12_05 | Training</v>
      </c>
      <c r="L97" s="14" t="s">
        <v>1232</v>
      </c>
      <c r="M97" s="14" t="s">
        <v>241</v>
      </c>
    </row>
    <row r="98" spans="1:13" x14ac:dyDescent="0.25">
      <c r="A98" t="s">
        <v>219</v>
      </c>
      <c r="B98" s="14" t="s">
        <v>1233</v>
      </c>
      <c r="C9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98" t="s">
        <v>467</v>
      </c>
      <c r="E98" t="s">
        <v>450</v>
      </c>
      <c r="F98" t="s">
        <v>223</v>
      </c>
      <c r="G98" t="s">
        <v>479</v>
      </c>
      <c r="H98" t="str">
        <f>_xlfn.TEXTJOIN(" | ", TRUE, T_PROJECTS[[#This Row],[ProjectID]], T_PROJECTS[[#This Row],[ProjectName]],T_PROJECTS[[#This Row],[ProjectID Abb]])</f>
        <v>1 Transport_12_06 | Temporary Staff</v>
      </c>
      <c r="L98" s="14" t="s">
        <v>1233</v>
      </c>
      <c r="M98" s="14" t="s">
        <v>479</v>
      </c>
    </row>
    <row r="99" spans="1:13" x14ac:dyDescent="0.25">
      <c r="A99" t="s">
        <v>219</v>
      </c>
      <c r="B99" s="14" t="s">
        <v>1234</v>
      </c>
      <c r="C9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99" t="s">
        <v>469</v>
      </c>
      <c r="E99" t="s">
        <v>450</v>
      </c>
      <c r="F99" t="s">
        <v>223</v>
      </c>
      <c r="G99" t="s">
        <v>482</v>
      </c>
      <c r="H99" t="str">
        <f>_xlfn.TEXTJOIN(" | ", TRUE, T_PROJECTS[[#This Row],[ProjectID]], T_PROJECTS[[#This Row],[ProjectName]],T_PROJECTS[[#This Row],[ProjectID Abb]])</f>
        <v>1 Transport_12_07 | Personel Protection Equipment (PPE)</v>
      </c>
      <c r="L99" s="14" t="s">
        <v>1234</v>
      </c>
      <c r="M99" s="14" t="s">
        <v>482</v>
      </c>
    </row>
    <row r="100" spans="1:13" x14ac:dyDescent="0.25">
      <c r="A100" t="s">
        <v>219</v>
      </c>
      <c r="B100" s="14" t="s">
        <v>1235</v>
      </c>
      <c r="C10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00" t="s">
        <v>472</v>
      </c>
      <c r="E100" t="s">
        <v>445</v>
      </c>
      <c r="F100" t="s">
        <v>223</v>
      </c>
      <c r="G100" t="s">
        <v>328</v>
      </c>
      <c r="H100" t="str">
        <f>_xlfn.TEXTJOIN(" | ", TRUE, T_PROJECTS[[#This Row],[ProjectID]], T_PROJECTS[[#This Row],[ProjectName]],T_PROJECTS[[#This Row],[ProjectID Abb]])</f>
        <v>1 Transport_12_08 | Other</v>
      </c>
      <c r="L100" s="14" t="s">
        <v>1235</v>
      </c>
      <c r="M100" s="14" t="s">
        <v>328</v>
      </c>
    </row>
    <row r="101" spans="1:13" x14ac:dyDescent="0.25">
      <c r="A101" t="s">
        <v>219</v>
      </c>
      <c r="B101" s="14" t="s">
        <v>498</v>
      </c>
      <c r="C10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01" t="s">
        <v>474</v>
      </c>
      <c r="E101" t="s">
        <v>445</v>
      </c>
      <c r="F101" t="s">
        <v>223</v>
      </c>
      <c r="G101" t="s">
        <v>500</v>
      </c>
      <c r="H101" t="str">
        <f>_xlfn.TEXTJOIN(" | ", TRUE, T_PROJECTS[[#This Row],[ProjectID]], T_PROJECTS[[#This Row],[ProjectName]],T_PROJECTS[[#This Row],[ProjectID Abb]])</f>
        <v>2 Project_02 | AMS AD</v>
      </c>
      <c r="L101" s="14" t="s">
        <v>498</v>
      </c>
      <c r="M101" s="14" t="s">
        <v>500</v>
      </c>
    </row>
    <row r="102" spans="1:13" x14ac:dyDescent="0.25">
      <c r="A102" t="s">
        <v>219</v>
      </c>
      <c r="B102" s="14" t="s">
        <v>654</v>
      </c>
      <c r="C10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02" t="s">
        <v>476</v>
      </c>
      <c r="E102" t="s">
        <v>445</v>
      </c>
      <c r="F102" t="s">
        <v>223</v>
      </c>
      <c r="G102" t="s">
        <v>657</v>
      </c>
      <c r="H102" t="str">
        <f>_xlfn.TEXTJOIN(" | ", TRUE, T_PROJECTS[[#This Row],[ProjectID]], T_PROJECTS[[#This Row],[ProjectName]],T_PROJECTS[[#This Row],[ProjectID Abb]])</f>
        <v>2 Project_02_42_03 | AD Floor Office UAE</v>
      </c>
      <c r="L102" s="14" t="s">
        <v>654</v>
      </c>
      <c r="M102" s="14" t="s">
        <v>657</v>
      </c>
    </row>
    <row r="103" spans="1:13" x14ac:dyDescent="0.25">
      <c r="A103" t="s">
        <v>219</v>
      </c>
      <c r="B103" s="14" t="s">
        <v>1236</v>
      </c>
      <c r="C10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03" t="s">
        <v>478</v>
      </c>
      <c r="E103" t="s">
        <v>445</v>
      </c>
      <c r="F103" t="s">
        <v>223</v>
      </c>
      <c r="G103" t="s">
        <v>1237</v>
      </c>
      <c r="H103" t="str">
        <f>_xlfn.TEXTJOIN(" | ", TRUE, T_PROJECTS[[#This Row],[ProjectID]], T_PROJECTS[[#This Row],[ProjectName]],T_PROJECTS[[#This Row],[ProjectID Abb]])</f>
        <v>2 Project_02_42_04 | Evacuation project</v>
      </c>
      <c r="L103" s="14" t="s">
        <v>1236</v>
      </c>
      <c r="M103" s="14" t="s">
        <v>1237</v>
      </c>
    </row>
    <row r="104" spans="1:13" x14ac:dyDescent="0.25">
      <c r="A104" t="s">
        <v>219</v>
      </c>
      <c r="B104" s="14" t="s">
        <v>530</v>
      </c>
      <c r="C10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04" t="s">
        <v>481</v>
      </c>
      <c r="E104" t="s">
        <v>445</v>
      </c>
      <c r="F104" t="s">
        <v>223</v>
      </c>
      <c r="G104" t="s">
        <v>530</v>
      </c>
      <c r="H104" t="str">
        <f>_xlfn.TEXTJOIN(" | ", TRUE, T_PROJECTS[[#This Row],[ProjectID]], T_PROJECTS[[#This Row],[ProjectName]],T_PROJECTS[[#This Row],[ProjectID Abb]])</f>
        <v>CR Workshop | CR Workshop</v>
      </c>
      <c r="L104" s="14" t="s">
        <v>530</v>
      </c>
      <c r="M104" s="14" t="s">
        <v>530</v>
      </c>
    </row>
    <row r="105" spans="1:13" x14ac:dyDescent="0.25">
      <c r="A105" t="s">
        <v>219</v>
      </c>
      <c r="B105" s="14" t="s">
        <v>532</v>
      </c>
      <c r="C10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05" t="s">
        <v>484</v>
      </c>
      <c r="E105" t="s">
        <v>445</v>
      </c>
      <c r="F105" t="s">
        <v>223</v>
      </c>
      <c r="G105" t="s">
        <v>422</v>
      </c>
      <c r="H105" t="str">
        <f>_xlfn.TEXTJOIN(" | ", TRUE, T_PROJECTS[[#This Row],[ProjectID]], T_PROJECTS[[#This Row],[ProjectName]],T_PROJECTS[[#This Row],[ProjectID Abb]])</f>
        <v>CR Workshop_01 | Maintenance &amp; Repair</v>
      </c>
      <c r="L105" s="14" t="s">
        <v>532</v>
      </c>
      <c r="M105" s="14" t="s">
        <v>422</v>
      </c>
    </row>
    <row r="106" spans="1:13" x14ac:dyDescent="0.25">
      <c r="A106" t="s">
        <v>219</v>
      </c>
      <c r="B106" s="14" t="s">
        <v>534</v>
      </c>
      <c r="C10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06" t="s">
        <v>486</v>
      </c>
      <c r="E106" t="s">
        <v>341</v>
      </c>
      <c r="F106" t="s">
        <v>223</v>
      </c>
      <c r="G106" t="s">
        <v>255</v>
      </c>
      <c r="H106" t="str">
        <f>_xlfn.TEXTJOIN(" | ", TRUE, T_PROJECTS[[#This Row],[ProjectID]], T_PROJECTS[[#This Row],[ProjectName]],T_PROJECTS[[#This Row],[ProjectID Abb]])</f>
        <v>CR Workshop_02 | Fuel</v>
      </c>
      <c r="L106" s="14" t="s">
        <v>534</v>
      </c>
      <c r="M106" s="14" t="s">
        <v>255</v>
      </c>
    </row>
    <row r="107" spans="1:13" x14ac:dyDescent="0.25">
      <c r="A107" t="s">
        <v>219</v>
      </c>
      <c r="B107" s="14" t="s">
        <v>536</v>
      </c>
      <c r="C10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07" t="s">
        <v>488</v>
      </c>
      <c r="E107" t="s">
        <v>341</v>
      </c>
      <c r="F107" t="s">
        <v>223</v>
      </c>
      <c r="G107" t="s">
        <v>235</v>
      </c>
      <c r="H107" t="str">
        <f>_xlfn.TEXTJOIN(" | ", TRUE, T_PROJECTS[[#This Row],[ProjectID]], T_PROJECTS[[#This Row],[ProjectName]],T_PROJECTS[[#This Row],[ProjectID Abb]])</f>
        <v>CR Workshop_03 | Insurance</v>
      </c>
      <c r="L107" s="14" t="s">
        <v>536</v>
      </c>
      <c r="M107" s="14" t="s">
        <v>235</v>
      </c>
    </row>
    <row r="108" spans="1:13" x14ac:dyDescent="0.25">
      <c r="A108" t="s">
        <v>219</v>
      </c>
      <c r="B108" s="14" t="s">
        <v>538</v>
      </c>
      <c r="C10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08" t="s">
        <v>489</v>
      </c>
      <c r="E108" t="s">
        <v>341</v>
      </c>
      <c r="F108" t="s">
        <v>223</v>
      </c>
      <c r="G108" t="s">
        <v>429</v>
      </c>
      <c r="H108" t="str">
        <f>_xlfn.TEXTJOIN(" | ", TRUE, T_PROJECTS[[#This Row],[ProjectID]], T_PROJECTS[[#This Row],[ProjectName]],T_PROJECTS[[#This Row],[ProjectID Abb]])</f>
        <v>CR Workshop_04 | Assets non depreciated</v>
      </c>
      <c r="L108" s="14" t="s">
        <v>538</v>
      </c>
      <c r="M108" s="14" t="s">
        <v>429</v>
      </c>
    </row>
    <row r="109" spans="1:13" x14ac:dyDescent="0.25">
      <c r="A109" t="s">
        <v>219</v>
      </c>
      <c r="B109" s="14" t="s">
        <v>540</v>
      </c>
      <c r="C10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09" t="s">
        <v>490</v>
      </c>
      <c r="E109" t="s">
        <v>341</v>
      </c>
      <c r="F109" t="s">
        <v>223</v>
      </c>
      <c r="G109" t="s">
        <v>260</v>
      </c>
      <c r="H109" t="str">
        <f>_xlfn.TEXTJOIN(" | ", TRUE, T_PROJECTS[[#This Row],[ProjectID]], T_PROJECTS[[#This Row],[ProjectName]],T_PROJECTS[[#This Row],[ProjectID Abb]])</f>
        <v>CR Workshop_05 | Rent</v>
      </c>
      <c r="L109" s="14" t="s">
        <v>540</v>
      </c>
      <c r="M109" s="14" t="s">
        <v>260</v>
      </c>
    </row>
    <row r="110" spans="1:13" x14ac:dyDescent="0.25">
      <c r="A110" t="s">
        <v>219</v>
      </c>
      <c r="B110" s="14" t="s">
        <v>542</v>
      </c>
      <c r="C11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10" t="s">
        <v>491</v>
      </c>
      <c r="E110" t="s">
        <v>341</v>
      </c>
      <c r="F110" t="s">
        <v>223</v>
      </c>
      <c r="G110" t="s">
        <v>263</v>
      </c>
      <c r="H110" t="str">
        <f>_xlfn.TEXTJOIN(" | ", TRUE, T_PROJECTS[[#This Row],[ProjectID]], T_PROJECTS[[#This Row],[ProjectName]],T_PROJECTS[[#This Row],[ProjectID Abb]])</f>
        <v>CR Workshop_06 | Intrest</v>
      </c>
      <c r="L110" s="14" t="s">
        <v>542</v>
      </c>
      <c r="M110" s="14" t="s">
        <v>263</v>
      </c>
    </row>
    <row r="111" spans="1:13" x14ac:dyDescent="0.25">
      <c r="A111" t="s">
        <v>219</v>
      </c>
      <c r="B111" s="14" t="s">
        <v>544</v>
      </c>
      <c r="C11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11" t="s">
        <v>492</v>
      </c>
      <c r="E111" t="s">
        <v>341</v>
      </c>
      <c r="F111" t="s">
        <v>223</v>
      </c>
      <c r="G111" t="s">
        <v>266</v>
      </c>
      <c r="H111" t="str">
        <f>_xlfn.TEXTJOIN(" | ", TRUE, T_PROJECTS[[#This Row],[ProjectID]], T_PROJECTS[[#This Row],[ProjectName]],T_PROJECTS[[#This Row],[ProjectID Abb]])</f>
        <v>CR Workshop_07 | Depreciation</v>
      </c>
      <c r="L111" s="14" t="s">
        <v>544</v>
      </c>
      <c r="M111" s="14" t="s">
        <v>266</v>
      </c>
    </row>
    <row r="112" spans="1:13" x14ac:dyDescent="0.25">
      <c r="A112" t="s">
        <v>219</v>
      </c>
      <c r="B112" s="14" t="s">
        <v>546</v>
      </c>
      <c r="C11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12" t="s">
        <v>493</v>
      </c>
      <c r="E112" t="s">
        <v>341</v>
      </c>
      <c r="F112" t="s">
        <v>223</v>
      </c>
      <c r="G112" t="s">
        <v>334</v>
      </c>
      <c r="H112" t="str">
        <f>_xlfn.TEXTJOIN(" | ", TRUE, T_PROJECTS[[#This Row],[ProjectID]], T_PROJECTS[[#This Row],[ProjectName]],T_PROJECTS[[#This Row],[ProjectID Abb]])</f>
        <v>CR Workshop_08 | Taxes</v>
      </c>
      <c r="L112" s="14" t="s">
        <v>546</v>
      </c>
      <c r="M112" s="14" t="s">
        <v>334</v>
      </c>
    </row>
    <row r="113" spans="1:13" x14ac:dyDescent="0.25">
      <c r="A113" t="s">
        <v>219</v>
      </c>
      <c r="B113" s="14" t="s">
        <v>548</v>
      </c>
      <c r="C11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13" t="s">
        <v>494</v>
      </c>
      <c r="E113" t="s">
        <v>341</v>
      </c>
      <c r="F113" t="s">
        <v>223</v>
      </c>
      <c r="G113" t="s">
        <v>272</v>
      </c>
      <c r="H113" t="str">
        <f>_xlfn.TEXTJOIN(" | ", TRUE, T_PROJECTS[[#This Row],[ProjectID]], T_PROJECTS[[#This Row],[ProjectName]],T_PROJECTS[[#This Row],[ProjectID Abb]])</f>
        <v>CR Workshop_09 | Technical inspection</v>
      </c>
      <c r="L113" s="14" t="s">
        <v>548</v>
      </c>
      <c r="M113" s="14" t="s">
        <v>272</v>
      </c>
    </row>
    <row r="114" spans="1:13" x14ac:dyDescent="0.25">
      <c r="A114" t="s">
        <v>219</v>
      </c>
      <c r="B114" s="14" t="s">
        <v>550</v>
      </c>
      <c r="C11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14" t="s">
        <v>496</v>
      </c>
      <c r="E114" t="s">
        <v>280</v>
      </c>
      <c r="F114" t="s">
        <v>223</v>
      </c>
      <c r="G114" t="s">
        <v>275</v>
      </c>
      <c r="H114" t="str">
        <f>_xlfn.TEXTJOIN(" | ", TRUE, T_PROJECTS[[#This Row],[ProjectID]], T_PROJECTS[[#This Row],[ProjectName]],T_PROJECTS[[#This Row],[ProjectID Abb]])</f>
        <v>CR Workshop_10 | Off-balance rent</v>
      </c>
      <c r="L114" s="14" t="s">
        <v>550</v>
      </c>
      <c r="M114" s="14" t="s">
        <v>275</v>
      </c>
    </row>
    <row r="115" spans="1:13" x14ac:dyDescent="0.25">
      <c r="A115" t="s">
        <v>219</v>
      </c>
      <c r="B115" s="14" t="s">
        <v>552</v>
      </c>
      <c r="C1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15" t="s">
        <v>499</v>
      </c>
      <c r="E115" t="s">
        <v>341</v>
      </c>
      <c r="F115" t="s">
        <v>223</v>
      </c>
      <c r="G115" t="s">
        <v>444</v>
      </c>
      <c r="H115" t="str">
        <f>_xlfn.TEXTJOIN(" | ", TRUE, T_PROJECTS[[#This Row],[ProjectID]], T_PROJECTS[[#This Row],[ProjectName]],T_PROJECTS[[#This Row],[ProjectID Abb]])</f>
        <v>CR Workshop_11 | Transport</v>
      </c>
      <c r="L115" s="14" t="s">
        <v>552</v>
      </c>
      <c r="M115" s="14" t="s">
        <v>444</v>
      </c>
    </row>
    <row r="116" spans="1:13" x14ac:dyDescent="0.25">
      <c r="A116" t="s">
        <v>219</v>
      </c>
      <c r="B116" s="14" t="s">
        <v>554</v>
      </c>
      <c r="C11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16" t="s">
        <v>501</v>
      </c>
      <c r="E116" t="s">
        <v>341</v>
      </c>
      <c r="F116" t="s">
        <v>223</v>
      </c>
      <c r="G116" t="s">
        <v>447</v>
      </c>
      <c r="H116" t="str">
        <f>_xlfn.TEXTJOIN(" | ", TRUE, T_PROJECTS[[#This Row],[ProjectID]], T_PROJECTS[[#This Row],[ProjectName]],T_PROJECTS[[#This Row],[ProjectID Abb]])</f>
        <v>CR Workshop_12 | Personnel</v>
      </c>
      <c r="L116" s="14" t="s">
        <v>554</v>
      </c>
      <c r="M116" s="14" t="s">
        <v>447</v>
      </c>
    </row>
    <row r="117" spans="1:13" x14ac:dyDescent="0.25">
      <c r="A117" t="s">
        <v>219</v>
      </c>
      <c r="B117" s="14" t="s">
        <v>556</v>
      </c>
      <c r="C11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17" t="s">
        <v>502</v>
      </c>
      <c r="E117" t="s">
        <v>341</v>
      </c>
      <c r="F117" t="s">
        <v>223</v>
      </c>
      <c r="G117" t="s">
        <v>224</v>
      </c>
      <c r="H117" t="str">
        <f>_xlfn.TEXTJOIN(" | ", TRUE, T_PROJECTS[[#This Row],[ProjectID]], T_PROJECTS[[#This Row],[ProjectName]],T_PROJECTS[[#This Row],[ProjectID Abb]])</f>
        <v>CR Workshop_12_01 | Salary</v>
      </c>
      <c r="L117" s="14" t="s">
        <v>556</v>
      </c>
      <c r="M117" s="14" t="s">
        <v>224</v>
      </c>
    </row>
    <row r="118" spans="1:13" x14ac:dyDescent="0.25">
      <c r="A118" t="s">
        <v>219</v>
      </c>
      <c r="B118" s="14" t="s">
        <v>558</v>
      </c>
      <c r="C11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18" t="s">
        <v>504</v>
      </c>
      <c r="E118" t="s">
        <v>341</v>
      </c>
      <c r="F118" t="s">
        <v>223</v>
      </c>
      <c r="G118" t="s">
        <v>227</v>
      </c>
      <c r="H118" t="str">
        <f>_xlfn.TEXTJOIN(" | ", TRUE, T_PROJECTS[[#This Row],[ProjectID]], T_PROJECTS[[#This Row],[ProjectName]],T_PROJECTS[[#This Row],[ProjectID Abb]])</f>
        <v>CR Workshop_12_02 | Extralegal</v>
      </c>
      <c r="L118" s="14" t="s">
        <v>558</v>
      </c>
      <c r="M118" s="14" t="s">
        <v>227</v>
      </c>
    </row>
    <row r="119" spans="1:13" x14ac:dyDescent="0.25">
      <c r="A119" t="s">
        <v>219</v>
      </c>
      <c r="B119" s="14" t="s">
        <v>572</v>
      </c>
      <c r="C11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19" t="s">
        <v>507</v>
      </c>
      <c r="E119" t="s">
        <v>341</v>
      </c>
      <c r="F119" t="s">
        <v>223</v>
      </c>
      <c r="G119" t="s">
        <v>229</v>
      </c>
      <c r="H119" t="str">
        <f>_xlfn.TEXTJOIN(" | ", TRUE, T_PROJECTS[[#This Row],[ProjectID]], T_PROJECTS[[#This Row],[ProjectName]],T_PROJECTS[[#This Row],[ProjectID Abb]])</f>
        <v>CR Workshop_12_02_01 | Extralegal fuel</v>
      </c>
      <c r="L119" s="14" t="s">
        <v>572</v>
      </c>
      <c r="M119" s="14" t="s">
        <v>229</v>
      </c>
    </row>
    <row r="120" spans="1:13" x14ac:dyDescent="0.25">
      <c r="A120" t="s">
        <v>219</v>
      </c>
      <c r="B120" s="14" t="s">
        <v>574</v>
      </c>
      <c r="C12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20" t="s">
        <v>510</v>
      </c>
      <c r="E120" t="s">
        <v>341</v>
      </c>
      <c r="F120" t="s">
        <v>223</v>
      </c>
      <c r="G120" t="s">
        <v>231</v>
      </c>
      <c r="H120" t="str">
        <f>_xlfn.TEXTJOIN(" | ", TRUE, T_PROJECTS[[#This Row],[ProjectID]], T_PROJECTS[[#This Row],[ProjectName]],T_PROJECTS[[#This Row],[ProjectID Abb]])</f>
        <v>CR Workshop_12_02_02 | Rental private cars</v>
      </c>
      <c r="L120" s="14" t="s">
        <v>574</v>
      </c>
      <c r="M120" s="14" t="s">
        <v>231</v>
      </c>
    </row>
    <row r="121" spans="1:13" x14ac:dyDescent="0.25">
      <c r="A121" t="s">
        <v>219</v>
      </c>
      <c r="B121" s="14" t="s">
        <v>576</v>
      </c>
      <c r="C12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21" t="s">
        <v>513</v>
      </c>
      <c r="E121" t="s">
        <v>341</v>
      </c>
      <c r="F121" t="s">
        <v>223</v>
      </c>
      <c r="G121" t="s">
        <v>361</v>
      </c>
      <c r="H121" t="str">
        <f>_xlfn.TEXTJOIN(" | ", TRUE, T_PROJECTS[[#This Row],[ProjectID]], T_PROJECTS[[#This Row],[ProjectName]],T_PROJECTS[[#This Row],[ProjectID Abb]])</f>
        <v>CR Workshop_12_02_03 | Housing</v>
      </c>
      <c r="L121" s="14" t="s">
        <v>576</v>
      </c>
      <c r="M121" s="14" t="s">
        <v>361</v>
      </c>
    </row>
    <row r="122" spans="1:13" x14ac:dyDescent="0.25">
      <c r="A122" t="s">
        <v>219</v>
      </c>
      <c r="B122" s="14" t="s">
        <v>578</v>
      </c>
      <c r="C12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22" t="s">
        <v>515</v>
      </c>
      <c r="E122" t="s">
        <v>341</v>
      </c>
      <c r="F122" t="s">
        <v>223</v>
      </c>
      <c r="G122" t="s">
        <v>363</v>
      </c>
      <c r="H122" t="str">
        <f>_xlfn.TEXTJOIN(" | ", TRUE, T_PROJECTS[[#This Row],[ProjectID]], T_PROJECTS[[#This Row],[ProjectName]],T_PROJECTS[[#This Row],[ProjectID Abb]])</f>
        <v>CR Workshop_12_02_04 | Utilities</v>
      </c>
      <c r="L122" s="14" t="s">
        <v>578</v>
      </c>
      <c r="M122" s="14" t="s">
        <v>363</v>
      </c>
    </row>
    <row r="123" spans="1:13" x14ac:dyDescent="0.25">
      <c r="A123" t="s">
        <v>219</v>
      </c>
      <c r="B123" s="14" t="s">
        <v>580</v>
      </c>
      <c r="C12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23" t="s">
        <v>516</v>
      </c>
      <c r="E123" t="s">
        <v>341</v>
      </c>
      <c r="F123" t="s">
        <v>223</v>
      </c>
      <c r="G123" t="s">
        <v>399</v>
      </c>
      <c r="H123" t="str">
        <f>_xlfn.TEXTJOIN(" | ", TRUE, T_PROJECTS[[#This Row],[ProjectID]], T_PROJECTS[[#This Row],[ProjectName]],T_PROJECTS[[#This Row],[ProjectID Abb]])</f>
        <v>CR Workshop_12_02_05 | School fees</v>
      </c>
      <c r="L123" s="14" t="s">
        <v>580</v>
      </c>
      <c r="M123" s="14" t="s">
        <v>399</v>
      </c>
    </row>
    <row r="124" spans="1:13" x14ac:dyDescent="0.25">
      <c r="A124" t="s">
        <v>219</v>
      </c>
      <c r="B124" s="14" t="s">
        <v>582</v>
      </c>
      <c r="C12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24" t="s">
        <v>517</v>
      </c>
      <c r="E124" t="s">
        <v>341</v>
      </c>
      <c r="F124" t="s">
        <v>223</v>
      </c>
      <c r="G124" t="s">
        <v>402</v>
      </c>
      <c r="H124" t="str">
        <f>_xlfn.TEXTJOIN(" | ", TRUE, T_PROJECTS[[#This Row],[ProjectID]], T_PROJECTS[[#This Row],[ProjectName]],T_PROJECTS[[#This Row],[ProjectID Abb]])</f>
        <v>CR Workshop_12_02_06 | Child allowance</v>
      </c>
      <c r="L124" s="14" t="s">
        <v>582</v>
      </c>
      <c r="M124" s="14" t="s">
        <v>402</v>
      </c>
    </row>
    <row r="125" spans="1:13" x14ac:dyDescent="0.25">
      <c r="A125" t="s">
        <v>219</v>
      </c>
      <c r="B125" s="14" t="s">
        <v>584</v>
      </c>
      <c r="C12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25" t="s">
        <v>518</v>
      </c>
      <c r="E125" t="s">
        <v>341</v>
      </c>
      <c r="F125" t="s">
        <v>223</v>
      </c>
      <c r="G125" t="s">
        <v>365</v>
      </c>
      <c r="H125" t="str">
        <f>_xlfn.TEXTJOIN(" | ", TRUE, T_PROJECTS[[#This Row],[ProjectID]], T_PROJECTS[[#This Row],[ProjectName]],T_PROJECTS[[#This Row],[ProjectID Abb]])</f>
        <v>CR Workshop_12_02_07 | Laundry service</v>
      </c>
      <c r="L125" s="14" t="s">
        <v>584</v>
      </c>
      <c r="M125" s="14" t="s">
        <v>365</v>
      </c>
    </row>
    <row r="126" spans="1:13" x14ac:dyDescent="0.25">
      <c r="A126" t="s">
        <v>219</v>
      </c>
      <c r="B126" s="14" t="s">
        <v>586</v>
      </c>
      <c r="C12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26" t="s">
        <v>519</v>
      </c>
      <c r="E126" t="s">
        <v>341</v>
      </c>
      <c r="F126" t="s">
        <v>223</v>
      </c>
      <c r="G126" t="s">
        <v>373</v>
      </c>
      <c r="H126" t="str">
        <f>_xlfn.TEXTJOIN(" | ", TRUE, T_PROJECTS[[#This Row],[ProjectID]], T_PROJECTS[[#This Row],[ProjectName]],T_PROJECTS[[#This Row],[ProjectID Abb]])</f>
        <v>CR Workshop_12_02_08 | Food</v>
      </c>
      <c r="L126" s="14" t="s">
        <v>586</v>
      </c>
      <c r="M126" s="14" t="s">
        <v>373</v>
      </c>
    </row>
    <row r="127" spans="1:13" x14ac:dyDescent="0.25">
      <c r="A127" t="s">
        <v>219</v>
      </c>
      <c r="B127" s="14" t="s">
        <v>588</v>
      </c>
      <c r="C12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27" t="s">
        <v>520</v>
      </c>
      <c r="E127" t="s">
        <v>341</v>
      </c>
      <c r="F127" t="s">
        <v>223</v>
      </c>
      <c r="G127" t="s">
        <v>470</v>
      </c>
      <c r="H127" t="str">
        <f>_xlfn.TEXTJOIN(" | ", TRUE, T_PROJECTS[[#This Row],[ProjectID]], T_PROJECTS[[#This Row],[ProjectName]],T_PROJECTS[[#This Row],[ProjectID Abb]])</f>
        <v>CR Workshop_12_02_09 | Visa &amp; licences</v>
      </c>
      <c r="L127" s="14" t="s">
        <v>588</v>
      </c>
      <c r="M127" s="14" t="s">
        <v>470</v>
      </c>
    </row>
    <row r="128" spans="1:13" x14ac:dyDescent="0.25">
      <c r="A128" t="s">
        <v>219</v>
      </c>
      <c r="B128" s="14" t="s">
        <v>560</v>
      </c>
      <c r="C12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28" t="s">
        <v>521</v>
      </c>
      <c r="E128" t="s">
        <v>341</v>
      </c>
      <c r="F128" t="s">
        <v>223</v>
      </c>
      <c r="G128" t="s">
        <v>235</v>
      </c>
      <c r="H128" t="str">
        <f>_xlfn.TEXTJOIN(" | ", TRUE, T_PROJECTS[[#This Row],[ProjectID]], T_PROJECTS[[#This Row],[ProjectName]],T_PROJECTS[[#This Row],[ProjectID Abb]])</f>
        <v>CR Workshop_12_03 | Insurance</v>
      </c>
      <c r="L128" s="14" t="s">
        <v>560</v>
      </c>
      <c r="M128" s="14" t="s">
        <v>235</v>
      </c>
    </row>
    <row r="129" spans="1:13" x14ac:dyDescent="0.25">
      <c r="A129" t="s">
        <v>219</v>
      </c>
      <c r="B129" s="14" t="s">
        <v>562</v>
      </c>
      <c r="C12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29" t="s">
        <v>522</v>
      </c>
      <c r="E129" t="s">
        <v>341</v>
      </c>
      <c r="F129" t="s">
        <v>223</v>
      </c>
      <c r="G129" t="s">
        <v>238</v>
      </c>
      <c r="H129" t="str">
        <f>_xlfn.TEXTJOIN(" | ", TRUE, T_PROJECTS[[#This Row],[ProjectID]], T_PROJECTS[[#This Row],[ProjectName]],T_PROJECTS[[#This Row],[ProjectID Abb]])</f>
        <v>CR Workshop_12_04 | Travel</v>
      </c>
      <c r="L129" s="14" t="s">
        <v>562</v>
      </c>
      <c r="M129" s="14" t="s">
        <v>238</v>
      </c>
    </row>
    <row r="130" spans="1:13" x14ac:dyDescent="0.25">
      <c r="A130" t="s">
        <v>219</v>
      </c>
      <c r="B130" s="14" t="s">
        <v>564</v>
      </c>
      <c r="C13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30" t="s">
        <v>523</v>
      </c>
      <c r="E130" t="s">
        <v>341</v>
      </c>
      <c r="F130" t="s">
        <v>223</v>
      </c>
      <c r="G130" t="s">
        <v>241</v>
      </c>
      <c r="H130" t="str">
        <f>_xlfn.TEXTJOIN(" | ", TRUE, T_PROJECTS[[#This Row],[ProjectID]], T_PROJECTS[[#This Row],[ProjectName]],T_PROJECTS[[#This Row],[ProjectID Abb]])</f>
        <v>CR Workshop_12_05 | Training</v>
      </c>
      <c r="L130" s="14" t="s">
        <v>564</v>
      </c>
      <c r="M130" s="14" t="s">
        <v>241</v>
      </c>
    </row>
    <row r="131" spans="1:13" x14ac:dyDescent="0.25">
      <c r="A131" t="s">
        <v>219</v>
      </c>
      <c r="B131" s="14" t="s">
        <v>566</v>
      </c>
      <c r="C13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31" t="s">
        <v>524</v>
      </c>
      <c r="E131" t="s">
        <v>341</v>
      </c>
      <c r="F131" t="s">
        <v>223</v>
      </c>
      <c r="G131" t="s">
        <v>479</v>
      </c>
      <c r="H131" t="str">
        <f>_xlfn.TEXTJOIN(" | ", TRUE, T_PROJECTS[[#This Row],[ProjectID]], T_PROJECTS[[#This Row],[ProjectName]],T_PROJECTS[[#This Row],[ProjectID Abb]])</f>
        <v>CR Workshop_12_06 | Temporary Staff</v>
      </c>
      <c r="L131" s="14" t="s">
        <v>566</v>
      </c>
      <c r="M131" s="14" t="s">
        <v>479</v>
      </c>
    </row>
    <row r="132" spans="1:13" x14ac:dyDescent="0.25">
      <c r="A132" t="s">
        <v>219</v>
      </c>
      <c r="B132" s="14" t="s">
        <v>568</v>
      </c>
      <c r="C132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32" t="s">
        <v>525</v>
      </c>
      <c r="E132" t="s">
        <v>341</v>
      </c>
      <c r="F132" t="s">
        <v>223</v>
      </c>
      <c r="G132" t="s">
        <v>482</v>
      </c>
      <c r="H132" t="str">
        <f>_xlfn.TEXTJOIN(" | ", TRUE, T_PROJECTS[[#This Row],[ProjectID]], T_PROJECTS[[#This Row],[ProjectName]],T_PROJECTS[[#This Row],[ProjectID Abb]])</f>
        <v>CR Workshop_12_07 | Personel Protection Equipment (PPE)</v>
      </c>
      <c r="L132" s="14" t="s">
        <v>568</v>
      </c>
      <c r="M132" s="14" t="s">
        <v>482</v>
      </c>
    </row>
    <row r="133" spans="1:13" x14ac:dyDescent="0.25">
      <c r="A133" t="s">
        <v>219</v>
      </c>
      <c r="B133" s="14" t="s">
        <v>570</v>
      </c>
      <c r="C133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33" t="s">
        <v>526</v>
      </c>
      <c r="E133" t="s">
        <v>341</v>
      </c>
      <c r="F133" t="s">
        <v>223</v>
      </c>
      <c r="G133" t="s">
        <v>328</v>
      </c>
      <c r="H133" t="str">
        <f>_xlfn.TEXTJOIN(" | ", TRUE, T_PROJECTS[[#This Row],[ProjectID]], T_PROJECTS[[#This Row],[ProjectName]],T_PROJECTS[[#This Row],[ProjectID Abb]])</f>
        <v>CR Workshop_12_08 | Other</v>
      </c>
      <c r="L133" s="14" t="s">
        <v>570</v>
      </c>
      <c r="M133" s="14" t="s">
        <v>328</v>
      </c>
    </row>
    <row r="134" spans="1:13" x14ac:dyDescent="0.25">
      <c r="A134" t="s">
        <v>219</v>
      </c>
      <c r="B134" s="14" t="s">
        <v>485</v>
      </c>
      <c r="C13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34" t="s">
        <v>528</v>
      </c>
      <c r="E134" t="s">
        <v>250</v>
      </c>
      <c r="F134" t="s">
        <v>223</v>
      </c>
      <c r="G134" t="s">
        <v>487</v>
      </c>
      <c r="H134" t="str">
        <f>_xlfn.TEXTJOIN(" | ", TRUE, T_PROJECTS[[#This Row],[ProjectID]], T_PROJECTS[[#This Row],[ProjectName]],T_PROJECTS[[#This Row],[ProjectID Abb]])</f>
        <v>EMWYard | EMW Yard - Clean up</v>
      </c>
      <c r="L134" s="14" t="s">
        <v>485</v>
      </c>
      <c r="M134" s="14" t="s">
        <v>487</v>
      </c>
    </row>
    <row r="135" spans="1:13" x14ac:dyDescent="0.25">
      <c r="A135" t="s">
        <v>219</v>
      </c>
      <c r="B135" s="14" t="s">
        <v>595</v>
      </c>
      <c r="C13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35" t="s">
        <v>531</v>
      </c>
      <c r="E135" t="s">
        <v>341</v>
      </c>
      <c r="F135" t="s">
        <v>223</v>
      </c>
      <c r="G135" t="s">
        <v>597</v>
      </c>
      <c r="H135" t="str">
        <f>_xlfn.TEXTJOIN(" | ", TRUE, T_PROJECTS[[#This Row],[ProjectID]], T_PROJECTS[[#This Row],[ProjectName]],T_PROJECTS[[#This Row],[ProjectID Abb]])</f>
        <v>ETR-1162 | Trading asset ETR-1162  CAT D8R</v>
      </c>
      <c r="L135" s="14" t="s">
        <v>595</v>
      </c>
      <c r="M135" s="14" t="s">
        <v>597</v>
      </c>
    </row>
    <row r="136" spans="1:13" x14ac:dyDescent="0.25">
      <c r="A136" t="s">
        <v>219</v>
      </c>
      <c r="B136" s="14" t="s">
        <v>598</v>
      </c>
      <c r="C13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36" t="s">
        <v>533</v>
      </c>
      <c r="E136" t="s">
        <v>530</v>
      </c>
      <c r="F136" t="s">
        <v>223</v>
      </c>
      <c r="G136" t="s">
        <v>600</v>
      </c>
      <c r="H136" t="str">
        <f>_xlfn.TEXTJOIN(" | ", TRUE, T_PROJECTS[[#This Row],[ProjectID]], T_PROJECTS[[#This Row],[ProjectName]],T_PROJECTS[[#This Row],[ProjectID Abb]])</f>
        <v>ETR-1163 | Trading asset ETR-1163 EX1200-6 raiser kit</v>
      </c>
      <c r="L136" s="14" t="s">
        <v>598</v>
      </c>
      <c r="M136" s="14" t="s">
        <v>600</v>
      </c>
    </row>
    <row r="137" spans="1:13" x14ac:dyDescent="0.25">
      <c r="A137" t="s">
        <v>219</v>
      </c>
      <c r="B137" s="14" t="s">
        <v>648</v>
      </c>
      <c r="C137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37" t="s">
        <v>535</v>
      </c>
      <c r="E137" t="s">
        <v>530</v>
      </c>
      <c r="F137" t="s">
        <v>223</v>
      </c>
      <c r="G137" t="s">
        <v>650</v>
      </c>
      <c r="H137" t="str">
        <f>_xlfn.TEXTJOIN(" | ", TRUE, T_PROJECTS[[#This Row],[ProjectID]], T_PROJECTS[[#This Row],[ProjectName]],T_PROJECTS[[#This Row],[ProjectID Abb]])</f>
        <v>ETR-1196 | Trading asset 1196 - CAT D8T</v>
      </c>
      <c r="L137" s="14" t="s">
        <v>648</v>
      </c>
      <c r="M137" s="14" t="s">
        <v>650</v>
      </c>
    </row>
    <row r="138" spans="1:13" x14ac:dyDescent="0.25">
      <c r="A138" t="s">
        <v>219</v>
      </c>
      <c r="B138" s="14" t="s">
        <v>1238</v>
      </c>
      <c r="C138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38" t="s">
        <v>537</v>
      </c>
      <c r="E138" t="s">
        <v>530</v>
      </c>
      <c r="F138" t="s">
        <v>223</v>
      </c>
      <c r="G138" t="s">
        <v>1239</v>
      </c>
      <c r="H138" t="str">
        <f>_xlfn.TEXTJOIN(" | ", TRUE, T_PROJECTS[[#This Row],[ProjectID]], T_PROJECTS[[#This Row],[ProjectName]],T_PROJECTS[[#This Row],[ProjectID Abb]])</f>
        <v>ETR-1218 | Trading asset ETR-1218 - CAT 6015B</v>
      </c>
      <c r="L138" s="14" t="s">
        <v>1238</v>
      </c>
      <c r="M138" s="14" t="s">
        <v>1239</v>
      </c>
    </row>
    <row r="139" spans="1:13" x14ac:dyDescent="0.25">
      <c r="A139" t="s">
        <v>219</v>
      </c>
      <c r="B139" s="14" t="s">
        <v>1240</v>
      </c>
      <c r="C139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39" t="s">
        <v>539</v>
      </c>
      <c r="E139" t="s">
        <v>530</v>
      </c>
      <c r="F139" t="s">
        <v>223</v>
      </c>
      <c r="G139" t="s">
        <v>1241</v>
      </c>
      <c r="H139" t="str">
        <f>_xlfn.TEXTJOIN(" | ", TRUE, T_PROJECTS[[#This Row],[ProjectID]], T_PROJECTS[[#This Row],[ProjectName]],T_PROJECTS[[#This Row],[ProjectID Abb]])</f>
        <v>ETR-1219 | Trading asset ETR-1219 - Manitou MT932</v>
      </c>
      <c r="L139" s="14" t="s">
        <v>1240</v>
      </c>
      <c r="M139" s="14" t="s">
        <v>1241</v>
      </c>
    </row>
    <row r="140" spans="1:13" x14ac:dyDescent="0.25">
      <c r="A140" t="s">
        <v>219</v>
      </c>
      <c r="B140" s="14" t="s">
        <v>506</v>
      </c>
      <c r="C140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40" t="s">
        <v>541</v>
      </c>
      <c r="E140" t="s">
        <v>530</v>
      </c>
      <c r="F140" t="s">
        <v>223</v>
      </c>
      <c r="G140" t="s">
        <v>508</v>
      </c>
      <c r="H140" t="str">
        <f>_xlfn.TEXTJOIN(" | ", TRUE, T_PROJECTS[[#This Row],[ProjectID]], T_PROJECTS[[#This Row],[ProjectName]],T_PROJECTS[[#This Row],[ProjectID Abb]])</f>
        <v>J_Workshop | J_Workshop (mechanic hrs Yard)</v>
      </c>
      <c r="L140" s="14" t="s">
        <v>506</v>
      </c>
      <c r="M140" s="14" t="s">
        <v>508</v>
      </c>
    </row>
    <row r="141" spans="1:13" x14ac:dyDescent="0.25">
      <c r="A141" t="s">
        <v>219</v>
      </c>
      <c r="B141" s="14" t="s">
        <v>503</v>
      </c>
      <c r="C141" t="str">
        <f>IF(OR(LEFT(T_PROJECTS[[#This Row],[ProjectID]],4)="J000",LEFT(T_PROJECTS[[#This Row],[ProjectID]],4)="R000"),
LEFT(T_PROJECTS[[#This Row],[ProjectID]],1)&amp;VALUE(MID(T_PROJECTS[[#This Row],[ProjectID]],2,99)),
"")</f>
        <v/>
      </c>
      <c r="D141" t="s">
        <v>543</v>
      </c>
      <c r="E141" t="s">
        <v>530</v>
      </c>
      <c r="F141" t="s">
        <v>223</v>
      </c>
      <c r="G141" t="s">
        <v>505</v>
      </c>
      <c r="H141" t="str">
        <f>_xlfn.TEXTJOIN(" | ", TRUE, T_PROJECTS[[#This Row],[ProjectID]], T_PROJECTS[[#This Row],[ProjectName]],T_PROJECTS[[#This Row],[ProjectID Abb]])</f>
        <v>J_Yard | J_Yard (operator hrs Yard)</v>
      </c>
      <c r="L141" s="14" t="s">
        <v>503</v>
      </c>
      <c r="M141" s="14" t="s">
        <v>505</v>
      </c>
    </row>
    <row r="142" spans="1:13" x14ac:dyDescent="0.25">
      <c r="A142" t="s">
        <v>219</v>
      </c>
      <c r="B142" s="14" t="s">
        <v>29</v>
      </c>
      <c r="C142" t="str">
        <f>IF(OR(LEFT(T_PROJECTS[[#This Row],[ProjectID]],4)="J000",LEFT(T_PROJECTS[[#This Row],[ProjectID]],4)="R000"),
LEFT(T_PROJECTS[[#This Row],[ProjectID]],1)&amp;VALUE(MID(T_PROJECTS[[#This Row],[ProjectID]],2,99)),
"")</f>
        <v>J19</v>
      </c>
      <c r="D142" t="s">
        <v>545</v>
      </c>
      <c r="E142" t="s">
        <v>530</v>
      </c>
      <c r="F142" t="s">
        <v>223</v>
      </c>
      <c r="G142" t="s">
        <v>30</v>
      </c>
      <c r="H142" t="str">
        <f>_xlfn.TEXTJOIN(" | ", TRUE, T_PROJECTS[[#This Row],[ProjectID]], T_PROJECTS[[#This Row],[ProjectName]],T_PROJECTS[[#This Row],[ProjectID Abb]])</f>
        <v>J00000019 | Galfar - Habshan &amp; ASAB | J19</v>
      </c>
      <c r="L142" s="14" t="s">
        <v>29</v>
      </c>
      <c r="M142" s="14" t="s">
        <v>30</v>
      </c>
    </row>
    <row r="143" spans="1:13" x14ac:dyDescent="0.25">
      <c r="A143" t="s">
        <v>219</v>
      </c>
      <c r="B143" s="14" t="s">
        <v>32</v>
      </c>
      <c r="C143" t="str">
        <f>IF(OR(LEFT(T_PROJECTS[[#This Row],[ProjectID]],4)="J000",LEFT(T_PROJECTS[[#This Row],[ProjectID]],4)="R000"),
LEFT(T_PROJECTS[[#This Row],[ProjectID]],1)&amp;VALUE(MID(T_PROJECTS[[#This Row],[ProjectID]],2,99)),
"")</f>
        <v>J44</v>
      </c>
      <c r="D143" t="s">
        <v>547</v>
      </c>
      <c r="E143" t="s">
        <v>530</v>
      </c>
      <c r="F143" t="s">
        <v>223</v>
      </c>
      <c r="H143" t="str">
        <f>_xlfn.TEXTJOIN(" | ", TRUE, T_PROJECTS[[#This Row],[ProjectID]], T_PROJECTS[[#This Row],[ProjectName]],T_PROJECTS[[#This Row],[ProjectID Abb]])</f>
        <v>J00000044 | J44</v>
      </c>
      <c r="L143" s="14" t="s">
        <v>32</v>
      </c>
    </row>
    <row r="144" spans="1:13" x14ac:dyDescent="0.25">
      <c r="A144" t="s">
        <v>219</v>
      </c>
      <c r="B144" s="14" t="s">
        <v>33</v>
      </c>
      <c r="C144" t="str">
        <f>IF(OR(LEFT(T_PROJECTS[[#This Row],[ProjectID]],4)="J000",LEFT(T_PROJECTS[[#This Row],[ProjectID]],4)="R000"),
LEFT(T_PROJECTS[[#This Row],[ProjectID]],1)&amp;VALUE(MID(T_PROJECTS[[#This Row],[ProjectID]],2,99)),
"")</f>
        <v>J46</v>
      </c>
      <c r="D144" t="s">
        <v>549</v>
      </c>
      <c r="E144" t="s">
        <v>530</v>
      </c>
      <c r="F144" t="s">
        <v>223</v>
      </c>
      <c r="G144" t="s">
        <v>34</v>
      </c>
      <c r="H144" t="str">
        <f>_xlfn.TEXTJOIN(" | ", TRUE, T_PROJECTS[[#This Row],[ProjectID]], T_PROJECTS[[#This Row],[ProjectName]],T_PROJECTS[[#This Row],[ProjectID Abb]])</f>
        <v>J00000046 | RAK Precast - Ras Al Khaimah FZ | J46</v>
      </c>
      <c r="L144" s="14" t="s">
        <v>33</v>
      </c>
      <c r="M144" s="14" t="s">
        <v>34</v>
      </c>
    </row>
    <row r="145" spans="1:13" x14ac:dyDescent="0.25">
      <c r="A145" t="s">
        <v>219</v>
      </c>
      <c r="B145" s="14" t="s">
        <v>35</v>
      </c>
      <c r="C145" t="str">
        <f>IF(OR(LEFT(T_PROJECTS[[#This Row],[ProjectID]],4)="J000",LEFT(T_PROJECTS[[#This Row],[ProjectID]],4)="R000"),
LEFT(T_PROJECTS[[#This Row],[ProjectID]],1)&amp;VALUE(MID(T_PROJECTS[[#This Row],[ProjectID]],2,99)),
"")</f>
        <v>J47</v>
      </c>
      <c r="D145" t="s">
        <v>551</v>
      </c>
      <c r="E145" t="s">
        <v>530</v>
      </c>
      <c r="F145" t="s">
        <v>223</v>
      </c>
      <c r="G145" t="s">
        <v>36</v>
      </c>
      <c r="H145" t="str">
        <f>_xlfn.TEXTJOIN(" | ", TRUE, T_PROJECTS[[#This Row],[ProjectID]], T_PROJECTS[[#This Row],[ProjectName]],T_PROJECTS[[#This Row],[ProjectID Abb]])</f>
        <v>J00000047 | AMS220 | J47</v>
      </c>
      <c r="L145" s="14" t="s">
        <v>35</v>
      </c>
      <c r="M145" s="14" t="s">
        <v>36</v>
      </c>
    </row>
    <row r="146" spans="1:13" x14ac:dyDescent="0.25">
      <c r="A146" t="s">
        <v>219</v>
      </c>
      <c r="B146" s="14" t="s">
        <v>37</v>
      </c>
      <c r="C146" t="str">
        <f>IF(OR(LEFT(T_PROJECTS[[#This Row],[ProjectID]],4)="J000",LEFT(T_PROJECTS[[#This Row],[ProjectID]],4)="R000"),
LEFT(T_PROJECTS[[#This Row],[ProjectID]],1)&amp;VALUE(MID(T_PROJECTS[[#This Row],[ProjectID]],2,99)),
"")</f>
        <v>J71</v>
      </c>
      <c r="D146" t="s">
        <v>553</v>
      </c>
      <c r="E146" t="s">
        <v>530</v>
      </c>
      <c r="F146" t="s">
        <v>223</v>
      </c>
      <c r="G146" t="s">
        <v>38</v>
      </c>
      <c r="H146" t="str">
        <f>_xlfn.TEXTJOIN(" | ", TRUE, T_PROJECTS[[#This Row],[ProjectID]], T_PROJECTS[[#This Row],[ProjectName]],T_PROJECTS[[#This Row],[ProjectID Abb]])</f>
        <v>J00000071 | Robt. Stone - Habshan | J71</v>
      </c>
      <c r="L146" s="14" t="s">
        <v>37</v>
      </c>
      <c r="M146" s="14" t="s">
        <v>38</v>
      </c>
    </row>
    <row r="147" spans="1:13" x14ac:dyDescent="0.25">
      <c r="A147" t="s">
        <v>219</v>
      </c>
      <c r="B147" s="14" t="s">
        <v>39</v>
      </c>
      <c r="C147" t="str">
        <f>IF(OR(LEFT(T_PROJECTS[[#This Row],[ProjectID]],4)="J000",LEFT(T_PROJECTS[[#This Row],[ProjectID]],4)="R000"),
LEFT(T_PROJECTS[[#This Row],[ProjectID]],1)&amp;VALUE(MID(T_PROJECTS[[#This Row],[ProjectID]],2,99)),
"")</f>
        <v>J102</v>
      </c>
      <c r="D147" t="s">
        <v>555</v>
      </c>
      <c r="E147" t="s">
        <v>530</v>
      </c>
      <c r="F147" t="s">
        <v>223</v>
      </c>
      <c r="G147" t="s">
        <v>40</v>
      </c>
      <c r="H147" t="str">
        <f>_xlfn.TEXTJOIN(" | ", TRUE, T_PROJECTS[[#This Row],[ProjectID]], T_PROJECTS[[#This Row],[ProjectName]],T_PROJECTS[[#This Row],[ProjectID Abb]])</f>
        <v>J00000102 | OFCO - Mina Free Port | J102</v>
      </c>
      <c r="L147" s="14" t="s">
        <v>39</v>
      </c>
      <c r="M147" s="14" t="s">
        <v>40</v>
      </c>
    </row>
    <row r="148" spans="1:13" x14ac:dyDescent="0.25">
      <c r="A148" t="s">
        <v>219</v>
      </c>
      <c r="B148" s="14" t="s">
        <v>41</v>
      </c>
      <c r="C148" t="str">
        <f>IF(OR(LEFT(T_PROJECTS[[#This Row],[ProjectID]],4)="J000",LEFT(T_PROJECTS[[#This Row],[ProjectID]],4)="R000"),
LEFT(T_PROJECTS[[#This Row],[ProjectID]],1)&amp;VALUE(MID(T_PROJECTS[[#This Row],[ProjectID]],2,99)),
"")</f>
        <v>J114</v>
      </c>
      <c r="D148" t="s">
        <v>557</v>
      </c>
      <c r="E148" t="s">
        <v>554</v>
      </c>
      <c r="F148" t="s">
        <v>223</v>
      </c>
      <c r="G148" t="s">
        <v>42</v>
      </c>
      <c r="H148" t="str">
        <f>_xlfn.TEXTJOIN(" | ", TRUE, T_PROJECTS[[#This Row],[ProjectID]], T_PROJECTS[[#This Row],[ProjectName]],T_PROJECTS[[#This Row],[ProjectID Abb]])</f>
        <v>J00000114 | ADNOC LS - UZ and S | J114</v>
      </c>
      <c r="L148" s="14" t="s">
        <v>41</v>
      </c>
      <c r="M148" s="14" t="s">
        <v>42</v>
      </c>
    </row>
    <row r="149" spans="1:13" x14ac:dyDescent="0.25">
      <c r="A149" t="s">
        <v>219</v>
      </c>
      <c r="B149" s="14" t="s">
        <v>43</v>
      </c>
      <c r="C149" t="str">
        <f>IF(OR(LEFT(T_PROJECTS[[#This Row],[ProjectID]],4)="J000",LEFT(T_PROJECTS[[#This Row],[ProjectID]],4)="R000"),
LEFT(T_PROJECTS[[#This Row],[ProjectID]],1)&amp;VALUE(MID(T_PROJECTS[[#This Row],[ProjectID]],2,99)),
"")</f>
        <v>J150</v>
      </c>
      <c r="D149" t="s">
        <v>559</v>
      </c>
      <c r="E149" t="s">
        <v>554</v>
      </c>
      <c r="F149" t="s">
        <v>223</v>
      </c>
      <c r="G149" t="s">
        <v>44</v>
      </c>
      <c r="H149" t="str">
        <f>_xlfn.TEXTJOIN(" | ", TRUE, T_PROJECTS[[#This Row],[ProjectID]], T_PROJECTS[[#This Row],[ProjectName]],T_PROJECTS[[#This Row],[ProjectID Abb]])</f>
        <v>J00000150 | Target Engineering - Arzanah Island | J150</v>
      </c>
      <c r="L149" s="14" t="s">
        <v>43</v>
      </c>
      <c r="M149" s="14" t="s">
        <v>44</v>
      </c>
    </row>
    <row r="150" spans="1:13" x14ac:dyDescent="0.25">
      <c r="A150" t="s">
        <v>219</v>
      </c>
      <c r="B150" s="14" t="s">
        <v>45</v>
      </c>
      <c r="C150" t="str">
        <f>IF(OR(LEFT(T_PROJECTS[[#This Row],[ProjectID]],4)="J000",LEFT(T_PROJECTS[[#This Row],[ProjectID]],4)="R000"),
LEFT(T_PROJECTS[[#This Row],[ProjectID]],1)&amp;VALUE(MID(T_PROJECTS[[#This Row],[ProjectID]],2,99)),
"")</f>
        <v>J158</v>
      </c>
      <c r="D150" t="s">
        <v>561</v>
      </c>
      <c r="E150" t="s">
        <v>554</v>
      </c>
      <c r="F150" t="s">
        <v>223</v>
      </c>
      <c r="G150" t="s">
        <v>46</v>
      </c>
      <c r="H150" t="str">
        <f>_xlfn.TEXTJOIN(" | ", TRUE, T_PROJECTS[[#This Row],[ProjectID]], T_PROJECTS[[#This Row],[ProjectName]],T_PROJECTS[[#This Row],[ProjectID Abb]])</f>
        <v>J00000158 | NMDC - SIR BANIYAS BRIDGE WORKS PROJECT | J158</v>
      </c>
      <c r="L150" s="14" t="s">
        <v>45</v>
      </c>
      <c r="M150" s="14" t="s">
        <v>46</v>
      </c>
    </row>
    <row r="151" spans="1:13" x14ac:dyDescent="0.25">
      <c r="A151" t="s">
        <v>219</v>
      </c>
      <c r="B151" s="14" t="s">
        <v>47</v>
      </c>
      <c r="C151" t="str">
        <f>IF(OR(LEFT(T_PROJECTS[[#This Row],[ProjectID]],4)="J000",LEFT(T_PROJECTS[[#This Row],[ProjectID]],4)="R000"),
LEFT(T_PROJECTS[[#This Row],[ProjectID]],1)&amp;VALUE(MID(T_PROJECTS[[#This Row],[ProjectID]],2,99)),
"")</f>
        <v>J161</v>
      </c>
      <c r="D151" t="s">
        <v>563</v>
      </c>
      <c r="E151" t="s">
        <v>554</v>
      </c>
      <c r="F151" t="s">
        <v>223</v>
      </c>
      <c r="G151" t="s">
        <v>48</v>
      </c>
      <c r="H151" t="str">
        <f>_xlfn.TEXTJOIN(" | ", TRUE, T_PROJECTS[[#This Row],[ProjectID]], T_PROJECTS[[#This Row],[ProjectName]],T_PROJECTS[[#This Row],[ProjectID Abb]])</f>
        <v>J00000161 | NMDC - Hudariyat | J161</v>
      </c>
      <c r="L151" s="14" t="s">
        <v>47</v>
      </c>
      <c r="M151" s="14" t="s">
        <v>48</v>
      </c>
    </row>
    <row r="152" spans="1:13" x14ac:dyDescent="0.25">
      <c r="A152" t="s">
        <v>219</v>
      </c>
      <c r="B152" s="14" t="s">
        <v>49</v>
      </c>
      <c r="C152" t="str">
        <f>IF(OR(LEFT(T_PROJECTS[[#This Row],[ProjectID]],4)="J000",LEFT(T_PROJECTS[[#This Row],[ProjectID]],4)="R000"),
LEFT(T_PROJECTS[[#This Row],[ProjectID]],1)&amp;VALUE(MID(T_PROJECTS[[#This Row],[ProjectID]],2,99)),
"")</f>
        <v>J174</v>
      </c>
      <c r="D152" t="s">
        <v>565</v>
      </c>
      <c r="E152" t="s">
        <v>554</v>
      </c>
      <c r="F152" t="s">
        <v>223</v>
      </c>
      <c r="G152" t="s">
        <v>50</v>
      </c>
      <c r="H152" t="str">
        <f>_xlfn.TEXTJOIN(" | ", TRUE, T_PROJECTS[[#This Row],[ProjectID]], T_PROJECTS[[#This Row],[ProjectName]],T_PROJECTS[[#This Row],[ProjectID Abb]])</f>
        <v>J00000174 | NSH - Borouge 4 | J174</v>
      </c>
      <c r="L152" s="14" t="s">
        <v>49</v>
      </c>
      <c r="M152" s="14" t="s">
        <v>50</v>
      </c>
    </row>
    <row r="153" spans="1:13" x14ac:dyDescent="0.25">
      <c r="A153" t="s">
        <v>219</v>
      </c>
      <c r="B153" s="14" t="s">
        <v>51</v>
      </c>
      <c r="C153" t="str">
        <f>IF(OR(LEFT(T_PROJECTS[[#This Row],[ProjectID]],4)="J000",LEFT(T_PROJECTS[[#This Row],[ProjectID]],4)="R000"),
LEFT(T_PROJECTS[[#This Row],[ProjectID]],1)&amp;VALUE(MID(T_PROJECTS[[#This Row],[ProjectID]],2,99)),
"")</f>
        <v>J186</v>
      </c>
      <c r="D153" t="s">
        <v>567</v>
      </c>
      <c r="E153" t="s">
        <v>554</v>
      </c>
      <c r="F153" t="s">
        <v>223</v>
      </c>
      <c r="G153" t="s">
        <v>52</v>
      </c>
      <c r="H153" t="str">
        <f>_xlfn.TEXTJOIN(" | ", TRUE, T_PROJECTS[[#This Row],[ProjectID]], T_PROJECTS[[#This Row],[ProjectName]],T_PROJECTS[[#This Row],[ProjectID Abb]])</f>
        <v>J00000186 | NPCC - Musaffah Yard 300Te | J186</v>
      </c>
      <c r="L153" s="14" t="s">
        <v>51</v>
      </c>
      <c r="M153" s="14" t="s">
        <v>52</v>
      </c>
    </row>
    <row r="154" spans="1:13" x14ac:dyDescent="0.25">
      <c r="A154" t="s">
        <v>219</v>
      </c>
      <c r="B154" s="14" t="s">
        <v>53</v>
      </c>
      <c r="C154" t="str">
        <f>IF(OR(LEFT(T_PROJECTS[[#This Row],[ProjectID]],4)="J000",LEFT(T_PROJECTS[[#This Row],[ProjectID]],4)="R000"),
LEFT(T_PROJECTS[[#This Row],[ProjectID]],1)&amp;VALUE(MID(T_PROJECTS[[#This Row],[ProjectID]],2,99)),
"")</f>
        <v>J191</v>
      </c>
      <c r="D154" t="s">
        <v>569</v>
      </c>
      <c r="E154" t="s">
        <v>554</v>
      </c>
      <c r="F154" t="s">
        <v>223</v>
      </c>
      <c r="G154" t="s">
        <v>54</v>
      </c>
      <c r="H154" t="str">
        <f>_xlfn.TEXTJOIN(" | ", TRUE, T_PROJECTS[[#This Row],[ProjectID]], T_PROJECTS[[#This Row],[ProjectName]],T_PROJECTS[[#This Row],[ProjectID Abb]])</f>
        <v>J00000191 | NMDC - Al Yasat Isl. 280Te | J191</v>
      </c>
      <c r="L154" s="14" t="s">
        <v>53</v>
      </c>
      <c r="M154" s="14" t="s">
        <v>54</v>
      </c>
    </row>
    <row r="155" spans="1:13" x14ac:dyDescent="0.25">
      <c r="A155" t="s">
        <v>219</v>
      </c>
      <c r="B155" s="14" t="s">
        <v>55</v>
      </c>
      <c r="C155" t="str">
        <f>IF(OR(LEFT(T_PROJECTS[[#This Row],[ProjectID]],4)="J000",LEFT(T_PROJECTS[[#This Row],[ProjectID]],4)="R000"),
LEFT(T_PROJECTS[[#This Row],[ProjectID]],1)&amp;VALUE(MID(T_PROJECTS[[#This Row],[ProjectID]],2,99)),
"")</f>
        <v>J195</v>
      </c>
      <c r="D155" t="s">
        <v>571</v>
      </c>
      <c r="E155" t="s">
        <v>554</v>
      </c>
      <c r="F155" t="s">
        <v>223</v>
      </c>
      <c r="G155" t="s">
        <v>56</v>
      </c>
      <c r="H155" t="str">
        <f>_xlfn.TEXTJOIN(" | ", TRUE, T_PROJECTS[[#This Row],[ProjectID]], T_PROJECTS[[#This Row],[ProjectName]],T_PROJECTS[[#This Row],[ProjectID Abb]])</f>
        <v>J00000195 | Penta Global - Zirku Island | J195</v>
      </c>
      <c r="L155" s="14" t="s">
        <v>55</v>
      </c>
      <c r="M155" s="14" t="s">
        <v>56</v>
      </c>
    </row>
    <row r="156" spans="1:13" x14ac:dyDescent="0.25">
      <c r="A156" t="s">
        <v>219</v>
      </c>
      <c r="B156" s="14" t="s">
        <v>57</v>
      </c>
      <c r="C156" t="str">
        <f>IF(OR(LEFT(T_PROJECTS[[#This Row],[ProjectID]],4)="J000",LEFT(T_PROJECTS[[#This Row],[ProjectID]],4)="R000"),
LEFT(T_PROJECTS[[#This Row],[ProjectID]],1)&amp;VALUE(MID(T_PROJECTS[[#This Row],[ProjectID]],2,99)),
"")</f>
        <v>J196</v>
      </c>
      <c r="D156" t="s">
        <v>573</v>
      </c>
      <c r="E156" t="s">
        <v>558</v>
      </c>
      <c r="F156" t="s">
        <v>223</v>
      </c>
      <c r="G156" t="s">
        <v>58</v>
      </c>
      <c r="H156" t="str">
        <f>_xlfn.TEXTJOIN(" | ", TRUE, T_PROJECTS[[#This Row],[ProjectID]], T_PROJECTS[[#This Row],[ProjectName]],T_PROJECTS[[#This Row],[ProjectID Abb]])</f>
        <v>J00000196 | Adnoc Drilling - Asseifiya Island | J196</v>
      </c>
      <c r="L156" s="14" t="s">
        <v>57</v>
      </c>
      <c r="M156" s="14" t="s">
        <v>58</v>
      </c>
    </row>
    <row r="157" spans="1:13" x14ac:dyDescent="0.25">
      <c r="A157" t="s">
        <v>219</v>
      </c>
      <c r="B157" s="14" t="s">
        <v>59</v>
      </c>
      <c r="C157" t="str">
        <f>IF(OR(LEFT(T_PROJECTS[[#This Row],[ProjectID]],4)="J000",LEFT(T_PROJECTS[[#This Row],[ProjectID]],4)="R000"),
LEFT(T_PROJECTS[[#This Row],[ProjectID]],1)&amp;VALUE(MID(T_PROJECTS[[#This Row],[ProjectID]],2,99)),
"")</f>
        <v>J197</v>
      </c>
      <c r="D157" t="s">
        <v>575</v>
      </c>
      <c r="E157" t="s">
        <v>558</v>
      </c>
      <c r="F157" t="s">
        <v>223</v>
      </c>
      <c r="G157" t="s">
        <v>60</v>
      </c>
      <c r="H157" t="str">
        <f>_xlfn.TEXTJOIN(" | ", TRUE, T_PROJECTS[[#This Row],[ProjectID]], T_PROJECTS[[#This Row],[ProjectName]],T_PROJECTS[[#This Row],[ProjectID Abb]])</f>
        <v>J00000197 | NMDC - Taweelah Ramhan Project | J197</v>
      </c>
      <c r="L157" s="14" t="s">
        <v>59</v>
      </c>
      <c r="M157" s="14" t="s">
        <v>60</v>
      </c>
    </row>
    <row r="158" spans="1:13" x14ac:dyDescent="0.25">
      <c r="A158" t="s">
        <v>219</v>
      </c>
      <c r="B158" s="14" t="s">
        <v>61</v>
      </c>
      <c r="C158" t="str">
        <f>IF(OR(LEFT(T_PROJECTS[[#This Row],[ProjectID]],4)="J000",LEFT(T_PROJECTS[[#This Row],[ProjectID]],4)="R000"),
LEFT(T_PROJECTS[[#This Row],[ProjectID]],1)&amp;VALUE(MID(T_PROJECTS[[#This Row],[ProjectID]],2,99)),
"")</f>
        <v>J201</v>
      </c>
      <c r="D158" t="s">
        <v>577</v>
      </c>
      <c r="E158" t="s">
        <v>558</v>
      </c>
      <c r="F158" t="s">
        <v>223</v>
      </c>
      <c r="G158" t="s">
        <v>62</v>
      </c>
      <c r="H158" t="str">
        <f>_xlfn.TEXTJOIN(" | ", TRUE, T_PROJECTS[[#This Row],[ProjectID]], T_PROJECTS[[#This Row],[ProjectName]],T_PROJECTS[[#This Row],[ProjectID Abb]])</f>
        <v>J00000201 | Motor Way General Transport - Mussafah onshore | J201</v>
      </c>
      <c r="L158" s="14" t="s">
        <v>61</v>
      </c>
      <c r="M158" s="14" t="s">
        <v>62</v>
      </c>
    </row>
    <row r="159" spans="1:13" x14ac:dyDescent="0.25">
      <c r="A159" t="s">
        <v>219</v>
      </c>
      <c r="B159" s="14" t="s">
        <v>63</v>
      </c>
      <c r="C159" t="str">
        <f>IF(OR(LEFT(T_PROJECTS[[#This Row],[ProjectID]],4)="J000",LEFT(T_PROJECTS[[#This Row],[ProjectID]],4)="R000"),
LEFT(T_PROJECTS[[#This Row],[ProjectID]],1)&amp;VALUE(MID(T_PROJECTS[[#This Row],[ProjectID]],2,99)),
"")</f>
        <v>J204</v>
      </c>
      <c r="D159" t="s">
        <v>579</v>
      </c>
      <c r="E159" t="s">
        <v>558</v>
      </c>
      <c r="F159" t="s">
        <v>223</v>
      </c>
      <c r="G159" t="s">
        <v>64</v>
      </c>
      <c r="H159" t="str">
        <f>_xlfn.TEXTJOIN(" | ", TRUE, T_PROJECTS[[#This Row],[ProjectID]], T_PROJECTS[[#This Row],[ProjectName]],T_PROJECTS[[#This Row],[ProjectID Abb]])</f>
        <v>J00000204 | ST JV - Guggenheim Abu Dhabi | J204</v>
      </c>
      <c r="L159" s="14" t="s">
        <v>63</v>
      </c>
      <c r="M159" s="14" t="s">
        <v>64</v>
      </c>
    </row>
    <row r="160" spans="1:13" x14ac:dyDescent="0.25">
      <c r="A160" t="s">
        <v>219</v>
      </c>
      <c r="B160" s="14" t="s">
        <v>65</v>
      </c>
      <c r="C160" t="str">
        <f>IF(OR(LEFT(T_PROJECTS[[#This Row],[ProjectID]],4)="J000",LEFT(T_PROJECTS[[#This Row],[ProjectID]],4)="R000"),
LEFT(T_PROJECTS[[#This Row],[ProjectID]],1)&amp;VALUE(MID(T_PROJECTS[[#This Row],[ProjectID]],2,99)),
"")</f>
        <v>J211</v>
      </c>
      <c r="D160" t="s">
        <v>581</v>
      </c>
      <c r="E160" t="s">
        <v>558</v>
      </c>
      <c r="F160" t="s">
        <v>223</v>
      </c>
      <c r="G160" t="s">
        <v>66</v>
      </c>
      <c r="H160" t="str">
        <f>_xlfn.TEXTJOIN(" | ", TRUE, T_PROJECTS[[#This Row],[ProjectID]], T_PROJECTS[[#This Row],[ProjectName]],T_PROJECTS[[#This Row],[ProjectID Abb]])</f>
        <v>J00000211 | Adnoc Drilling - Liwa | J211</v>
      </c>
      <c r="L160" s="14" t="s">
        <v>65</v>
      </c>
      <c r="M160" s="14" t="s">
        <v>66</v>
      </c>
    </row>
    <row r="161" spans="1:13" x14ac:dyDescent="0.25">
      <c r="A161" t="s">
        <v>219</v>
      </c>
      <c r="B161" s="14" t="s">
        <v>67</v>
      </c>
      <c r="C161" t="str">
        <f>IF(OR(LEFT(T_PROJECTS[[#This Row],[ProjectID]],4)="J000",LEFT(T_PROJECTS[[#This Row],[ProjectID]],4)="R000"),
LEFT(T_PROJECTS[[#This Row],[ProjectID]],1)&amp;VALUE(MID(T_PROJECTS[[#This Row],[ProjectID]],2,99)),
"")</f>
        <v>J213</v>
      </c>
      <c r="D161" t="s">
        <v>583</v>
      </c>
      <c r="E161" t="s">
        <v>558</v>
      </c>
      <c r="F161" t="s">
        <v>223</v>
      </c>
      <c r="G161" t="s">
        <v>68</v>
      </c>
      <c r="H161" t="str">
        <f>_xlfn.TEXTJOIN(" | ", TRUE, T_PROJECTS[[#This Row],[ProjectID]], T_PROJECTS[[#This Row],[ProjectName]],T_PROJECTS[[#This Row],[ProjectID Abb]])</f>
        <v>J00000213 | Ali &amp; Sons - ASMEF Yard | J213</v>
      </c>
      <c r="L161" s="14" t="s">
        <v>67</v>
      </c>
      <c r="M161" s="14" t="s">
        <v>68</v>
      </c>
    </row>
    <row r="162" spans="1:13" x14ac:dyDescent="0.25">
      <c r="A162" t="s">
        <v>219</v>
      </c>
      <c r="B162" s="14" t="s">
        <v>69</v>
      </c>
      <c r="C162" t="str">
        <f>IF(OR(LEFT(T_PROJECTS[[#This Row],[ProjectID]],4)="J000",LEFT(T_PROJECTS[[#This Row],[ProjectID]],4)="R000"),
LEFT(T_PROJECTS[[#This Row],[ProjectID]],1)&amp;VALUE(MID(T_PROJECTS[[#This Row],[ProjectID]],2,99)),
"")</f>
        <v>J218</v>
      </c>
      <c r="D162" t="s">
        <v>585</v>
      </c>
      <c r="E162" t="s">
        <v>558</v>
      </c>
      <c r="F162" t="s">
        <v>223</v>
      </c>
      <c r="G162" t="s">
        <v>70</v>
      </c>
      <c r="H162" t="str">
        <f>_xlfn.TEXTJOIN(" | ", TRUE, T_PROJECTS[[#This Row],[ProjectID]], T_PROJECTS[[#This Row],[ProjectName]],T_PROJECTS[[#This Row],[ProjectID Abb]])</f>
        <v>J00000218 | Denholm YSF - INEOS Project ICAD | J218</v>
      </c>
      <c r="L162" s="14" t="s">
        <v>69</v>
      </c>
      <c r="M162" s="14" t="s">
        <v>70</v>
      </c>
    </row>
    <row r="163" spans="1:13" x14ac:dyDescent="0.25">
      <c r="A163" t="s">
        <v>219</v>
      </c>
      <c r="B163" s="14" t="s">
        <v>71</v>
      </c>
      <c r="C163" t="str">
        <f>IF(OR(LEFT(T_PROJECTS[[#This Row],[ProjectID]],4)="J000",LEFT(T_PROJECTS[[#This Row],[ProjectID]],4)="R000"),
LEFT(T_PROJECTS[[#This Row],[ProjectID]],1)&amp;VALUE(MID(T_PROJECTS[[#This Row],[ProjectID]],2,99)),
"")</f>
        <v>J224</v>
      </c>
      <c r="D163" t="s">
        <v>587</v>
      </c>
      <c r="E163" t="s">
        <v>558</v>
      </c>
      <c r="F163" t="s">
        <v>223</v>
      </c>
      <c r="G163" t="s">
        <v>72</v>
      </c>
      <c r="H163" t="str">
        <f>_xlfn.TEXTJOIN(" | ", TRUE, T_PROJECTS[[#This Row],[ProjectID]], T_PROJECTS[[#This Row],[ProjectName]],T_PROJECTS[[#This Row],[ProjectID Abb]])</f>
        <v>J00000224 | NBTC - Borouge | J224</v>
      </c>
      <c r="L163" s="14" t="s">
        <v>71</v>
      </c>
      <c r="M163" s="14" t="s">
        <v>72</v>
      </c>
    </row>
    <row r="164" spans="1:13" x14ac:dyDescent="0.25">
      <c r="A164" t="s">
        <v>219</v>
      </c>
      <c r="B164" s="14" t="s">
        <v>73</v>
      </c>
      <c r="C164" t="str">
        <f>IF(OR(LEFT(T_PROJECTS[[#This Row],[ProjectID]],4)="J000",LEFT(T_PROJECTS[[#This Row],[ProjectID]],4)="R000"),
LEFT(T_PROJECTS[[#This Row],[ProjectID]],1)&amp;VALUE(MID(T_PROJECTS[[#This Row],[ProjectID]],2,99)),
"")</f>
        <v>J225</v>
      </c>
      <c r="D164" t="s">
        <v>589</v>
      </c>
      <c r="E164" t="s">
        <v>558</v>
      </c>
      <c r="F164" t="s">
        <v>223</v>
      </c>
      <c r="G164" t="s">
        <v>74</v>
      </c>
      <c r="H164" t="str">
        <f>_xlfn.TEXTJOIN(" | ", TRUE, T_PROJECTS[[#This Row],[ProjectID]], T_PROJECTS[[#This Row],[ProjectName]],T_PROJECTS[[#This Row],[ProjectID Abb]])</f>
        <v>J00000225 | Denholm Yam - Borouge Ruwais | J225</v>
      </c>
      <c r="L164" s="14" t="s">
        <v>73</v>
      </c>
      <c r="M164" s="14" t="s">
        <v>74</v>
      </c>
    </row>
    <row r="165" spans="1:13" x14ac:dyDescent="0.25">
      <c r="A165" t="s">
        <v>219</v>
      </c>
      <c r="B165" s="14" t="s">
        <v>75</v>
      </c>
      <c r="C165" t="str">
        <f>IF(OR(LEFT(T_PROJECTS[[#This Row],[ProjectID]],4)="J000",LEFT(T_PROJECTS[[#This Row],[ProjectID]],4)="R000"),
LEFT(T_PROJECTS[[#This Row],[ProjectID]],1)&amp;VALUE(MID(T_PROJECTS[[#This Row],[ProjectID]],2,99)),
"")</f>
        <v>J229</v>
      </c>
      <c r="D165" t="s">
        <v>590</v>
      </c>
      <c r="E165" t="s">
        <v>341</v>
      </c>
      <c r="F165" t="s">
        <v>223</v>
      </c>
      <c r="G165" t="s">
        <v>76</v>
      </c>
      <c r="H165" t="str">
        <f>_xlfn.TEXTJOIN(" | ", TRUE, T_PROJECTS[[#This Row],[ProjectID]], T_PROJECTS[[#This Row],[ProjectName]],T_PROJECTS[[#This Row],[ProjectID Abb]])</f>
        <v>J00000229 | AMS BU135 - Internal rental | J229</v>
      </c>
      <c r="L165" s="14" t="s">
        <v>75</v>
      </c>
      <c r="M165" s="14" t="s">
        <v>76</v>
      </c>
    </row>
    <row r="166" spans="1:13" x14ac:dyDescent="0.25">
      <c r="A166" t="s">
        <v>219</v>
      </c>
      <c r="B166" s="14" t="s">
        <v>77</v>
      </c>
      <c r="C166" t="str">
        <f>IF(OR(LEFT(T_PROJECTS[[#This Row],[ProjectID]],4)="J000",LEFT(T_PROJECTS[[#This Row],[ProjectID]],4)="R000"),
LEFT(T_PROJECTS[[#This Row],[ProjectID]],1)&amp;VALUE(MID(T_PROJECTS[[#This Row],[ProjectID]],2,99)),
"")</f>
        <v>J230</v>
      </c>
      <c r="D166" t="s">
        <v>591</v>
      </c>
      <c r="E166" t="s">
        <v>341</v>
      </c>
      <c r="F166" t="s">
        <v>223</v>
      </c>
      <c r="G166" t="s">
        <v>78</v>
      </c>
      <c r="H166" t="str">
        <f>_xlfn.TEXTJOIN(" | ", TRUE, T_PROJECTS[[#This Row],[ProjectID]], T_PROJECTS[[#This Row],[ProjectName]],T_PROJECTS[[#This Row],[ProjectID Abb]])</f>
        <v>J00000230 | Motorway - Hail &amp; Gasha | J230</v>
      </c>
      <c r="L166" s="14" t="s">
        <v>77</v>
      </c>
      <c r="M166" s="14" t="s">
        <v>78</v>
      </c>
    </row>
    <row r="167" spans="1:13" x14ac:dyDescent="0.25">
      <c r="A167" t="s">
        <v>219</v>
      </c>
      <c r="B167" s="14" t="s">
        <v>79</v>
      </c>
      <c r="C167" t="str">
        <f>IF(OR(LEFT(T_PROJECTS[[#This Row],[ProjectID]],4)="J000",LEFT(T_PROJECTS[[#This Row],[ProjectID]],4)="R000"),
LEFT(T_PROJECTS[[#This Row],[ProjectID]],1)&amp;VALUE(MID(T_PROJECTS[[#This Row],[ProjectID]],2,99)),
"")</f>
        <v>J235</v>
      </c>
      <c r="D167" t="s">
        <v>592</v>
      </c>
      <c r="E167" t="s">
        <v>341</v>
      </c>
      <c r="F167" t="s">
        <v>223</v>
      </c>
      <c r="G167" t="s">
        <v>80</v>
      </c>
      <c r="H167" t="str">
        <f>_xlfn.TEXTJOIN(" | ", TRUE, T_PROJECTS[[#This Row],[ProjectID]], T_PROJECTS[[#This Row],[ProjectName]],T_PROJECTS[[#This Row],[ProjectID Abb]])</f>
        <v>J00000235 | Alas - Precast | J235</v>
      </c>
      <c r="L167" s="14" t="s">
        <v>79</v>
      </c>
      <c r="M167" s="14" t="s">
        <v>80</v>
      </c>
    </row>
    <row r="168" spans="1:13" x14ac:dyDescent="0.25">
      <c r="A168" t="s">
        <v>219</v>
      </c>
      <c r="B168" s="14" t="s">
        <v>81</v>
      </c>
      <c r="C168" t="str">
        <f>IF(OR(LEFT(T_PROJECTS[[#This Row],[ProjectID]],4)="J000",LEFT(T_PROJECTS[[#This Row],[ProjectID]],4)="R000"),
LEFT(T_PROJECTS[[#This Row],[ProjectID]],1)&amp;VALUE(MID(T_PROJECTS[[#This Row],[ProjectID]],2,99)),
"")</f>
        <v>J237</v>
      </c>
      <c r="D168" t="s">
        <v>593</v>
      </c>
      <c r="E168" t="s">
        <v>341</v>
      </c>
      <c r="F168" t="s">
        <v>223</v>
      </c>
      <c r="G168" t="s">
        <v>82</v>
      </c>
      <c r="H168" t="str">
        <f>_xlfn.TEXTJOIN(" | ", TRUE, T_PROJECTS[[#This Row],[ProjectID]], T_PROJECTS[[#This Row],[ProjectName]],T_PROJECTS[[#This Row],[ProjectID Abb]])</f>
        <v>J00000237 | OFCO - Mugharraq Port | J237</v>
      </c>
      <c r="L168" s="14" t="s">
        <v>81</v>
      </c>
      <c r="M168" s="14" t="s">
        <v>82</v>
      </c>
    </row>
    <row r="169" spans="1:13" x14ac:dyDescent="0.25">
      <c r="A169" t="s">
        <v>219</v>
      </c>
      <c r="B169" s="14" t="s">
        <v>83</v>
      </c>
      <c r="C169" t="str">
        <f>IF(OR(LEFT(T_PROJECTS[[#This Row],[ProjectID]],4)="J000",LEFT(T_PROJECTS[[#This Row],[ProjectID]],4)="R000"),
LEFT(T_PROJECTS[[#This Row],[ProjectID]],1)&amp;VALUE(MID(T_PROJECTS[[#This Row],[ProjectID]],2,99)),
"")</f>
        <v>J241</v>
      </c>
      <c r="D169" t="s">
        <v>594</v>
      </c>
      <c r="E169" t="s">
        <v>341</v>
      </c>
      <c r="F169" t="s">
        <v>223</v>
      </c>
      <c r="G169" t="s">
        <v>84</v>
      </c>
      <c r="H169" t="str">
        <f>_xlfn.TEXTJOIN(" | ", TRUE, T_PROJECTS[[#This Row],[ProjectID]], T_PROJECTS[[#This Row],[ProjectName]],T_PROJECTS[[#This Row],[ProjectID Abb]])</f>
        <v>J00000241 | Jan De Nul Dredging - Lightning Project | J241</v>
      </c>
      <c r="L169" s="14" t="s">
        <v>83</v>
      </c>
      <c r="M169" s="14" t="s">
        <v>84</v>
      </c>
    </row>
    <row r="170" spans="1:13" x14ac:dyDescent="0.25">
      <c r="A170" t="s">
        <v>219</v>
      </c>
      <c r="B170" s="14" t="s">
        <v>85</v>
      </c>
      <c r="C170" t="str">
        <f>IF(OR(LEFT(T_PROJECTS[[#This Row],[ProjectID]],4)="J000",LEFT(T_PROJECTS[[#This Row],[ProjectID]],4)="R000"),
LEFT(T_PROJECTS[[#This Row],[ProjectID]],1)&amp;VALUE(MID(T_PROJECTS[[#This Row],[ProjectID]],2,99)),
"")</f>
        <v>J243</v>
      </c>
      <c r="D170" t="s">
        <v>596</v>
      </c>
      <c r="E170" t="s">
        <v>341</v>
      </c>
      <c r="F170" t="s">
        <v>223</v>
      </c>
      <c r="G170" t="s">
        <v>86</v>
      </c>
      <c r="H170" t="str">
        <f>_xlfn.TEXTJOIN(" | ", TRUE, T_PROJECTS[[#This Row],[ProjectID]], T_PROJECTS[[#This Row],[ProjectName]],T_PROJECTS[[#This Row],[ProjectID Abb]])</f>
        <v>J00000243 | Denholm Yam - Hail &amp; Gasha Onshore | J243</v>
      </c>
      <c r="L170" s="14" t="s">
        <v>85</v>
      </c>
      <c r="M170" s="14" t="s">
        <v>86</v>
      </c>
    </row>
    <row r="171" spans="1:13" x14ac:dyDescent="0.25">
      <c r="A171" t="s">
        <v>219</v>
      </c>
      <c r="B171" s="14" t="s">
        <v>87</v>
      </c>
      <c r="C171" t="str">
        <f>IF(OR(LEFT(T_PROJECTS[[#This Row],[ProjectID]],4)="J000",LEFT(T_PROJECTS[[#This Row],[ProjectID]],4)="R000"),
LEFT(T_PROJECTS[[#This Row],[ProjectID]],1)&amp;VALUE(MID(T_PROJECTS[[#This Row],[ProjectID]],2,99)),
"")</f>
        <v>J244</v>
      </c>
      <c r="D171" t="s">
        <v>599</v>
      </c>
      <c r="E171" t="s">
        <v>341</v>
      </c>
      <c r="F171" t="s">
        <v>223</v>
      </c>
      <c r="G171" t="s">
        <v>88</v>
      </c>
      <c r="H171" t="str">
        <f>_xlfn.TEXTJOIN(" | ", TRUE, T_PROJECTS[[#This Row],[ProjectID]], T_PROJECTS[[#This Row],[ProjectName]],T_PROJECTS[[#This Row],[ProjectID Abb]])</f>
        <v>J00000244 | Jan De Nul Dredging - Omairah Island | J244</v>
      </c>
      <c r="L171" s="14" t="s">
        <v>87</v>
      </c>
      <c r="M171" s="14" t="s">
        <v>88</v>
      </c>
    </row>
    <row r="172" spans="1:13" x14ac:dyDescent="0.25">
      <c r="A172" t="s">
        <v>219</v>
      </c>
      <c r="B172" s="14" t="s">
        <v>89</v>
      </c>
      <c r="C172" t="str">
        <f>IF(OR(LEFT(T_PROJECTS[[#This Row],[ProjectID]],4)="J000",LEFT(T_PROJECTS[[#This Row],[ProjectID]],4)="R000"),
LEFT(T_PROJECTS[[#This Row],[ProjectID]],1)&amp;VALUE(MID(T_PROJECTS[[#This Row],[ProjectID]],2,99)),
"")</f>
        <v>J246</v>
      </c>
      <c r="D172" t="s">
        <v>601</v>
      </c>
      <c r="E172" t="s">
        <v>341</v>
      </c>
      <c r="F172" t="s">
        <v>223</v>
      </c>
      <c r="G172" t="s">
        <v>90</v>
      </c>
      <c r="H172" t="str">
        <f>_xlfn.TEXTJOIN(" | ", TRUE, T_PROJECTS[[#This Row],[ProjectID]], T_PROJECTS[[#This Row],[ProjectName]],T_PROJECTS[[#This Row],[ProjectID Abb]])</f>
        <v>J00000246 | Jan De Nul Dredging - Dubai Water Front | J246</v>
      </c>
      <c r="L172" s="14" t="s">
        <v>89</v>
      </c>
      <c r="M172" s="14" t="s">
        <v>90</v>
      </c>
    </row>
    <row r="173" spans="1:13" x14ac:dyDescent="0.25">
      <c r="A173" t="s">
        <v>219</v>
      </c>
      <c r="B173" s="14" t="s">
        <v>91</v>
      </c>
      <c r="C173" t="str">
        <f>IF(OR(LEFT(T_PROJECTS[[#This Row],[ProjectID]],4)="J000",LEFT(T_PROJECTS[[#This Row],[ProjectID]],4)="R000"),
LEFT(T_PROJECTS[[#This Row],[ProjectID]],1)&amp;VALUE(MID(T_PROJECTS[[#This Row],[ProjectID]],2,99)),
"")</f>
        <v>J248</v>
      </c>
      <c r="D173" t="s">
        <v>602</v>
      </c>
      <c r="E173" t="s">
        <v>341</v>
      </c>
      <c r="F173" t="s">
        <v>223</v>
      </c>
      <c r="G173" t="s">
        <v>92</v>
      </c>
      <c r="H173" t="str">
        <f>_xlfn.TEXTJOIN(" | ", TRUE, T_PROJECTS[[#This Row],[ProjectID]], T_PROJECTS[[#This Row],[ProjectName]],T_PROJECTS[[#This Row],[ProjectID Abb]])</f>
        <v>J00000248 | NSH - Hail &amp; Gasha Onshore | J248</v>
      </c>
      <c r="L173" s="14" t="s">
        <v>91</v>
      </c>
      <c r="M173" s="14" t="s">
        <v>92</v>
      </c>
    </row>
    <row r="174" spans="1:13" x14ac:dyDescent="0.25">
      <c r="A174" t="s">
        <v>219</v>
      </c>
      <c r="B174" s="14" t="s">
        <v>93</v>
      </c>
      <c r="C174" t="str">
        <f>IF(OR(LEFT(T_PROJECTS[[#This Row],[ProjectID]],4)="J000",LEFT(T_PROJECTS[[#This Row],[ProjectID]],4)="R000"),
LEFT(T_PROJECTS[[#This Row],[ProjectID]],1)&amp;VALUE(MID(T_PROJECTS[[#This Row],[ProjectID]],2,99)),
"")</f>
        <v>J251</v>
      </c>
      <c r="D174" t="s">
        <v>603</v>
      </c>
      <c r="E174" t="s">
        <v>341</v>
      </c>
      <c r="F174" t="s">
        <v>223</v>
      </c>
      <c r="G174" t="s">
        <v>94</v>
      </c>
      <c r="H174" t="str">
        <f>_xlfn.TEXTJOIN(" | ", TRUE, T_PROJECTS[[#This Row],[ProjectID]], T_PROJECTS[[#This Row],[ProjectName]],T_PROJECTS[[#This Row],[ProjectID Abb]])</f>
        <v>J00000251 | ALAS - IMCC Yard | J251</v>
      </c>
      <c r="L174" s="14" t="s">
        <v>93</v>
      </c>
      <c r="M174" s="14" t="s">
        <v>94</v>
      </c>
    </row>
    <row r="175" spans="1:13" x14ac:dyDescent="0.25">
      <c r="A175" t="s">
        <v>219</v>
      </c>
      <c r="B175" s="14" t="s">
        <v>95</v>
      </c>
      <c r="C175" t="str">
        <f>IF(OR(LEFT(T_PROJECTS[[#This Row],[ProjectID]],4)="J000",LEFT(T_PROJECTS[[#This Row],[ProjectID]],4)="R000"),
LEFT(T_PROJECTS[[#This Row],[ProjectID]],1)&amp;VALUE(MID(T_PROJECTS[[#This Row],[ProjectID]],2,99)),
"")</f>
        <v>J252</v>
      </c>
      <c r="D175" t="s">
        <v>604</v>
      </c>
      <c r="E175" t="s">
        <v>341</v>
      </c>
      <c r="F175" t="s">
        <v>223</v>
      </c>
      <c r="G175" t="s">
        <v>96</v>
      </c>
      <c r="H175" t="str">
        <f>_xlfn.TEXTJOIN(" | ", TRUE, T_PROJECTS[[#This Row],[ProjectID]], T_PROJECTS[[#This Row],[ProjectName]],T_PROJECTS[[#This Row],[ProjectID Abb]])</f>
        <v>J00000252 | Dhafir Technologies - Zirku Island | J252</v>
      </c>
      <c r="L175" s="14" t="s">
        <v>95</v>
      </c>
      <c r="M175" s="14" t="s">
        <v>96</v>
      </c>
    </row>
    <row r="176" spans="1:13" x14ac:dyDescent="0.25">
      <c r="A176" t="s">
        <v>219</v>
      </c>
      <c r="B176" s="14" t="s">
        <v>97</v>
      </c>
      <c r="C176" t="str">
        <f>IF(OR(LEFT(T_PROJECTS[[#This Row],[ProjectID]],4)="J000",LEFT(T_PROJECTS[[#This Row],[ProjectID]],4)="R000"),
LEFT(T_PROJECTS[[#This Row],[ProjectID]],1)&amp;VALUE(MID(T_PROJECTS[[#This Row],[ProjectID]],2,99)),
"")</f>
        <v>J253</v>
      </c>
      <c r="D176" t="s">
        <v>606</v>
      </c>
      <c r="E176" t="s">
        <v>418</v>
      </c>
      <c r="F176" t="s">
        <v>223</v>
      </c>
      <c r="G176" t="s">
        <v>98</v>
      </c>
      <c r="H176" t="str">
        <f>_xlfn.TEXTJOIN(" | ", TRUE, T_PROJECTS[[#This Row],[ProjectID]], T_PROJECTS[[#This Row],[ProjectName]],T_PROJECTS[[#This Row],[ProjectID Abb]])</f>
        <v>J00000253 | TWMA - Gasha DC06 - Seebah Island | J253</v>
      </c>
      <c r="L176" s="14" t="s">
        <v>97</v>
      </c>
      <c r="M176" s="14" t="s">
        <v>98</v>
      </c>
    </row>
    <row r="177" spans="1:13" x14ac:dyDescent="0.25">
      <c r="A177" t="s">
        <v>219</v>
      </c>
      <c r="B177" s="14" t="s">
        <v>99</v>
      </c>
      <c r="C177" t="str">
        <f>IF(OR(LEFT(T_PROJECTS[[#This Row],[ProjectID]],4)="J000",LEFT(T_PROJECTS[[#This Row],[ProjectID]],4)="R000"),
LEFT(T_PROJECTS[[#This Row],[ProjectID]],1)&amp;VALUE(MID(T_PROJECTS[[#This Row],[ProjectID]],2,99)),
"")</f>
        <v>J254</v>
      </c>
      <c r="D177" t="s">
        <v>608</v>
      </c>
      <c r="E177" t="s">
        <v>341</v>
      </c>
      <c r="F177" t="s">
        <v>223</v>
      </c>
      <c r="G177" t="s">
        <v>100</v>
      </c>
      <c r="H177" t="str">
        <f>_xlfn.TEXTJOIN(" | ", TRUE, T_PROJECTS[[#This Row],[ProjectID]], T_PROJECTS[[#This Row],[ProjectName]],T_PROJECTS[[#This Row],[ProjectID Abb]])</f>
        <v>J00000254 | TWMA - Assifiya Island | J254</v>
      </c>
      <c r="L177" s="14" t="s">
        <v>99</v>
      </c>
      <c r="M177" s="14" t="s">
        <v>100</v>
      </c>
    </row>
    <row r="178" spans="1:13" x14ac:dyDescent="0.25">
      <c r="A178" t="s">
        <v>219</v>
      </c>
      <c r="B178" s="14" t="s">
        <v>101</v>
      </c>
      <c r="C178" t="str">
        <f>IF(OR(LEFT(T_PROJECTS[[#This Row],[ProjectID]],4)="J000",LEFT(T_PROJECTS[[#This Row],[ProjectID]],4)="R000"),
LEFT(T_PROJECTS[[#This Row],[ProjectID]],1)&amp;VALUE(MID(T_PROJECTS[[#This Row],[ProjectID]],2,99)),
"")</f>
        <v>J256</v>
      </c>
      <c r="D178" t="s">
        <v>609</v>
      </c>
      <c r="E178" t="s">
        <v>341</v>
      </c>
      <c r="F178" t="s">
        <v>223</v>
      </c>
      <c r="G178" t="s">
        <v>102</v>
      </c>
      <c r="H178" t="str">
        <f>_xlfn.TEXTJOIN(" | ", TRUE, T_PROJECTS[[#This Row],[ProjectID]], T_PROJECTS[[#This Row],[ProjectName]],T_PROJECTS[[#This Row],[ProjectID Abb]])</f>
        <v>J00000256 | Denholm Yam - Borouge 4 New Package | J256</v>
      </c>
      <c r="L178" s="14" t="s">
        <v>101</v>
      </c>
      <c r="M178" s="14" t="s">
        <v>102</v>
      </c>
    </row>
    <row r="179" spans="1:13" x14ac:dyDescent="0.25">
      <c r="A179" t="s">
        <v>219</v>
      </c>
      <c r="B179" s="14" t="s">
        <v>103</v>
      </c>
      <c r="C179" t="str">
        <f>IF(OR(LEFT(T_PROJECTS[[#This Row],[ProjectID]],4)="J000",LEFT(T_PROJECTS[[#This Row],[ProjectID]],4)="R000"),
LEFT(T_PROJECTS[[#This Row],[ProjectID]],1)&amp;VALUE(MID(T_PROJECTS[[#This Row],[ProjectID]],2,99)),
"")</f>
        <v>J257</v>
      </c>
      <c r="D179" t="s">
        <v>610</v>
      </c>
      <c r="E179" t="s">
        <v>341</v>
      </c>
      <c r="F179" t="s">
        <v>223</v>
      </c>
      <c r="G179" t="s">
        <v>104</v>
      </c>
      <c r="H179" t="str">
        <f>_xlfn.TEXTJOIN(" | ", TRUE, T_PROJECTS[[#This Row],[ProjectID]], T_PROJECTS[[#This Row],[ProjectName]],T_PROJECTS[[#This Row],[ProjectID Abb]])</f>
        <v>J00000257 | Turbine - Sas Al Nakhl | J257</v>
      </c>
      <c r="L179" s="14" t="s">
        <v>103</v>
      </c>
      <c r="M179" s="14" t="s">
        <v>104</v>
      </c>
    </row>
    <row r="180" spans="1:13" x14ac:dyDescent="0.25">
      <c r="A180" t="s">
        <v>219</v>
      </c>
      <c r="B180" s="14" t="s">
        <v>105</v>
      </c>
      <c r="C180" t="str">
        <f>IF(OR(LEFT(T_PROJECTS[[#This Row],[ProjectID]],4)="J000",LEFT(T_PROJECTS[[#This Row],[ProjectID]],4)="R000"),
LEFT(T_PROJECTS[[#This Row],[ProjectID]],1)&amp;VALUE(MID(T_PROJECTS[[#This Row],[ProjectID]],2,99)),
"")</f>
        <v>J258</v>
      </c>
      <c r="D180" t="s">
        <v>611</v>
      </c>
      <c r="E180" t="s">
        <v>341</v>
      </c>
      <c r="F180" t="s">
        <v>223</v>
      </c>
      <c r="G180" t="s">
        <v>106</v>
      </c>
      <c r="H180" t="str">
        <f>_xlfn.TEXTJOIN(" | ", TRUE, T_PROJECTS[[#This Row],[ProjectID]], T_PROJECTS[[#This Row],[ProjectName]],T_PROJECTS[[#This Row],[ProjectID Abb]])</f>
        <v>J00000258 | NMDC - Taziz Landing Project | J258</v>
      </c>
      <c r="L180" s="14" t="s">
        <v>105</v>
      </c>
      <c r="M180" s="14" t="s">
        <v>106</v>
      </c>
    </row>
    <row r="181" spans="1:13" x14ac:dyDescent="0.25">
      <c r="A181" t="s">
        <v>219</v>
      </c>
      <c r="B181" s="14" t="s">
        <v>107</v>
      </c>
      <c r="C181" t="str">
        <f>IF(OR(LEFT(T_PROJECTS[[#This Row],[ProjectID]],4)="J000",LEFT(T_PROJECTS[[#This Row],[ProjectID]],4)="R000"),
LEFT(T_PROJECTS[[#This Row],[ProjectID]],1)&amp;VALUE(MID(T_PROJECTS[[#This Row],[ProjectID]],2,99)),
"")</f>
        <v>J259</v>
      </c>
      <c r="D181" t="s">
        <v>612</v>
      </c>
      <c r="E181" t="s">
        <v>341</v>
      </c>
      <c r="F181" t="s">
        <v>223</v>
      </c>
      <c r="G181" t="s">
        <v>108</v>
      </c>
      <c r="H181" t="str">
        <f>_xlfn.TEXTJOIN(" | ", TRUE, T_PROJECTS[[#This Row],[ProjectID]], T_PROJECTS[[#This Row],[ProjectName]],T_PROJECTS[[#This Row],[ProjectID Abb]])</f>
        <v>J00000259 | Motor Way - Taziz | J259</v>
      </c>
      <c r="L181" s="14" t="s">
        <v>107</v>
      </c>
      <c r="M181" s="14" t="s">
        <v>108</v>
      </c>
    </row>
    <row r="182" spans="1:13" x14ac:dyDescent="0.25">
      <c r="A182" t="s">
        <v>219</v>
      </c>
      <c r="B182" s="14" t="s">
        <v>109</v>
      </c>
      <c r="C182" t="str">
        <f>IF(OR(LEFT(T_PROJECTS[[#This Row],[ProjectID]],4)="J000",LEFT(T_PROJECTS[[#This Row],[ProjectID]],4)="R000"),
LEFT(T_PROJECTS[[#This Row],[ProjectID]],1)&amp;VALUE(MID(T_PROJECTS[[#This Row],[ProjectID]],2,99)),
"")</f>
        <v>J261</v>
      </c>
      <c r="D182" t="s">
        <v>613</v>
      </c>
      <c r="E182" t="s">
        <v>341</v>
      </c>
      <c r="F182" t="s">
        <v>223</v>
      </c>
      <c r="G182" t="s">
        <v>110</v>
      </c>
      <c r="H182" t="str">
        <f>_xlfn.TEXTJOIN(" | ", TRUE, T_PROJECTS[[#This Row],[ProjectID]], T_PROJECTS[[#This Row],[ProjectName]],T_PROJECTS[[#This Row],[ProjectID Abb]])</f>
        <v>J00000261 | NMDC - Al Nawras | J261</v>
      </c>
      <c r="L182" s="14" t="s">
        <v>109</v>
      </c>
      <c r="M182" s="14" t="s">
        <v>110</v>
      </c>
    </row>
    <row r="183" spans="1:13" x14ac:dyDescent="0.25">
      <c r="A183" t="s">
        <v>219</v>
      </c>
      <c r="B183" s="14" t="s">
        <v>111</v>
      </c>
      <c r="C183" t="str">
        <f>IF(OR(LEFT(T_PROJECTS[[#This Row],[ProjectID]],4)="J000",LEFT(T_PROJECTS[[#This Row],[ProjectID]],4)="R000"),
LEFT(T_PROJECTS[[#This Row],[ProjectID]],1)&amp;VALUE(MID(T_PROJECTS[[#This Row],[ProjectID]],2,99)),
"")</f>
        <v>J262</v>
      </c>
      <c r="D183" t="s">
        <v>614</v>
      </c>
      <c r="E183" t="s">
        <v>341</v>
      </c>
      <c r="F183" t="s">
        <v>223</v>
      </c>
      <c r="G183" t="s">
        <v>112</v>
      </c>
      <c r="H183" t="str">
        <f>_xlfn.TEXTJOIN(" | ", TRUE, T_PROJECTS[[#This Row],[ProjectID]], T_PROJECTS[[#This Row],[ProjectName]],T_PROJECTS[[#This Row],[ProjectID Abb]])</f>
        <v>J00000262 | Gulf Ready Mix - Hail &amp; Gasha Onshore | J262</v>
      </c>
      <c r="L183" s="14" t="s">
        <v>111</v>
      </c>
      <c r="M183" s="14" t="s">
        <v>112</v>
      </c>
    </row>
    <row r="184" spans="1:13" x14ac:dyDescent="0.25">
      <c r="A184" t="s">
        <v>219</v>
      </c>
      <c r="B184" s="14" t="s">
        <v>113</v>
      </c>
      <c r="C184" t="str">
        <f>IF(OR(LEFT(T_PROJECTS[[#This Row],[ProjectID]],4)="J000",LEFT(T_PROJECTS[[#This Row],[ProjectID]],4)="R000"),
LEFT(T_PROJECTS[[#This Row],[ProjectID]],1)&amp;VALUE(MID(T_PROJECTS[[#This Row],[ProjectID]],2,99)),
"")</f>
        <v>J263</v>
      </c>
      <c r="D184" t="s">
        <v>615</v>
      </c>
      <c r="E184" t="s">
        <v>341</v>
      </c>
      <c r="F184" t="s">
        <v>223</v>
      </c>
      <c r="G184" t="s">
        <v>114</v>
      </c>
      <c r="H184" t="str">
        <f>_xlfn.TEXTJOIN(" | ", TRUE, T_PROJECTS[[#This Row],[ProjectID]], T_PROJECTS[[#This Row],[ProjectName]],T_PROJECTS[[#This Row],[ProjectID Abb]])</f>
        <v>J00000263 | Descon Engineering - Habshan 5 | J263</v>
      </c>
      <c r="L184" s="14" t="s">
        <v>113</v>
      </c>
      <c r="M184" s="14" t="s">
        <v>114</v>
      </c>
    </row>
    <row r="185" spans="1:13" x14ac:dyDescent="0.25">
      <c r="A185" t="s">
        <v>219</v>
      </c>
      <c r="B185" s="14" t="s">
        <v>115</v>
      </c>
      <c r="C185" t="str">
        <f>IF(OR(LEFT(T_PROJECTS[[#This Row],[ProjectID]],4)="J000",LEFT(T_PROJECTS[[#This Row],[ProjectID]],4)="R000"),
LEFT(T_PROJECTS[[#This Row],[ProjectID]],1)&amp;VALUE(MID(T_PROJECTS[[#This Row],[ProjectID]],2,99)),
"")</f>
        <v>J266</v>
      </c>
      <c r="D185" t="s">
        <v>616</v>
      </c>
      <c r="E185" t="s">
        <v>341</v>
      </c>
      <c r="F185" t="s">
        <v>223</v>
      </c>
      <c r="G185" t="s">
        <v>116</v>
      </c>
      <c r="H185" t="str">
        <f>_xlfn.TEXTJOIN(" | ", TRUE, T_PROJECTS[[#This Row],[ProjectID]], T_PROJECTS[[#This Row],[ProjectName]],T_PROJECTS[[#This Row],[ProjectID Abb]])</f>
        <v>J00000266 | Motorway - Shah Gas Expansion Project | J266</v>
      </c>
      <c r="L185" s="14" t="s">
        <v>115</v>
      </c>
      <c r="M185" s="14" t="s">
        <v>116</v>
      </c>
    </row>
    <row r="186" spans="1:13" x14ac:dyDescent="0.25">
      <c r="A186" t="s">
        <v>219</v>
      </c>
      <c r="B186" s="14" t="s">
        <v>117</v>
      </c>
      <c r="C186" t="str">
        <f>IF(OR(LEFT(T_PROJECTS[[#This Row],[ProjectID]],4)="J000",LEFT(T_PROJECTS[[#This Row],[ProjectID]],4)="R000"),
LEFT(T_PROJECTS[[#This Row],[ProjectID]],1)&amp;VALUE(MID(T_PROJECTS[[#This Row],[ProjectID]],2,99)),
"")</f>
        <v>J268</v>
      </c>
      <c r="D186" t="s">
        <v>617</v>
      </c>
      <c r="E186" t="s">
        <v>341</v>
      </c>
      <c r="F186" t="s">
        <v>223</v>
      </c>
      <c r="G186" t="s">
        <v>118</v>
      </c>
      <c r="H186" t="str">
        <f>_xlfn.TEXTJOIN(" | ", TRUE, T_PROJECTS[[#This Row],[ProjectID]], T_PROJECTS[[#This Row],[ProjectName]],T_PROJECTS[[#This Row],[ProjectID Abb]])</f>
        <v>J00000268 | NMDC LTS - LNG – Ruwais | J268</v>
      </c>
      <c r="L186" s="14" t="s">
        <v>117</v>
      </c>
      <c r="M186" s="14" t="s">
        <v>118</v>
      </c>
    </row>
    <row r="187" spans="1:13" x14ac:dyDescent="0.25">
      <c r="A187" t="s">
        <v>219</v>
      </c>
      <c r="B187" s="14" t="s">
        <v>119</v>
      </c>
      <c r="C187" t="str">
        <f>IF(OR(LEFT(T_PROJECTS[[#This Row],[ProjectID]],4)="J000",LEFT(T_PROJECTS[[#This Row],[ProjectID]],4)="R000"),
LEFT(T_PROJECTS[[#This Row],[ProjectID]],1)&amp;VALUE(MID(T_PROJECTS[[#This Row],[ProjectID]],2,99)),
"")</f>
        <v>J269</v>
      </c>
      <c r="D187" t="s">
        <v>618</v>
      </c>
      <c r="E187" t="s">
        <v>341</v>
      </c>
      <c r="F187" t="s">
        <v>223</v>
      </c>
      <c r="G187" t="s">
        <v>120</v>
      </c>
      <c r="H187" t="str">
        <f>_xlfn.TEXTJOIN(" | ", TRUE, T_PROJECTS[[#This Row],[ProjectID]], T_PROJECTS[[#This Row],[ProjectName]],T_PROJECTS[[#This Row],[ProjectID Abb]])</f>
        <v>J00000269 | NSH - Harvest Ammonia Project | J269</v>
      </c>
      <c r="L187" s="14" t="s">
        <v>119</v>
      </c>
      <c r="M187" s="14" t="s">
        <v>120</v>
      </c>
    </row>
    <row r="188" spans="1:13" x14ac:dyDescent="0.25">
      <c r="A188" t="s">
        <v>219</v>
      </c>
      <c r="B188" s="14" t="s">
        <v>121</v>
      </c>
      <c r="C188" t="str">
        <f>IF(OR(LEFT(T_PROJECTS[[#This Row],[ProjectID]],4)="J000",LEFT(T_PROJECTS[[#This Row],[ProjectID]],4)="R000"),
LEFT(T_PROJECTS[[#This Row],[ProjectID]],1)&amp;VALUE(MID(T_PROJECTS[[#This Row],[ProjectID]],2,99)),
"")</f>
        <v>J270</v>
      </c>
      <c r="D188" t="s">
        <v>619</v>
      </c>
      <c r="E188" t="s">
        <v>341</v>
      </c>
      <c r="F188" t="s">
        <v>223</v>
      </c>
      <c r="G188" t="s">
        <v>122</v>
      </c>
      <c r="H188" t="str">
        <f>_xlfn.TEXTJOIN(" | ", TRUE, T_PROJECTS[[#This Row],[ProjectID]], T_PROJECTS[[#This Row],[ProjectName]],T_PROJECTS[[#This Row],[ProjectID Abb]])</f>
        <v>J00000270 | Sarens - H&amp;G Ruwais | J270</v>
      </c>
      <c r="L188" s="14" t="s">
        <v>121</v>
      </c>
      <c r="M188" s="14" t="s">
        <v>122</v>
      </c>
    </row>
    <row r="189" spans="1:13" x14ac:dyDescent="0.25">
      <c r="A189" t="s">
        <v>219</v>
      </c>
      <c r="B189" s="14" t="s">
        <v>123</v>
      </c>
      <c r="C189" t="str">
        <f>IF(OR(LEFT(T_PROJECTS[[#This Row],[ProjectID]],4)="J000",LEFT(T_PROJECTS[[#This Row],[ProjectID]],4)="R000"),
LEFT(T_PROJECTS[[#This Row],[ProjectID]],1)&amp;VALUE(MID(T_PROJECTS[[#This Row],[ProjectID]],2,99)),
"")</f>
        <v>J271</v>
      </c>
      <c r="D189" t="s">
        <v>620</v>
      </c>
      <c r="E189" t="s">
        <v>341</v>
      </c>
      <c r="F189" t="s">
        <v>223</v>
      </c>
      <c r="G189" t="s">
        <v>124</v>
      </c>
      <c r="H189" t="str">
        <f>_xlfn.TEXTJOIN(" | ", TRUE, T_PROJECTS[[#This Row],[ProjectID]], T_PROJECTS[[#This Row],[ProjectName]],T_PROJECTS[[#This Row],[ProjectID Abb]])</f>
        <v>J00000271 | NSH - LNG Project Ruwais | J271</v>
      </c>
      <c r="L189" s="14" t="s">
        <v>123</v>
      </c>
      <c r="M189" s="14" t="s">
        <v>124</v>
      </c>
    </row>
    <row r="190" spans="1:13" x14ac:dyDescent="0.25">
      <c r="A190" t="s">
        <v>219</v>
      </c>
      <c r="B190" s="14" t="s">
        <v>125</v>
      </c>
      <c r="C190" t="str">
        <f>IF(OR(LEFT(T_PROJECTS[[#This Row],[ProjectID]],4)="J000",LEFT(T_PROJECTS[[#This Row],[ProjectID]],4)="R000"),
LEFT(T_PROJECTS[[#This Row],[ProjectID]],1)&amp;VALUE(MID(T_PROJECTS[[#This Row],[ProjectID]],2,99)),
"")</f>
        <v>J272</v>
      </c>
      <c r="D190" t="s">
        <v>621</v>
      </c>
      <c r="E190" t="s">
        <v>341</v>
      </c>
      <c r="F190" t="s">
        <v>223</v>
      </c>
      <c r="G190" t="s">
        <v>126</v>
      </c>
      <c r="H190" t="str">
        <f>_xlfn.TEXTJOIN(" | ", TRUE, T_PROJECTS[[#This Row],[ProjectID]], T_PROJECTS[[#This Row],[ProjectName]],T_PROJECTS[[#This Row],[ProjectID Abb]])</f>
        <v>J00000272 | Roll Group - Test Weights &amp; Tray Mussafah | J272</v>
      </c>
      <c r="L190" s="14" t="s">
        <v>125</v>
      </c>
      <c r="M190" s="14" t="s">
        <v>126</v>
      </c>
    </row>
    <row r="191" spans="1:13" x14ac:dyDescent="0.25">
      <c r="A191" t="s">
        <v>219</v>
      </c>
      <c r="B191" s="14" t="s">
        <v>127</v>
      </c>
      <c r="C191" t="str">
        <f>IF(OR(LEFT(T_PROJECTS[[#This Row],[ProjectID]],4)="J000",LEFT(T_PROJECTS[[#This Row],[ProjectID]],4)="R000"),
LEFT(T_PROJECTS[[#This Row],[ProjectID]],1)&amp;VALUE(MID(T_PROJECTS[[#This Row],[ProjectID]],2,99)),
"")</f>
        <v>J273</v>
      </c>
      <c r="D191" t="s">
        <v>622</v>
      </c>
      <c r="E191" t="s">
        <v>341</v>
      </c>
      <c r="F191" t="s">
        <v>223</v>
      </c>
      <c r="G191" t="s">
        <v>128</v>
      </c>
      <c r="H191" t="str">
        <f>_xlfn.TEXTJOIN(" | ", TRUE, T_PROJECTS[[#This Row],[ProjectID]], T_PROJECTS[[#This Row],[ProjectName]],T_PROJECTS[[#This Row],[ProjectID Abb]])</f>
        <v>J00000273 | Galfar - Mahani Sharjah | J273</v>
      </c>
      <c r="L191" s="14" t="s">
        <v>127</v>
      </c>
      <c r="M191" s="14" t="s">
        <v>128</v>
      </c>
    </row>
    <row r="192" spans="1:13" x14ac:dyDescent="0.25">
      <c r="A192" t="s">
        <v>219</v>
      </c>
      <c r="B192" s="14" t="s">
        <v>129</v>
      </c>
      <c r="C192" t="str">
        <f>IF(OR(LEFT(T_PROJECTS[[#This Row],[ProjectID]],4)="J000",LEFT(T_PROJECTS[[#This Row],[ProjectID]],4)="R000"),
LEFT(T_PROJECTS[[#This Row],[ProjectID]],1)&amp;VALUE(MID(T_PROJECTS[[#This Row],[ProjectID]],2,99)),
"")</f>
        <v>J274</v>
      </c>
      <c r="D192" t="s">
        <v>623</v>
      </c>
      <c r="E192" t="s">
        <v>341</v>
      </c>
      <c r="F192" t="s">
        <v>223</v>
      </c>
      <c r="G192" t="s">
        <v>130</v>
      </c>
      <c r="H192" t="str">
        <f>_xlfn.TEXTJOIN(" | ", TRUE, T_PROJECTS[[#This Row],[ProjectID]], T_PROJECTS[[#This Row],[ProjectName]],T_PROJECTS[[#This Row],[ProjectID Abb]])</f>
        <v>J00000274 | NMDC - MERAM Habshan | J274</v>
      </c>
      <c r="L192" s="14" t="s">
        <v>129</v>
      </c>
      <c r="M192" s="14" t="s">
        <v>130</v>
      </c>
    </row>
    <row r="193" spans="1:13" x14ac:dyDescent="0.25">
      <c r="A193" t="s">
        <v>219</v>
      </c>
      <c r="B193" s="14" t="s">
        <v>131</v>
      </c>
      <c r="C193" t="str">
        <f>IF(OR(LEFT(T_PROJECTS[[#This Row],[ProjectID]],4)="J000",LEFT(T_PROJECTS[[#This Row],[ProjectID]],4)="R000"),
LEFT(T_PROJECTS[[#This Row],[ProjectID]],1)&amp;VALUE(MID(T_PROJECTS[[#This Row],[ProjectID]],2,99)),
"")</f>
        <v>J275</v>
      </c>
      <c r="D193" t="s">
        <v>624</v>
      </c>
      <c r="E193" t="s">
        <v>341</v>
      </c>
      <c r="F193" t="s">
        <v>223</v>
      </c>
      <c r="G193" t="s">
        <v>132</v>
      </c>
      <c r="H193" t="str">
        <f>_xlfn.TEXTJOIN(" | ", TRUE, T_PROJECTS[[#This Row],[ProjectID]], T_PROJECTS[[#This Row],[ProjectName]],T_PROJECTS[[#This Row],[ProjectID Abb]])</f>
        <v>J00000275 | Penta Global - MEI Works Mussafah | J275</v>
      </c>
      <c r="L193" s="14" t="s">
        <v>131</v>
      </c>
      <c r="M193" s="14" t="s">
        <v>132</v>
      </c>
    </row>
    <row r="194" spans="1:13" x14ac:dyDescent="0.25">
      <c r="A194" t="s">
        <v>219</v>
      </c>
      <c r="B194" s="14" t="s">
        <v>133</v>
      </c>
      <c r="C194" t="str">
        <f>IF(OR(LEFT(T_PROJECTS[[#This Row],[ProjectID]],4)="J000",LEFT(T_PROJECTS[[#This Row],[ProjectID]],4)="R000"),
LEFT(T_PROJECTS[[#This Row],[ProjectID]],1)&amp;VALUE(MID(T_PROJECTS[[#This Row],[ProjectID]],2,99)),
"")</f>
        <v>J276</v>
      </c>
      <c r="D194" t="s">
        <v>625</v>
      </c>
      <c r="E194" t="s">
        <v>341</v>
      </c>
      <c r="F194" t="s">
        <v>223</v>
      </c>
      <c r="G194" t="s">
        <v>134</v>
      </c>
      <c r="H194" t="str">
        <f>_xlfn.TEXTJOIN(" | ", TRUE, T_PROJECTS[[#This Row],[ProjectID]], T_PROJECTS[[#This Row],[ProjectName]],T_PROJECTS[[#This Row],[ProjectID Abb]])</f>
        <v>J00000276 | JDN - Palm Jebel Ali | J276</v>
      </c>
      <c r="L194" s="14" t="s">
        <v>133</v>
      </c>
      <c r="M194" s="14" t="s">
        <v>134</v>
      </c>
    </row>
    <row r="195" spans="1:13" x14ac:dyDescent="0.25">
      <c r="A195" t="s">
        <v>219</v>
      </c>
      <c r="B195" s="14" t="s">
        <v>135</v>
      </c>
      <c r="C195" t="str">
        <f>IF(OR(LEFT(T_PROJECTS[[#This Row],[ProjectID]],4)="J000",LEFT(T_PROJECTS[[#This Row],[ProjectID]],4)="R000"),
LEFT(T_PROJECTS[[#This Row],[ProjectID]],1)&amp;VALUE(MID(T_PROJECTS[[#This Row],[ProjectID]],2,99)),
"")</f>
        <v>J277</v>
      </c>
      <c r="D195" t="s">
        <v>626</v>
      </c>
      <c r="E195" t="s">
        <v>341</v>
      </c>
      <c r="F195" t="s">
        <v>223</v>
      </c>
      <c r="G195" t="s">
        <v>136</v>
      </c>
      <c r="H195" t="str">
        <f>_xlfn.TEXTJOIN(" | ", TRUE, T_PROJECTS[[#This Row],[ProjectID]], T_PROJECTS[[#This Row],[ProjectName]],T_PROJECTS[[#This Row],[ProjectID Abb]])</f>
        <v>J00000277 | Falcor - Load Spreader Mats | J277</v>
      </c>
      <c r="L195" s="14" t="s">
        <v>135</v>
      </c>
      <c r="M195" s="14" t="s">
        <v>136</v>
      </c>
    </row>
    <row r="196" spans="1:13" x14ac:dyDescent="0.25">
      <c r="A196" t="s">
        <v>219</v>
      </c>
      <c r="B196" s="14" t="s">
        <v>137</v>
      </c>
      <c r="C196" t="str">
        <f>IF(OR(LEFT(T_PROJECTS[[#This Row],[ProjectID]],4)="J000",LEFT(T_PROJECTS[[#This Row],[ProjectID]],4)="R000"),
LEFT(T_PROJECTS[[#This Row],[ProjectID]],1)&amp;VALUE(MID(T_PROJECTS[[#This Row],[ProjectID]],2,99)),
"")</f>
        <v>J278</v>
      </c>
      <c r="D196" t="s">
        <v>627</v>
      </c>
      <c r="E196" t="s">
        <v>341</v>
      </c>
      <c r="F196" t="s">
        <v>223</v>
      </c>
      <c r="G196" t="s">
        <v>138</v>
      </c>
      <c r="H196" t="str">
        <f>_xlfn.TEXTJOIN(" | ", TRUE, T_PROJECTS[[#This Row],[ProjectID]], T_PROJECTS[[#This Row],[ProjectName]],T_PROJECTS[[#This Row],[ProjectID Abb]])</f>
        <v>J00000278 | BAGC - Hail &amp; Gasha Onshore | J278</v>
      </c>
      <c r="L196" s="14" t="s">
        <v>137</v>
      </c>
      <c r="M196" s="14" t="s">
        <v>138</v>
      </c>
    </row>
    <row r="197" spans="1:13" x14ac:dyDescent="0.25">
      <c r="A197" t="s">
        <v>219</v>
      </c>
      <c r="B197" s="14" t="s">
        <v>139</v>
      </c>
      <c r="C197" t="str">
        <f>IF(OR(LEFT(T_PROJECTS[[#This Row],[ProjectID]],4)="J000",LEFT(T_PROJECTS[[#This Row],[ProjectID]],4)="R000"),
LEFT(T_PROJECTS[[#This Row],[ProjectID]],1)&amp;VALUE(MID(T_PROJECTS[[#This Row],[ProjectID]],2,99)),
"")</f>
        <v>J279</v>
      </c>
      <c r="D197" t="s">
        <v>628</v>
      </c>
      <c r="E197" t="s">
        <v>341</v>
      </c>
      <c r="F197" t="s">
        <v>223</v>
      </c>
      <c r="G197" t="s">
        <v>140</v>
      </c>
      <c r="H197" t="str">
        <f>_xlfn.TEXTJOIN(" | ", TRUE, T_PROJECTS[[#This Row],[ProjectID]], T_PROJECTS[[#This Row],[ProjectName]],T_PROJECTS[[#This Row],[ProjectID Abb]])</f>
        <v>J00000279 | NPCC-SAIPEM jv - H&amp;G Package 1 | J279</v>
      </c>
      <c r="L197" s="14" t="s">
        <v>139</v>
      </c>
      <c r="M197" s="14" t="s">
        <v>140</v>
      </c>
    </row>
    <row r="198" spans="1:13" x14ac:dyDescent="0.25">
      <c r="A198" t="s">
        <v>219</v>
      </c>
      <c r="B198" s="14" t="s">
        <v>141</v>
      </c>
      <c r="C198" t="str">
        <f>IF(OR(LEFT(T_PROJECTS[[#This Row],[ProjectID]],4)="J000",LEFT(T_PROJECTS[[#This Row],[ProjectID]],4)="R000"),
LEFT(T_PROJECTS[[#This Row],[ProjectID]],1)&amp;VALUE(MID(T_PROJECTS[[#This Row],[ProjectID]],2,99)),
"")</f>
        <v>J280</v>
      </c>
      <c r="D198" t="s">
        <v>629</v>
      </c>
      <c r="E198" t="s">
        <v>341</v>
      </c>
      <c r="F198" t="s">
        <v>223</v>
      </c>
      <c r="G198" t="s">
        <v>142</v>
      </c>
      <c r="H198" t="str">
        <f>_xlfn.TEXTJOIN(" | ", TRUE, T_PROJECTS[[#This Row],[ProjectID]], T_PROJECTS[[#This Row],[ProjectName]],T_PROJECTS[[#This Row],[ProjectID Abb]])</f>
        <v>J00000280 | Cylingas - Habshan 5 | J280</v>
      </c>
      <c r="L198" s="14" t="s">
        <v>141</v>
      </c>
      <c r="M198" s="14" t="s">
        <v>142</v>
      </c>
    </row>
    <row r="199" spans="1:13" x14ac:dyDescent="0.25">
      <c r="A199" t="s">
        <v>219</v>
      </c>
      <c r="B199" s="14" t="s">
        <v>143</v>
      </c>
      <c r="C199" t="str">
        <f>IF(OR(LEFT(T_PROJECTS[[#This Row],[ProjectID]],4)="J000",LEFT(T_PROJECTS[[#This Row],[ProjectID]],4)="R000"),
LEFT(T_PROJECTS[[#This Row],[ProjectID]],1)&amp;VALUE(MID(T_PROJECTS[[#This Row],[ProjectID]],2,99)),
"")</f>
        <v>J281</v>
      </c>
      <c r="D199" t="s">
        <v>630</v>
      </c>
      <c r="E199" t="s">
        <v>341</v>
      </c>
      <c r="F199" t="s">
        <v>223</v>
      </c>
      <c r="G199" t="s">
        <v>144</v>
      </c>
      <c r="H199" t="str">
        <f>_xlfn.TEXTJOIN(" | ", TRUE, T_PROJECTS[[#This Row],[ProjectID]], T_PROJECTS[[#This Row],[ProjectName]],T_PROJECTS[[#This Row],[ProjectID Abb]])</f>
        <v>J00000281 | Al Jaber - H&amp;G Package 1 | J281</v>
      </c>
      <c r="L199" s="14" t="s">
        <v>143</v>
      </c>
      <c r="M199" s="14" t="s">
        <v>144</v>
      </c>
    </row>
    <row r="200" spans="1:13" x14ac:dyDescent="0.25">
      <c r="A200" t="s">
        <v>219</v>
      </c>
      <c r="B200" s="14" t="s">
        <v>145</v>
      </c>
      <c r="C200" t="str">
        <f>IF(OR(LEFT(T_PROJECTS[[#This Row],[ProjectID]],4)="J000",LEFT(T_PROJECTS[[#This Row],[ProjectID]],4)="R000"),
LEFT(T_PROJECTS[[#This Row],[ProjectID]],1)&amp;VALUE(MID(T_PROJECTS[[#This Row],[ProjectID]],2,99)),
"")</f>
        <v>J282</v>
      </c>
      <c r="D200" t="s">
        <v>631</v>
      </c>
      <c r="E200" t="s">
        <v>341</v>
      </c>
      <c r="F200" t="s">
        <v>223</v>
      </c>
      <c r="G200" t="s">
        <v>146</v>
      </c>
      <c r="H200" t="str">
        <f>_xlfn.TEXTJOIN(" | ", TRUE, T_PROJECTS[[#This Row],[ProjectID]], T_PROJECTS[[#This Row],[ProjectName]],T_PROJECTS[[#This Row],[ProjectID Abb]])</f>
        <v>J00000282 | Star Ocean - Bu Sikeen Island | J282</v>
      </c>
      <c r="L200" s="14" t="s">
        <v>145</v>
      </c>
      <c r="M200" s="14" t="s">
        <v>146</v>
      </c>
    </row>
    <row r="201" spans="1:13" x14ac:dyDescent="0.25">
      <c r="A201" t="s">
        <v>219</v>
      </c>
      <c r="B201" s="14" t="s">
        <v>147</v>
      </c>
      <c r="C201" t="str">
        <f>IF(OR(LEFT(T_PROJECTS[[#This Row],[ProjectID]],4)="J000",LEFT(T_PROJECTS[[#This Row],[ProjectID]],4)="R000"),
LEFT(T_PROJECTS[[#This Row],[ProjectID]],1)&amp;VALUE(MID(T_PROJECTS[[#This Row],[ProjectID]],2,99)),
"")</f>
        <v>J283</v>
      </c>
      <c r="D201" t="s">
        <v>633</v>
      </c>
      <c r="E201" t="s">
        <v>341</v>
      </c>
      <c r="F201" t="s">
        <v>223</v>
      </c>
      <c r="G201" t="s">
        <v>148</v>
      </c>
      <c r="H201" t="str">
        <f>_xlfn.TEXTJOIN(" | ", TRUE, T_PROJECTS[[#This Row],[ProjectID]], T_PROJECTS[[#This Row],[ProjectName]],T_PROJECTS[[#This Row],[ProjectID Abb]])</f>
        <v>J00000283 | Eagle Ultra - Jabel Ali (Hire of Test Weights) | J283</v>
      </c>
      <c r="L201" s="14" t="s">
        <v>147</v>
      </c>
      <c r="M201" s="14" t="s">
        <v>148</v>
      </c>
    </row>
    <row r="202" spans="1:13" x14ac:dyDescent="0.25">
      <c r="A202" t="s">
        <v>219</v>
      </c>
      <c r="B202" s="14" t="s">
        <v>1242</v>
      </c>
      <c r="C202" t="str">
        <f>IF(OR(LEFT(T_PROJECTS[[#This Row],[ProjectID]],4)="J000",LEFT(T_PROJECTS[[#This Row],[ProjectID]],4)="R000"),
LEFT(T_PROJECTS[[#This Row],[ProjectID]],1)&amp;VALUE(MID(T_PROJECTS[[#This Row],[ProjectID]],2,99)),
"")</f>
        <v>J284</v>
      </c>
      <c r="D202" t="s">
        <v>635</v>
      </c>
      <c r="E202" t="s">
        <v>341</v>
      </c>
      <c r="F202" t="s">
        <v>223</v>
      </c>
      <c r="G202" t="s">
        <v>1243</v>
      </c>
      <c r="H202" t="str">
        <f>_xlfn.TEXTJOIN(" | ", TRUE, T_PROJECTS[[#This Row],[ProjectID]], T_PROJECTS[[#This Row],[ProjectName]],T_PROJECTS[[#This Row],[ProjectID Abb]])</f>
        <v>J00000284 | NBTC - Hail &amp; Gasha | J284</v>
      </c>
      <c r="L202" s="14" t="s">
        <v>1242</v>
      </c>
      <c r="M202" s="14" t="s">
        <v>1243</v>
      </c>
    </row>
    <row r="203" spans="1:13" x14ac:dyDescent="0.25">
      <c r="A203" t="s">
        <v>219</v>
      </c>
      <c r="B203" s="14" t="s">
        <v>1244</v>
      </c>
      <c r="C203" t="str">
        <f>IF(OR(LEFT(T_PROJECTS[[#This Row],[ProjectID]],4)="J000",LEFT(T_PROJECTS[[#This Row],[ProjectID]],4)="R000"),
LEFT(T_PROJECTS[[#This Row],[ProjectID]],1)&amp;VALUE(MID(T_PROJECTS[[#This Row],[ProjectID]],2,99)),
"")</f>
        <v>J285</v>
      </c>
      <c r="D203" t="s">
        <v>636</v>
      </c>
      <c r="E203" t="s">
        <v>341</v>
      </c>
      <c r="F203" t="s">
        <v>223</v>
      </c>
      <c r="G203" t="s">
        <v>178</v>
      </c>
      <c r="H203" t="str">
        <f>_xlfn.TEXTJOIN(" | ", TRUE, T_PROJECTS[[#This Row],[ProjectID]], T_PROJECTS[[#This Row],[ProjectName]],T_PROJECTS[[#This Row],[ProjectID Abb]])</f>
        <v>J00000285 | Van Oord - Umm Suqeim | J285</v>
      </c>
      <c r="L203" s="14" t="s">
        <v>1244</v>
      </c>
      <c r="M203" s="14" t="s">
        <v>178</v>
      </c>
    </row>
    <row r="204" spans="1:13" x14ac:dyDescent="0.25">
      <c r="A204" t="s">
        <v>219</v>
      </c>
      <c r="B204" s="14" t="s">
        <v>1245</v>
      </c>
      <c r="C204" t="str">
        <f>IF(OR(LEFT(T_PROJECTS[[#This Row],[ProjectID]],4)="J000",LEFT(T_PROJECTS[[#This Row],[ProjectID]],4)="R000"),
LEFT(T_PROJECTS[[#This Row],[ProjectID]],1)&amp;VALUE(MID(T_PROJECTS[[#This Row],[ProjectID]],2,99)),
"")</f>
        <v>J286</v>
      </c>
      <c r="D204" t="s">
        <v>637</v>
      </c>
      <c r="E204" t="s">
        <v>341</v>
      </c>
      <c r="F204" t="s">
        <v>223</v>
      </c>
      <c r="G204" t="s">
        <v>194</v>
      </c>
      <c r="H204" t="str">
        <f>_xlfn.TEXTJOIN(" | ", TRUE, T_PROJECTS[[#This Row],[ProjectID]], T_PROJECTS[[#This Row],[ProjectName]],T_PROJECTS[[#This Row],[ProjectID Abb]])</f>
        <v>J00000286 | ITD Cementation - Ruwais LNG | J286</v>
      </c>
      <c r="L204" s="14" t="s">
        <v>1245</v>
      </c>
      <c r="M204" s="14" t="s">
        <v>194</v>
      </c>
    </row>
    <row r="205" spans="1:13" x14ac:dyDescent="0.25">
      <c r="A205" t="s">
        <v>219</v>
      </c>
      <c r="B205" s="14" t="s">
        <v>1246</v>
      </c>
      <c r="C205" t="str">
        <f>IF(OR(LEFT(T_PROJECTS[[#This Row],[ProjectID]],4)="J000",LEFT(T_PROJECTS[[#This Row],[ProjectID]],4)="R000"),
LEFT(T_PROJECTS[[#This Row],[ProjectID]],1)&amp;VALUE(MID(T_PROJECTS[[#This Row],[ProjectID]],2,99)),
"")</f>
        <v>J287</v>
      </c>
      <c r="D205" t="s">
        <v>638</v>
      </c>
      <c r="E205" t="s">
        <v>341</v>
      </c>
      <c r="F205" t="s">
        <v>223</v>
      </c>
      <c r="G205" t="s">
        <v>1247</v>
      </c>
      <c r="H205" t="str">
        <f>_xlfn.TEXTJOIN(" | ", TRUE, T_PROJECTS[[#This Row],[ProjectID]], T_PROJECTS[[#This Row],[ProjectName]],T_PROJECTS[[#This Row],[ProjectID Abb]])</f>
        <v>J00000287 | NMDC - AL Muzoun | J287</v>
      </c>
      <c r="L205" s="14" t="s">
        <v>1246</v>
      </c>
      <c r="M205" s="14" t="s">
        <v>1247</v>
      </c>
    </row>
    <row r="206" spans="1:13" x14ac:dyDescent="0.25">
      <c r="A206" t="s">
        <v>219</v>
      </c>
      <c r="B206" s="14" t="s">
        <v>1248</v>
      </c>
      <c r="C206" t="str">
        <f>IF(OR(LEFT(T_PROJECTS[[#This Row],[ProjectID]],4)="J000",LEFT(T_PROJECTS[[#This Row],[ProjectID]],4)="R000"),
LEFT(T_PROJECTS[[#This Row],[ProjectID]],1)&amp;VALUE(MID(T_PROJECTS[[#This Row],[ProjectID]],2,99)),
"")</f>
        <v>J288</v>
      </c>
      <c r="D206" t="s">
        <v>640</v>
      </c>
      <c r="E206" t="s">
        <v>341</v>
      </c>
      <c r="F206" t="s">
        <v>223</v>
      </c>
      <c r="G206" t="s">
        <v>1249</v>
      </c>
      <c r="H206" t="str">
        <f>_xlfn.TEXTJOIN(" | ", TRUE, T_PROJECTS[[#This Row],[ProjectID]], T_PROJECTS[[#This Row],[ProjectName]],T_PROJECTS[[#This Row],[ProjectID Abb]])</f>
        <v>J00000288 | Star Ocean - Al Omairah Island | J288</v>
      </c>
      <c r="L206" s="14" t="s">
        <v>1248</v>
      </c>
      <c r="M206" s="14" t="s">
        <v>1249</v>
      </c>
    </row>
    <row r="207" spans="1:13" x14ac:dyDescent="0.25">
      <c r="A207" t="s">
        <v>219</v>
      </c>
      <c r="B207" s="14" t="s">
        <v>1250</v>
      </c>
      <c r="C207" t="str">
        <f>IF(OR(LEFT(T_PROJECTS[[#This Row],[ProjectID]],4)="J000",LEFT(T_PROJECTS[[#This Row],[ProjectID]],4)="R000"),
LEFT(T_PROJECTS[[#This Row],[ProjectID]],1)&amp;VALUE(MID(T_PROJECTS[[#This Row],[ProjectID]],2,99)),
"")</f>
        <v>J289</v>
      </c>
      <c r="D207" t="s">
        <v>642</v>
      </c>
      <c r="E207" t="s">
        <v>341</v>
      </c>
      <c r="F207" t="s">
        <v>223</v>
      </c>
      <c r="G207" t="s">
        <v>1251</v>
      </c>
      <c r="H207" t="str">
        <f>_xlfn.TEXTJOIN(" | ", TRUE, T_PROJECTS[[#This Row],[ProjectID]], T_PROJECTS[[#This Row],[ProjectName]],T_PROJECTS[[#This Row],[ProjectID Abb]])</f>
        <v>J00000289 | Alas Emirates - Saadiyat Island | J289</v>
      </c>
      <c r="L207" s="14" t="s">
        <v>1250</v>
      </c>
      <c r="M207" s="14" t="s">
        <v>1251</v>
      </c>
    </row>
    <row r="208" spans="1:13" x14ac:dyDescent="0.25">
      <c r="A208" t="s">
        <v>219</v>
      </c>
      <c r="B208" s="14" t="s">
        <v>1252</v>
      </c>
      <c r="C208" t="str">
        <f>IF(OR(LEFT(T_PROJECTS[[#This Row],[ProjectID]],4)="J000",LEFT(T_PROJECTS[[#This Row],[ProjectID]],4)="R000"),
LEFT(T_PROJECTS[[#This Row],[ProjectID]],1)&amp;VALUE(MID(T_PROJECTS[[#This Row],[ProjectID]],2,99)),
"")</f>
        <v>J290</v>
      </c>
      <c r="D208" t="s">
        <v>644</v>
      </c>
      <c r="E208" t="s">
        <v>341</v>
      </c>
      <c r="F208" t="s">
        <v>223</v>
      </c>
      <c r="G208" t="s">
        <v>1253</v>
      </c>
      <c r="H208" t="str">
        <f>_xlfn.TEXTJOIN(" | ", TRUE, T_PROJECTS[[#This Row],[ProjectID]], T_PROJECTS[[#This Row],[ProjectName]],T_PROJECTS[[#This Row],[ProjectID Abb]])</f>
        <v>J00000290 | NMDC - Lulu Island | J290</v>
      </c>
      <c r="L208" s="14" t="s">
        <v>1252</v>
      </c>
      <c r="M208" s="14" t="s">
        <v>1253</v>
      </c>
    </row>
    <row r="209" spans="1:13" x14ac:dyDescent="0.25">
      <c r="A209" t="s">
        <v>219</v>
      </c>
      <c r="B209" s="14" t="s">
        <v>1254</v>
      </c>
      <c r="C209" t="str">
        <f>IF(OR(LEFT(T_PROJECTS[[#This Row],[ProjectID]],4)="J000",LEFT(T_PROJECTS[[#This Row],[ProjectID]],4)="R000"),
LEFT(T_PROJECTS[[#This Row],[ProjectID]],1)&amp;VALUE(MID(T_PROJECTS[[#This Row],[ProjectID]],2,99)),
"")</f>
        <v>J291</v>
      </c>
      <c r="D209" t="s">
        <v>646</v>
      </c>
      <c r="E209" t="s">
        <v>341</v>
      </c>
      <c r="F209" t="s">
        <v>223</v>
      </c>
      <c r="G209" t="s">
        <v>1255</v>
      </c>
      <c r="H209" t="str">
        <f>_xlfn.TEXTJOIN(" | ", TRUE, T_PROJECTS[[#This Row],[ProjectID]], T_PROJECTS[[#This Row],[ProjectName]],T_PROJECTS[[#This Row],[ProjectID Abb]])</f>
        <v>J00000291 | CCE - Zirku Island | J291</v>
      </c>
      <c r="L209" s="14" t="s">
        <v>1254</v>
      </c>
      <c r="M209" s="14" t="s">
        <v>1255</v>
      </c>
    </row>
    <row r="210" spans="1:13" x14ac:dyDescent="0.25">
      <c r="A210" t="s">
        <v>219</v>
      </c>
      <c r="B210" s="14" t="s">
        <v>1256</v>
      </c>
      <c r="C210" t="str">
        <f>IF(OR(LEFT(T_PROJECTS[[#This Row],[ProjectID]],4)="J000",LEFT(T_PROJECTS[[#This Row],[ProjectID]],4)="R000"),
LEFT(T_PROJECTS[[#This Row],[ProjectID]],1)&amp;VALUE(MID(T_PROJECTS[[#This Row],[ProjectID]],2,99)),
"")</f>
        <v>J292</v>
      </c>
      <c r="D210" t="s">
        <v>647</v>
      </c>
      <c r="E210" t="s">
        <v>341</v>
      </c>
      <c r="F210" t="s">
        <v>223</v>
      </c>
      <c r="G210" t="s">
        <v>1257</v>
      </c>
      <c r="H210" t="str">
        <f>_xlfn.TEXTJOIN(" | ", TRUE, T_PROJECTS[[#This Row],[ProjectID]], T_PROJECTS[[#This Row],[ProjectName]],T_PROJECTS[[#This Row],[ProjectID Abb]])</f>
        <v>J00000292 | NBTC - MERAM Habshan | J292</v>
      </c>
      <c r="L210" s="14" t="s">
        <v>1256</v>
      </c>
      <c r="M210" s="14" t="s">
        <v>1257</v>
      </c>
    </row>
    <row r="211" spans="1:13" x14ac:dyDescent="0.25">
      <c r="A211" t="s">
        <v>219</v>
      </c>
      <c r="B211" s="14" t="s">
        <v>1258</v>
      </c>
      <c r="C211" t="str">
        <f>IF(OR(LEFT(T_PROJECTS[[#This Row],[ProjectID]],4)="J000",LEFT(T_PROJECTS[[#This Row],[ProjectID]],4)="R000"),
LEFT(T_PROJECTS[[#This Row],[ProjectID]],1)&amp;VALUE(MID(T_PROJECTS[[#This Row],[ProjectID]],2,99)),
"")</f>
        <v>J293</v>
      </c>
      <c r="D211" t="s">
        <v>649</v>
      </c>
      <c r="E211" t="s">
        <v>341</v>
      </c>
      <c r="F211" t="s">
        <v>223</v>
      </c>
      <c r="G211" t="s">
        <v>1259</v>
      </c>
      <c r="H211" t="str">
        <f>_xlfn.TEXTJOIN(" | ", TRUE, T_PROJECTS[[#This Row],[ProjectID]], T_PROJECTS[[#This Row],[ProjectName]],T_PROJECTS[[#This Row],[ProjectID Abb]])</f>
        <v>J00000293 | Motorway - Lower Zakum, Al Omairah | J293</v>
      </c>
      <c r="L211" s="14" t="s">
        <v>1258</v>
      </c>
      <c r="M211" s="14" t="s">
        <v>1259</v>
      </c>
    </row>
    <row r="212" spans="1:13" x14ac:dyDescent="0.25">
      <c r="A212" t="s">
        <v>219</v>
      </c>
      <c r="B212" s="14" t="s">
        <v>1260</v>
      </c>
      <c r="C212" t="str">
        <f>IF(OR(LEFT(T_PROJECTS[[#This Row],[ProjectID]],4)="J000",LEFT(T_PROJECTS[[#This Row],[ProjectID]],4)="R000"),
LEFT(T_PROJECTS[[#This Row],[ProjectID]],1)&amp;VALUE(MID(T_PROJECTS[[#This Row],[ProjectID]],2,99)),
"")</f>
        <v>J294</v>
      </c>
      <c r="D212" t="s">
        <v>651</v>
      </c>
      <c r="E212" t="s">
        <v>341</v>
      </c>
      <c r="F212" t="s">
        <v>223</v>
      </c>
      <c r="G212" t="s">
        <v>1261</v>
      </c>
      <c r="H212" t="str">
        <f>_xlfn.TEXTJOIN(" | ", TRUE, T_PROJECTS[[#This Row],[ProjectID]], T_PROJECTS[[#This Row],[ProjectName]],T_PROJECTS[[#This Row],[ProjectID Abb]])</f>
        <v>J00000294 | Al Dhafra - Offshore Projects | J294</v>
      </c>
      <c r="L212" s="14" t="s">
        <v>1260</v>
      </c>
      <c r="M212" s="14" t="s">
        <v>1261</v>
      </c>
    </row>
    <row r="213" spans="1:13" x14ac:dyDescent="0.25">
      <c r="A213" t="s">
        <v>219</v>
      </c>
      <c r="B213" s="14" t="s">
        <v>1262</v>
      </c>
      <c r="C213" t="str">
        <f>IF(OR(LEFT(T_PROJECTS[[#This Row],[ProjectID]],4)="J000",LEFT(T_PROJECTS[[#This Row],[ProjectID]],4)="R000"),
LEFT(T_PROJECTS[[#This Row],[ProjectID]],1)&amp;VALUE(MID(T_PROJECTS[[#This Row],[ProjectID]],2,99)),
"")</f>
        <v>J295</v>
      </c>
      <c r="D213" t="s">
        <v>652</v>
      </c>
      <c r="E213" t="s">
        <v>341</v>
      </c>
      <c r="F213" t="s">
        <v>223</v>
      </c>
      <c r="G213" t="s">
        <v>1263</v>
      </c>
      <c r="H213" t="str">
        <f>_xlfn.TEXTJOIN(" | ", TRUE, T_PROJECTS[[#This Row],[ProjectID]], T_PROJECTS[[#This Row],[ProjectName]],T_PROJECTS[[#This Row],[ProjectID Abb]])</f>
        <v>J00000295 | Al Dhafra - Onshore Projects | J295</v>
      </c>
      <c r="L213" s="14" t="s">
        <v>1262</v>
      </c>
      <c r="M213" s="14" t="s">
        <v>1263</v>
      </c>
    </row>
    <row r="214" spans="1:13" x14ac:dyDescent="0.25">
      <c r="A214" t="s">
        <v>219</v>
      </c>
      <c r="B214" s="14" t="s">
        <v>643</v>
      </c>
      <c r="C214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14" t="s">
        <v>653</v>
      </c>
      <c r="E214" t="s">
        <v>341</v>
      </c>
      <c r="F214" t="s">
        <v>223</v>
      </c>
      <c r="G214" t="s">
        <v>645</v>
      </c>
      <c r="H214" t="str">
        <f>_xlfn.TEXTJOIN(" | ", TRUE, T_PROJECTS[[#This Row],[ProjectID]], T_PROJECTS[[#This Row],[ProjectName]],T_PROJECTS[[#This Row],[ProjectID Abb]])</f>
        <v>R_Standby | R_Standby (operators hrs Standby)</v>
      </c>
      <c r="L214" s="14" t="s">
        <v>643</v>
      </c>
      <c r="M214" s="14" t="s">
        <v>645</v>
      </c>
    </row>
    <row r="215" spans="1:13" x14ac:dyDescent="0.25">
      <c r="A215" t="s">
        <v>219</v>
      </c>
      <c r="B215" s="14" t="s">
        <v>512</v>
      </c>
      <c r="C2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15" t="s">
        <v>655</v>
      </c>
      <c r="E215" t="s">
        <v>656</v>
      </c>
      <c r="F215" t="s">
        <v>223</v>
      </c>
      <c r="G215" t="s">
        <v>514</v>
      </c>
      <c r="H215" t="str">
        <f>_xlfn.TEXTJOIN(" | ", TRUE, T_PROJECTS[[#This Row],[ProjectID]], T_PROJECTS[[#This Row],[ProjectName]],T_PROJECTS[[#This Row],[ProjectID Abb]])</f>
        <v>R_Workshop | R_Workshop (mechanic hrs Yard)</v>
      </c>
      <c r="L215" s="14" t="s">
        <v>512</v>
      </c>
      <c r="M215" s="14" t="s">
        <v>514</v>
      </c>
    </row>
    <row r="216" spans="1:13" x14ac:dyDescent="0.25">
      <c r="A216" t="s">
        <v>219</v>
      </c>
      <c r="B216" s="14" t="s">
        <v>509</v>
      </c>
      <c r="C216" t="str">
        <f>IF(OR(LEFT(T_PROJECTS[[#This Row],[ProjectID]],4)="J000",LEFT(T_PROJECTS[[#This Row],[ProjectID]],4)="R000"),
LEFT(T_PROJECTS[[#This Row],[ProjectID]],1)&amp;VALUE(MID(T_PROJECTS[[#This Row],[ProjectID]],2,99)),
"")</f>
        <v/>
      </c>
      <c r="D216" t="s">
        <v>658</v>
      </c>
      <c r="E216" t="s">
        <v>341</v>
      </c>
      <c r="F216" t="s">
        <v>223</v>
      </c>
      <c r="G216" t="s">
        <v>511</v>
      </c>
      <c r="H216" t="str">
        <f>_xlfn.TEXTJOIN(" | ", TRUE, T_PROJECTS[[#This Row],[ProjectID]], T_PROJECTS[[#This Row],[ProjectName]],T_PROJECTS[[#This Row],[ProjectID Abb]])</f>
        <v>R_Yard | R_Yard (operator hrs Yard)</v>
      </c>
      <c r="L216" s="14" t="s">
        <v>509</v>
      </c>
      <c r="M216" s="14" t="s">
        <v>511</v>
      </c>
    </row>
    <row r="217" spans="1:13" x14ac:dyDescent="0.25">
      <c r="A217" t="s">
        <v>219</v>
      </c>
      <c r="B217" s="14" t="s">
        <v>149</v>
      </c>
      <c r="C217" t="str">
        <f>IF(OR(LEFT(T_PROJECTS[[#This Row],[ProjectID]],4)="J000",LEFT(T_PROJECTS[[#This Row],[ProjectID]],4)="R000"),
LEFT(T_PROJECTS[[#This Row],[ProjectID]],1)&amp;VALUE(MID(T_PROJECTS[[#This Row],[ProjectID]],2,99)),
"")</f>
        <v>R28</v>
      </c>
      <c r="D217" t="s">
        <v>659</v>
      </c>
      <c r="E217" t="s">
        <v>341</v>
      </c>
      <c r="F217" t="s">
        <v>223</v>
      </c>
      <c r="G217" t="s">
        <v>150</v>
      </c>
      <c r="H217" t="str">
        <f>_xlfn.TEXTJOIN(" | ", TRUE, T_PROJECTS[[#This Row],[ProjectID]], T_PROJECTS[[#This Row],[ProjectName]],T_PROJECTS[[#This Row],[ProjectID Abb]])</f>
        <v>R00000028 | Target DGD | R28</v>
      </c>
      <c r="L217" s="14" t="s">
        <v>149</v>
      </c>
      <c r="M217" s="14" t="s">
        <v>150</v>
      </c>
    </row>
    <row r="218" spans="1:13" x14ac:dyDescent="0.25">
      <c r="A218" t="s">
        <v>219</v>
      </c>
      <c r="B218" s="14" t="s">
        <v>151</v>
      </c>
      <c r="C218" t="str">
        <f>IF(OR(LEFT(T_PROJECTS[[#This Row],[ProjectID]],4)="J000",LEFT(T_PROJECTS[[#This Row],[ProjectID]],4)="R000"),
LEFT(T_PROJECTS[[#This Row],[ProjectID]],1)&amp;VALUE(MID(T_PROJECTS[[#This Row],[ProjectID]],2,99)),
"")</f>
        <v>R43</v>
      </c>
      <c r="D218" t="s">
        <v>660</v>
      </c>
      <c r="E218" t="s">
        <v>341</v>
      </c>
      <c r="F218" t="s">
        <v>223</v>
      </c>
      <c r="G218" t="s">
        <v>152</v>
      </c>
      <c r="H218" t="str">
        <f>_xlfn.TEXTJOIN(" | ", TRUE, T_PROJECTS[[#This Row],[ProjectID]], T_PROJECTS[[#This Row],[ProjectName]],T_PROJECTS[[#This Row],[ProjectID Abb]])</f>
        <v>R00000043 | NMDC – NISI (Taweelah) | R43</v>
      </c>
      <c r="L218" s="14" t="s">
        <v>151</v>
      </c>
      <c r="M218" s="14" t="s">
        <v>152</v>
      </c>
    </row>
    <row r="219" spans="1:13" x14ac:dyDescent="0.25">
      <c r="A219" t="s">
        <v>219</v>
      </c>
      <c r="B219" s="14" t="s">
        <v>153</v>
      </c>
      <c r="C219" t="str">
        <f>IF(OR(LEFT(T_PROJECTS[[#This Row],[ProjectID]],4)="J000",LEFT(T_PROJECTS[[#This Row],[ProjectID]],4)="R000"),
LEFT(T_PROJECTS[[#This Row],[ProjectID]],1)&amp;VALUE(MID(T_PROJECTS[[#This Row],[ProjectID]],2,99)),
"")</f>
        <v>R66</v>
      </c>
      <c r="D219" t="s">
        <v>661</v>
      </c>
      <c r="E219" t="s">
        <v>341</v>
      </c>
      <c r="F219" t="s">
        <v>223</v>
      </c>
      <c r="G219" t="s">
        <v>154</v>
      </c>
      <c r="H219" t="str">
        <f>_xlfn.TEXTJOIN(" | ", TRUE, T_PROJECTS[[#This Row],[ProjectID]], T_PROJECTS[[#This Row],[ProjectName]],T_PROJECTS[[#This Row],[ProjectID Abb]])</f>
        <v>R00000066 | Dredging International Saudi Arabia - Oxagon T2 | R66</v>
      </c>
      <c r="L219" s="14" t="s">
        <v>153</v>
      </c>
      <c r="M219" s="14" t="s">
        <v>154</v>
      </c>
    </row>
    <row r="220" spans="1:13" x14ac:dyDescent="0.25">
      <c r="A220" t="s">
        <v>219</v>
      </c>
      <c r="B220" s="14" t="s">
        <v>155</v>
      </c>
      <c r="C220" t="str">
        <f>IF(OR(LEFT(T_PROJECTS[[#This Row],[ProjectID]],4)="J000",LEFT(T_PROJECTS[[#This Row],[ProjectID]],4)="R000"),
LEFT(T_PROJECTS[[#This Row],[ProjectID]],1)&amp;VALUE(MID(T_PROJECTS[[#This Row],[ProjectID]],2,99)),
"")</f>
        <v>R74</v>
      </c>
      <c r="D220" t="s">
        <v>662</v>
      </c>
      <c r="E220" t="s">
        <v>341</v>
      </c>
      <c r="F220" t="s">
        <v>223</v>
      </c>
      <c r="G220" t="s">
        <v>156</v>
      </c>
      <c r="H220" t="str">
        <f>_xlfn.TEXTJOIN(" | ", TRUE, T_PROJECTS[[#This Row],[ProjectID]], T_PROJECTS[[#This Row],[ProjectName]],T_PROJECTS[[#This Row],[ProjectID Abb]])</f>
        <v>R00000074 | NPCC - Saudi Aramco KSA | R74</v>
      </c>
      <c r="L220" s="14" t="s">
        <v>155</v>
      </c>
      <c r="M220" s="14" t="s">
        <v>156</v>
      </c>
    </row>
    <row r="221" spans="1:13" x14ac:dyDescent="0.25">
      <c r="A221" t="s">
        <v>219</v>
      </c>
      <c r="B221" s="14" t="s">
        <v>157</v>
      </c>
      <c r="C221" t="str">
        <f>IF(OR(LEFT(T_PROJECTS[[#This Row],[ProjectID]],4)="J000",LEFT(T_PROJECTS[[#This Row],[ProjectID]],4)="R000"),
LEFT(T_PROJECTS[[#This Row],[ProjectID]],1)&amp;VALUE(MID(T_PROJECTS[[#This Row],[ProjectID]],2,99)),
"")</f>
        <v>R78</v>
      </c>
      <c r="D221" t="s">
        <v>663</v>
      </c>
      <c r="E221" t="s">
        <v>341</v>
      </c>
      <c r="F221" t="s">
        <v>223</v>
      </c>
      <c r="G221" t="s">
        <v>158</v>
      </c>
      <c r="H221" t="str">
        <f>_xlfn.TEXTJOIN(" | ", TRUE, T_PROJECTS[[#This Row],[ProjectID]], T_PROJECTS[[#This Row],[ProjectName]],T_PROJECTS[[#This Row],[ProjectID Abb]])</f>
        <v>R00000078 | MBL - Jeddah | R78</v>
      </c>
      <c r="L221" s="14" t="s">
        <v>157</v>
      </c>
      <c r="M221" s="14" t="s">
        <v>158</v>
      </c>
    </row>
    <row r="222" spans="1:13" x14ac:dyDescent="0.25">
      <c r="A222" t="s">
        <v>219</v>
      </c>
      <c r="B222" s="14" t="s">
        <v>1264</v>
      </c>
      <c r="C222" t="str">
        <f>IF(OR(LEFT(T_PROJECTS[[#This Row],[ProjectID]],4)="J000",LEFT(T_PROJECTS[[#This Row],[ProjectID]],4)="R000"),
LEFT(T_PROJECTS[[#This Row],[ProjectID]],1)&amp;VALUE(MID(T_PROJECTS[[#This Row],[ProjectID]],2,99)),
"")</f>
        <v>R91</v>
      </c>
      <c r="D222" t="s">
        <v>664</v>
      </c>
      <c r="E222" t="s">
        <v>341</v>
      </c>
      <c r="F222" t="s">
        <v>223</v>
      </c>
      <c r="G222" t="s">
        <v>1265</v>
      </c>
      <c r="H222" t="str">
        <f>_xlfn.TEXTJOIN(" | ", TRUE, T_PROJECTS[[#This Row],[ProjectID]], T_PROJECTS[[#This Row],[ProjectName]],T_PROJECTS[[#This Row],[ProjectID Abb]])</f>
        <v>R00000091 | WEBUILD - Trojena Dam Project | R91</v>
      </c>
      <c r="L222" s="14" t="s">
        <v>1264</v>
      </c>
      <c r="M222" s="14" t="s">
        <v>1265</v>
      </c>
    </row>
    <row r="223" spans="1:13" x14ac:dyDescent="0.25">
      <c r="A223" t="s">
        <v>219</v>
      </c>
      <c r="B223" s="14" t="s">
        <v>159</v>
      </c>
      <c r="C223" t="str">
        <f>IF(OR(LEFT(T_PROJECTS[[#This Row],[ProjectID]],4)="J000",LEFT(T_PROJECTS[[#This Row],[ProjectID]],4)="R000"),
LEFT(T_PROJECTS[[#This Row],[ProjectID]],1)&amp;VALUE(MID(T_PROJECTS[[#This Row],[ProjectID]],2,99)),
"")</f>
        <v>R97</v>
      </c>
      <c r="D223" t="s">
        <v>665</v>
      </c>
      <c r="E223" t="s">
        <v>341</v>
      </c>
      <c r="F223" t="s">
        <v>223</v>
      </c>
      <c r="G223" t="s">
        <v>160</v>
      </c>
      <c r="H223" t="str">
        <f>_xlfn.TEXTJOIN(" | ", TRUE, T_PROJECTS[[#This Row],[ProjectID]], T_PROJECTS[[#This Row],[ProjectName]],T_PROJECTS[[#This Row],[ProjectID Abb]])</f>
        <v>R00000097 | NMDC - H&amp;G Island | R97</v>
      </c>
      <c r="L223" s="14" t="s">
        <v>159</v>
      </c>
      <c r="M223" s="14" t="s">
        <v>160</v>
      </c>
    </row>
    <row r="224" spans="1:13" x14ac:dyDescent="0.25">
      <c r="A224" t="s">
        <v>219</v>
      </c>
      <c r="B224" s="14" t="s">
        <v>161</v>
      </c>
      <c r="C224" t="str">
        <f>IF(OR(LEFT(T_PROJECTS[[#This Row],[ProjectID]],4)="J000",LEFT(T_PROJECTS[[#This Row],[ProjectID]],4)="R000"),
LEFT(T_PROJECTS[[#This Row],[ProjectID]],1)&amp;VALUE(MID(T_PROJECTS[[#This Row],[ProjectID]],2,99)),
"")</f>
        <v>R100</v>
      </c>
      <c r="D224" t="s">
        <v>666</v>
      </c>
      <c r="E224" t="s">
        <v>341</v>
      </c>
      <c r="F224" t="s">
        <v>223</v>
      </c>
      <c r="G224" t="s">
        <v>162</v>
      </c>
      <c r="H224" t="str">
        <f>_xlfn.TEXTJOIN(" | ", TRUE, T_PROJECTS[[#This Row],[ProjectID]], T_PROJECTS[[#This Row],[ProjectName]],T_PROJECTS[[#This Row],[ProjectID Abb]])</f>
        <v>R00000100 | COWC - Port works Barbados | R100</v>
      </c>
      <c r="L224" s="14" t="s">
        <v>161</v>
      </c>
      <c r="M224" s="14" t="s">
        <v>162</v>
      </c>
    </row>
    <row r="225" spans="1:13" x14ac:dyDescent="0.25">
      <c r="A225" t="s">
        <v>219</v>
      </c>
      <c r="B225" s="14" t="s">
        <v>163</v>
      </c>
      <c r="C225" t="str">
        <f>IF(OR(LEFT(T_PROJECTS[[#This Row],[ProjectID]],4)="J000",LEFT(T_PROJECTS[[#This Row],[ProjectID]],4)="R000"),
LEFT(T_PROJECTS[[#This Row],[ProjectID]],1)&amp;VALUE(MID(T_PROJECTS[[#This Row],[ProjectID]],2,99)),
"")</f>
        <v>R109</v>
      </c>
      <c r="D225" t="s">
        <v>667</v>
      </c>
      <c r="E225" t="s">
        <v>341</v>
      </c>
      <c r="F225" t="s">
        <v>223</v>
      </c>
      <c r="G225" t="s">
        <v>164</v>
      </c>
      <c r="H225" t="str">
        <f>_xlfn.TEXTJOIN(" | ", TRUE, T_PROJECTS[[#This Row],[ProjectID]], T_PROJECTS[[#This Row],[ProjectName]],T_PROJECTS[[#This Row],[ProjectID Abb]])</f>
        <v>R00000109 | DMC - Ras Laffan | R109</v>
      </c>
      <c r="L225" s="14" t="s">
        <v>163</v>
      </c>
      <c r="M225" s="14" t="s">
        <v>164</v>
      </c>
    </row>
    <row r="226" spans="1:13" x14ac:dyDescent="0.25">
      <c r="A226" t="s">
        <v>219</v>
      </c>
      <c r="B226" s="14" t="s">
        <v>165</v>
      </c>
      <c r="C226" t="str">
        <f>IF(OR(LEFT(T_PROJECTS[[#This Row],[ProjectID]],4)="J000",LEFT(T_PROJECTS[[#This Row],[ProjectID]],4)="R000"),
LEFT(T_PROJECTS[[#This Row],[ProjectID]],1)&amp;VALUE(MID(T_PROJECTS[[#This Row],[ProjectID]],2,99)),
"")</f>
        <v>R111</v>
      </c>
      <c r="D226" t="s">
        <v>668</v>
      </c>
      <c r="E226" t="s">
        <v>341</v>
      </c>
      <c r="F226" t="s">
        <v>223</v>
      </c>
      <c r="G226" t="s">
        <v>166</v>
      </c>
      <c r="H226" t="str">
        <f>_xlfn.TEXTJOIN(" | ", TRUE, T_PROJECTS[[#This Row],[ProjectID]], T_PROJECTS[[#This Row],[ProjectName]],T_PROJECTS[[#This Row],[ProjectID Abb]])</f>
        <v>R00000111 | NMDC - TAZIZ Logistics Project / Port Package | R111</v>
      </c>
      <c r="L226" s="14" t="s">
        <v>165</v>
      </c>
      <c r="M226" s="14" t="s">
        <v>166</v>
      </c>
    </row>
    <row r="227" spans="1:13" x14ac:dyDescent="0.25">
      <c r="A227" t="s">
        <v>219</v>
      </c>
      <c r="B227" s="14" t="s">
        <v>167</v>
      </c>
      <c r="C227" t="str">
        <f>IF(OR(LEFT(T_PROJECTS[[#This Row],[ProjectID]],4)="J000",LEFT(T_PROJECTS[[#This Row],[ProjectID]],4)="R000"),
LEFT(T_PROJECTS[[#This Row],[ProjectID]],1)&amp;VALUE(MID(T_PROJECTS[[#This Row],[ProjectID]],2,99)),
"")</f>
        <v>R112</v>
      </c>
      <c r="D227" t="s">
        <v>669</v>
      </c>
      <c r="E227" t="s">
        <v>341</v>
      </c>
      <c r="F227" t="s">
        <v>223</v>
      </c>
      <c r="G227" t="s">
        <v>168</v>
      </c>
      <c r="H227" t="str">
        <f>_xlfn.TEXTJOIN(" | ", TRUE, T_PROJECTS[[#This Row],[ProjectID]], T_PROJECTS[[#This Row],[ProjectName]],T_PROJECTS[[#This Row],[ProjectID Abb]])</f>
        <v>R00000112 | Archirodon - M1 Project - Umluj | R112</v>
      </c>
      <c r="L227" s="14" t="s">
        <v>167</v>
      </c>
      <c r="M227" s="14" t="s">
        <v>168</v>
      </c>
    </row>
    <row r="228" spans="1:13" x14ac:dyDescent="0.25">
      <c r="A228" t="s">
        <v>219</v>
      </c>
      <c r="B228" s="14" t="s">
        <v>169</v>
      </c>
      <c r="C228" t="str">
        <f>IF(OR(LEFT(T_PROJECTS[[#This Row],[ProjectID]],4)="J000",LEFT(T_PROJECTS[[#This Row],[ProjectID]],4)="R000"),
LEFT(T_PROJECTS[[#This Row],[ProjectID]],1)&amp;VALUE(MID(T_PROJECTS[[#This Row],[ProjectID]],2,99)),
"")</f>
        <v>R118</v>
      </c>
      <c r="D228" t="s">
        <v>670</v>
      </c>
      <c r="E228" t="s">
        <v>341</v>
      </c>
      <c r="F228" t="s">
        <v>223</v>
      </c>
      <c r="G228" t="s">
        <v>170</v>
      </c>
      <c r="H228" t="str">
        <f>_xlfn.TEXTJOIN(" | ", TRUE, T_PROJECTS[[#This Row],[ProjectID]], T_PROJECTS[[#This Row],[ProjectName]],T_PROJECTS[[#This Row],[ProjectID Abb]])</f>
        <v>R00000118 | Target - Wave Project | R118</v>
      </c>
      <c r="L228" s="14" t="s">
        <v>169</v>
      </c>
      <c r="M228" s="14" t="s">
        <v>170</v>
      </c>
    </row>
    <row r="229" spans="1:13" x14ac:dyDescent="0.25">
      <c r="A229" t="s">
        <v>219</v>
      </c>
      <c r="B229" s="14" t="s">
        <v>171</v>
      </c>
      <c r="C229" t="str">
        <f>IF(OR(LEFT(T_PROJECTS[[#This Row],[ProjectID]],4)="J000",LEFT(T_PROJECTS[[#This Row],[ProjectID]],4)="R000"),
LEFT(T_PROJECTS[[#This Row],[ProjectID]],1)&amp;VALUE(MID(T_PROJECTS[[#This Row],[ProjectID]],2,99)),
"")</f>
        <v>R123</v>
      </c>
      <c r="D229" t="s">
        <v>671</v>
      </c>
      <c r="E229" t="s">
        <v>341</v>
      </c>
      <c r="F229" t="s">
        <v>223</v>
      </c>
      <c r="G229" t="s">
        <v>172</v>
      </c>
      <c r="H229" t="str">
        <f>_xlfn.TEXTJOIN(" | ", TRUE, T_PROJECTS[[#This Row],[ProjectID]], T_PROJECTS[[#This Row],[ProjectName]],T_PROJECTS[[#This Row],[ProjectID Abb]])</f>
        <v>R00000123 | SAIPEM - Hail &amp; Gasha | R123</v>
      </c>
      <c r="L229" s="14" t="s">
        <v>171</v>
      </c>
      <c r="M229" s="14" t="s">
        <v>172</v>
      </c>
    </row>
    <row r="230" spans="1:13" x14ac:dyDescent="0.25">
      <c r="A230" t="s">
        <v>219</v>
      </c>
      <c r="B230" s="14" t="s">
        <v>173</v>
      </c>
      <c r="C230" t="str">
        <f>IF(OR(LEFT(T_PROJECTS[[#This Row],[ProjectID]],4)="J000",LEFT(T_PROJECTS[[#This Row],[ProjectID]],4)="R000"),
LEFT(T_PROJECTS[[#This Row],[ProjectID]],1)&amp;VALUE(MID(T_PROJECTS[[#This Row],[ProjectID]],2,99)),
"")</f>
        <v>R124</v>
      </c>
      <c r="D230" t="s">
        <v>672</v>
      </c>
      <c r="E230" t="s">
        <v>341</v>
      </c>
      <c r="F230" t="s">
        <v>223</v>
      </c>
      <c r="G230" t="s">
        <v>174</v>
      </c>
      <c r="H230" t="str">
        <f>_xlfn.TEXTJOIN(" | ", TRUE, T_PROJECTS[[#This Row],[ProjectID]], T_PROJECTS[[#This Row],[ProjectName]],T_PROJECTS[[#This Row],[ProjectID Abb]])</f>
        <v>R00000124 | Target - Al Sahil Project | R124</v>
      </c>
      <c r="L230" s="14" t="s">
        <v>173</v>
      </c>
      <c r="M230" s="14" t="s">
        <v>174</v>
      </c>
    </row>
    <row r="231" spans="1:13" x14ac:dyDescent="0.25">
      <c r="A231" t="s">
        <v>219</v>
      </c>
      <c r="B231" s="14" t="s">
        <v>175</v>
      </c>
      <c r="C231" t="str">
        <f>IF(OR(LEFT(T_PROJECTS[[#This Row],[ProjectID]],4)="J000",LEFT(T_PROJECTS[[#This Row],[ProjectID]],4)="R000"),
LEFT(T_PROJECTS[[#This Row],[ProjectID]],1)&amp;VALUE(MID(T_PROJECTS[[#This Row],[ProjectID]],2,99)),
"")</f>
        <v>R128</v>
      </c>
      <c r="D231" t="s">
        <v>673</v>
      </c>
      <c r="E231" t="s">
        <v>341</v>
      </c>
      <c r="F231" t="s">
        <v>223</v>
      </c>
      <c r="G231" t="s">
        <v>176</v>
      </c>
      <c r="H231" t="str">
        <f>_xlfn.TEXTJOIN(" | ", TRUE, T_PROJECTS[[#This Row],[ProjectID]], T_PROJECTS[[#This Row],[ProjectName]],T_PROJECTS[[#This Row],[ProjectID Abb]])</f>
        <v>R00000128 | DAEWOO - Immersed Tunnel Iraq | R128</v>
      </c>
      <c r="L231" s="14" t="s">
        <v>175</v>
      </c>
      <c r="M231" s="14" t="s">
        <v>176</v>
      </c>
    </row>
    <row r="232" spans="1:13" x14ac:dyDescent="0.25">
      <c r="A232" t="s">
        <v>219</v>
      </c>
      <c r="B232" s="14" t="s">
        <v>177</v>
      </c>
      <c r="C232" t="str">
        <f>IF(OR(LEFT(T_PROJECTS[[#This Row],[ProjectID]],4)="J000",LEFT(T_PROJECTS[[#This Row],[ProjectID]],4)="R000"),
LEFT(T_PROJECTS[[#This Row],[ProjectID]],1)&amp;VALUE(MID(T_PROJECTS[[#This Row],[ProjectID]],2,99)),
"")</f>
        <v>R135</v>
      </c>
      <c r="D232" t="s">
        <v>674</v>
      </c>
      <c r="E232" t="s">
        <v>341</v>
      </c>
      <c r="F232" t="s">
        <v>223</v>
      </c>
      <c r="G232" t="s">
        <v>178</v>
      </c>
      <c r="H232" t="str">
        <f>_xlfn.TEXTJOIN(" | ", TRUE, T_PROJECTS[[#This Row],[ProjectID]], T_PROJECTS[[#This Row],[ProjectName]],T_PROJECTS[[#This Row],[ProjectID Abb]])</f>
        <v>R00000135 | Van Oord - Umm Suqeim | R135</v>
      </c>
      <c r="L232" s="14" t="s">
        <v>177</v>
      </c>
      <c r="M232" s="14" t="s">
        <v>178</v>
      </c>
    </row>
    <row r="233" spans="1:13" x14ac:dyDescent="0.25">
      <c r="A233" t="s">
        <v>219</v>
      </c>
      <c r="B233" s="14" t="s">
        <v>179</v>
      </c>
      <c r="C233" t="str">
        <f>IF(OR(LEFT(T_PROJECTS[[#This Row],[ProjectID]],4)="J000",LEFT(T_PROJECTS[[#This Row],[ProjectID]],4)="R000"),
LEFT(T_PROJECTS[[#This Row],[ProjectID]],1)&amp;VALUE(MID(T_PROJECTS[[#This Row],[ProjectID]],2,99)),
"")</f>
        <v>R136</v>
      </c>
      <c r="D233" t="s">
        <v>676</v>
      </c>
      <c r="E233" t="s">
        <v>388</v>
      </c>
      <c r="F233" t="s">
        <v>223</v>
      </c>
      <c r="G233" t="s">
        <v>48</v>
      </c>
      <c r="H233" t="str">
        <f>_xlfn.TEXTJOIN(" | ", TRUE, T_PROJECTS[[#This Row],[ProjectID]], T_PROJECTS[[#This Row],[ProjectName]],T_PROJECTS[[#This Row],[ProjectID Abb]])</f>
        <v>R00000136 | NMDC - Hudariyat | R136</v>
      </c>
      <c r="L233" s="14" t="s">
        <v>179</v>
      </c>
      <c r="M233" s="14" t="s">
        <v>48</v>
      </c>
    </row>
    <row r="234" spans="1:13" x14ac:dyDescent="0.25">
      <c r="A234" t="s">
        <v>219</v>
      </c>
      <c r="B234" s="14" t="s">
        <v>180</v>
      </c>
      <c r="C234" t="str">
        <f>IF(OR(LEFT(T_PROJECTS[[#This Row],[ProjectID]],4)="J000",LEFT(T_PROJECTS[[#This Row],[ProjectID]],4)="R000"),
LEFT(T_PROJECTS[[#This Row],[ProjectID]],1)&amp;VALUE(MID(T_PROJECTS[[#This Row],[ProjectID]],2,99)),
"")</f>
        <v>R138</v>
      </c>
      <c r="D234" t="s">
        <v>678</v>
      </c>
      <c r="E234" t="s">
        <v>341</v>
      </c>
      <c r="F234" t="s">
        <v>223</v>
      </c>
      <c r="G234" t="s">
        <v>181</v>
      </c>
      <c r="H234" t="str">
        <f>_xlfn.TEXTJOIN(" | ", TRUE, T_PROJECTS[[#This Row],[ProjectID]], T_PROJECTS[[#This Row],[ProjectName]],T_PROJECTS[[#This Row],[ProjectID Abb]])</f>
        <v>R00000138 | Masirah - LNG Sur | R138</v>
      </c>
      <c r="L234" s="14" t="s">
        <v>180</v>
      </c>
      <c r="M234" s="14" t="s">
        <v>181</v>
      </c>
    </row>
    <row r="235" spans="1:13" x14ac:dyDescent="0.25">
      <c r="A235" t="s">
        <v>219</v>
      </c>
      <c r="B235" s="14" t="s">
        <v>182</v>
      </c>
      <c r="C235" t="str">
        <f>IF(OR(LEFT(T_PROJECTS[[#This Row],[ProjectID]],4)="J000",LEFT(T_PROJECTS[[#This Row],[ProjectID]],4)="R000"),
LEFT(T_PROJECTS[[#This Row],[ProjectID]],1)&amp;VALUE(MID(T_PROJECTS[[#This Row],[ProjectID]],2,99)),
"")</f>
        <v>R147</v>
      </c>
      <c r="D235" t="s">
        <v>679</v>
      </c>
      <c r="E235" t="s">
        <v>341</v>
      </c>
      <c r="F235" t="s">
        <v>223</v>
      </c>
      <c r="G235" t="s">
        <v>183</v>
      </c>
      <c r="H235" t="str">
        <f>_xlfn.TEXTJOIN(" | ", TRUE, T_PROJECTS[[#This Row],[ProjectID]], T_PROJECTS[[#This Row],[ProjectName]],T_PROJECTS[[#This Row],[ProjectID Abb]])</f>
        <v>R00000147 | NMDC - Ruwais LNG | R147</v>
      </c>
      <c r="L235" s="14" t="s">
        <v>182</v>
      </c>
      <c r="M235" s="14" t="s">
        <v>183</v>
      </c>
    </row>
    <row r="236" spans="1:13" x14ac:dyDescent="0.25">
      <c r="A236" t="s">
        <v>219</v>
      </c>
      <c r="B236" s="14" t="s">
        <v>184</v>
      </c>
      <c r="C236" t="str">
        <f>IF(OR(LEFT(T_PROJECTS[[#This Row],[ProjectID]],4)="J000",LEFT(T_PROJECTS[[#This Row],[ProjectID]],4)="R000"),
LEFT(T_PROJECTS[[#This Row],[ProjectID]],1)&amp;VALUE(MID(T_PROJECTS[[#This Row],[ProjectID]],2,99)),
"")</f>
        <v>R148</v>
      </c>
      <c r="D236" t="s">
        <v>680</v>
      </c>
      <c r="E236" t="s">
        <v>341</v>
      </c>
      <c r="F236" t="s">
        <v>223</v>
      </c>
      <c r="G236" t="s">
        <v>185</v>
      </c>
      <c r="H236" t="str">
        <f>_xlfn.TEXTJOIN(" | ", TRUE, T_PROJECTS[[#This Row],[ProjectID]], T_PROJECTS[[#This Row],[ProjectName]],T_PROJECTS[[#This Row],[ProjectID Abb]])</f>
        <v>R00000148 | NMDC - Zirku Project | R148</v>
      </c>
      <c r="L236" s="14" t="s">
        <v>184</v>
      </c>
      <c r="M236" s="14" t="s">
        <v>185</v>
      </c>
    </row>
    <row r="237" spans="1:13" x14ac:dyDescent="0.25">
      <c r="A237" t="s">
        <v>219</v>
      </c>
      <c r="B237" s="14" t="s">
        <v>186</v>
      </c>
      <c r="C237" t="str">
        <f>IF(OR(LEFT(T_PROJECTS[[#This Row],[ProjectID]],4)="J000",LEFT(T_PROJECTS[[#This Row],[ProjectID]],4)="R000"),
LEFT(T_PROJECTS[[#This Row],[ProjectID]],1)&amp;VALUE(MID(T_PROJECTS[[#This Row],[ProjectID]],2,99)),
"")</f>
        <v>R150</v>
      </c>
      <c r="D237" t="s">
        <v>681</v>
      </c>
      <c r="E237" t="s">
        <v>341</v>
      </c>
      <c r="F237" t="s">
        <v>223</v>
      </c>
      <c r="G237" t="s">
        <v>187</v>
      </c>
      <c r="H237" t="str">
        <f>_xlfn.TEXTJOIN(" | ", TRUE, T_PROJECTS[[#This Row],[ProjectID]], T_PROJECTS[[#This Row],[ProjectName]],T_PROJECTS[[#This Row],[ProjectID Abb]])</f>
        <v>R00000150 | Van Oord - Pipavav, India | R150</v>
      </c>
      <c r="L237" s="14" t="s">
        <v>186</v>
      </c>
      <c r="M237" s="14" t="s">
        <v>187</v>
      </c>
    </row>
    <row r="238" spans="1:13" x14ac:dyDescent="0.25">
      <c r="A238" t="s">
        <v>219</v>
      </c>
      <c r="B238" s="14" t="s">
        <v>188</v>
      </c>
      <c r="C238" t="str">
        <f>IF(OR(LEFT(T_PROJECTS[[#This Row],[ProjectID]],4)="J000",LEFT(T_PROJECTS[[#This Row],[ProjectID]],4)="R000"),
LEFT(T_PROJECTS[[#This Row],[ProjectID]],1)&amp;VALUE(MID(T_PROJECTS[[#This Row],[ProjectID]],2,99)),
"")</f>
        <v>R151</v>
      </c>
      <c r="D238" t="s">
        <v>682</v>
      </c>
      <c r="E238" t="s">
        <v>341</v>
      </c>
      <c r="F238" t="s">
        <v>223</v>
      </c>
      <c r="G238" t="s">
        <v>140</v>
      </c>
      <c r="H238" t="str">
        <f>_xlfn.TEXTJOIN(" | ", TRUE, T_PROJECTS[[#This Row],[ProjectID]], T_PROJECTS[[#This Row],[ProjectName]],T_PROJECTS[[#This Row],[ProjectID Abb]])</f>
        <v>R00000151 | NPCC-SAIPEM jv - H&amp;G Package 1 | R151</v>
      </c>
      <c r="L238" s="14" t="s">
        <v>188</v>
      </c>
      <c r="M238" s="14" t="s">
        <v>140</v>
      </c>
    </row>
    <row r="239" spans="1:13" x14ac:dyDescent="0.25">
      <c r="A239" t="s">
        <v>219</v>
      </c>
      <c r="B239" s="14" t="s">
        <v>189</v>
      </c>
      <c r="C239" t="str">
        <f>IF(OR(LEFT(T_PROJECTS[[#This Row],[ProjectID]],4)="J000",LEFT(T_PROJECTS[[#This Row],[ProjectID]],4)="R000"),
LEFT(T_PROJECTS[[#This Row],[ProjectID]],1)&amp;VALUE(MID(T_PROJECTS[[#This Row],[ProjectID]],2,99)),
"")</f>
        <v>R154</v>
      </c>
      <c r="D239" t="s">
        <v>683</v>
      </c>
      <c r="E239" t="s">
        <v>341</v>
      </c>
      <c r="F239" t="s">
        <v>223</v>
      </c>
      <c r="G239" t="s">
        <v>190</v>
      </c>
      <c r="H239" t="str">
        <f>_xlfn.TEXTJOIN(" | ", TRUE, T_PROJECTS[[#This Row],[ProjectID]], T_PROJECTS[[#This Row],[ProjectName]],T_PROJECTS[[#This Row],[ProjectID Abb]])</f>
        <v>R00000154 | PLC - Umm Suqeim | R154</v>
      </c>
      <c r="L239" s="14" t="s">
        <v>189</v>
      </c>
      <c r="M239" s="14" t="s">
        <v>190</v>
      </c>
    </row>
    <row r="240" spans="1:13" x14ac:dyDescent="0.25">
      <c r="A240" t="s">
        <v>219</v>
      </c>
      <c r="B240" s="14" t="s">
        <v>191</v>
      </c>
      <c r="C240" t="str">
        <f>IF(OR(LEFT(T_PROJECTS[[#This Row],[ProjectID]],4)="J000",LEFT(T_PROJECTS[[#This Row],[ProjectID]],4)="R000"),
LEFT(T_PROJECTS[[#This Row],[ProjectID]],1)&amp;VALUE(MID(T_PROJECTS[[#This Row],[ProjectID]],2,99)),
"")</f>
        <v>R155</v>
      </c>
      <c r="D240" t="s">
        <v>684</v>
      </c>
      <c r="E240" t="s">
        <v>341</v>
      </c>
      <c r="F240" t="s">
        <v>223</v>
      </c>
      <c r="G240" t="s">
        <v>192</v>
      </c>
      <c r="H240" t="str">
        <f>_xlfn.TEXTJOIN(" | ", TRUE, T_PROJECTS[[#This Row],[ProjectID]], T_PROJECTS[[#This Row],[ProjectName]],T_PROJECTS[[#This Row],[ProjectID Abb]])</f>
        <v>R00000155 | TWMA - H&amp;G GOP | R155</v>
      </c>
      <c r="L240" s="14" t="s">
        <v>191</v>
      </c>
      <c r="M240" s="14" t="s">
        <v>192</v>
      </c>
    </row>
    <row r="241" spans="1:13" x14ac:dyDescent="0.25">
      <c r="A241" t="s">
        <v>219</v>
      </c>
      <c r="B241" s="14" t="s">
        <v>193</v>
      </c>
      <c r="C241" t="str">
        <f>IF(OR(LEFT(T_PROJECTS[[#This Row],[ProjectID]],4)="J000",LEFT(T_PROJECTS[[#This Row],[ProjectID]],4)="R000"),
LEFT(T_PROJECTS[[#This Row],[ProjectID]],1)&amp;VALUE(MID(T_PROJECTS[[#This Row],[ProjectID]],2,99)),
"")</f>
        <v>R156</v>
      </c>
      <c r="D241" t="s">
        <v>685</v>
      </c>
      <c r="E241" t="s">
        <v>341</v>
      </c>
      <c r="F241" t="s">
        <v>223</v>
      </c>
      <c r="G241" t="s">
        <v>194</v>
      </c>
      <c r="H241" t="str">
        <f>_xlfn.TEXTJOIN(" | ", TRUE, T_PROJECTS[[#This Row],[ProjectID]], T_PROJECTS[[#This Row],[ProjectName]],T_PROJECTS[[#This Row],[ProjectID Abb]])</f>
        <v>R00000156 | ITD Cementation - Ruwais LNG | R156</v>
      </c>
      <c r="L241" s="14" t="s">
        <v>193</v>
      </c>
      <c r="M241" s="14" t="s">
        <v>194</v>
      </c>
    </row>
    <row r="242" spans="1:13" x14ac:dyDescent="0.25">
      <c r="A242" t="s">
        <v>219</v>
      </c>
      <c r="B242" s="14" t="s">
        <v>195</v>
      </c>
      <c r="C242" t="str">
        <f>IF(OR(LEFT(T_PROJECTS[[#This Row],[ProjectID]],4)="J000",LEFT(T_PROJECTS[[#This Row],[ProjectID]],4)="R000"),
LEFT(T_PROJECTS[[#This Row],[ProjectID]],1)&amp;VALUE(MID(T_PROJECTS[[#This Row],[ProjectID]],2,99)),
"")</f>
        <v>R159</v>
      </c>
      <c r="D242" t="s">
        <v>686</v>
      </c>
      <c r="E242" t="s">
        <v>341</v>
      </c>
      <c r="F242" t="s">
        <v>223</v>
      </c>
      <c r="G242" t="s">
        <v>196</v>
      </c>
      <c r="H242" t="str">
        <f>_xlfn.TEXTJOIN(" | ", TRUE, T_PROJECTS[[#This Row],[ProjectID]], T_PROJECTS[[#This Row],[ProjectName]],T_PROJECTS[[#This Row],[ProjectID Abb]])</f>
        <v>R00000159 | DCS - Baitha Qassem | R159</v>
      </c>
      <c r="L242" s="14" t="s">
        <v>195</v>
      </c>
      <c r="M242" s="14" t="s">
        <v>196</v>
      </c>
    </row>
    <row r="243" spans="1:13" x14ac:dyDescent="0.25">
      <c r="A243" t="s">
        <v>219</v>
      </c>
      <c r="B243" s="14" t="s">
        <v>197</v>
      </c>
      <c r="C243" t="str">
        <f>IF(OR(LEFT(T_PROJECTS[[#This Row],[ProjectID]],4)="J000",LEFT(T_PROJECTS[[#This Row],[ProjectID]],4)="R000"),
LEFT(T_PROJECTS[[#This Row],[ProjectID]],1)&amp;VALUE(MID(T_PROJECTS[[#This Row],[ProjectID]],2,99)),
"")</f>
        <v>R160</v>
      </c>
      <c r="D243" t="s">
        <v>687</v>
      </c>
      <c r="E243" t="s">
        <v>341</v>
      </c>
      <c r="F243" t="s">
        <v>223</v>
      </c>
      <c r="G243" t="s">
        <v>198</v>
      </c>
      <c r="H243" t="str">
        <f>_xlfn.TEXTJOIN(" | ", TRUE, T_PROJECTS[[#This Row],[ProjectID]], T_PROJECTS[[#This Row],[ProjectName]],T_PROJECTS[[#This Row],[ProjectID Abb]])</f>
        <v>R00000160 | AL QARYAN - Al Khobar | R160</v>
      </c>
      <c r="L243" s="14" t="s">
        <v>197</v>
      </c>
      <c r="M243" s="14" t="s">
        <v>198</v>
      </c>
    </row>
    <row r="244" spans="1:13" x14ac:dyDescent="0.25">
      <c r="A244" t="s">
        <v>219</v>
      </c>
      <c r="B244" s="14" t="s">
        <v>199</v>
      </c>
      <c r="C244" t="str">
        <f>IF(OR(LEFT(T_PROJECTS[[#This Row],[ProjectID]],4)="J000",LEFT(T_PROJECTS[[#This Row],[ProjectID]],4)="R000"),
LEFT(T_PROJECTS[[#This Row],[ProjectID]],1)&amp;VALUE(MID(T_PROJECTS[[#This Row],[ProjectID]],2,99)),
"")</f>
        <v>R161</v>
      </c>
      <c r="D244" t="s">
        <v>688</v>
      </c>
      <c r="E244" t="s">
        <v>341</v>
      </c>
      <c r="F244" t="s">
        <v>223</v>
      </c>
      <c r="G244" t="s">
        <v>200</v>
      </c>
      <c r="H244" t="str">
        <f>_xlfn.TEXTJOIN(" | ", TRUE, T_PROJECTS[[#This Row],[ProjectID]], T_PROJECTS[[#This Row],[ProjectName]],T_PROJECTS[[#This Row],[ProjectID Abb]])</f>
        <v>R00000161 | TARGET - Mina Port | R161</v>
      </c>
      <c r="L244" s="14" t="s">
        <v>199</v>
      </c>
      <c r="M244" s="14" t="s">
        <v>200</v>
      </c>
    </row>
    <row r="245" spans="1:13" x14ac:dyDescent="0.25">
      <c r="A245" t="s">
        <v>219</v>
      </c>
      <c r="B245" s="14" t="s">
        <v>201</v>
      </c>
      <c r="C245" t="str">
        <f>IF(OR(LEFT(T_PROJECTS[[#This Row],[ProjectID]],4)="J000",LEFT(T_PROJECTS[[#This Row],[ProjectID]],4)="R000"),
LEFT(T_PROJECTS[[#This Row],[ProjectID]],1)&amp;VALUE(MID(T_PROJECTS[[#This Row],[ProjectID]],2,99)),
"")</f>
        <v>R162</v>
      </c>
      <c r="D245" t="s">
        <v>689</v>
      </c>
      <c r="E245" t="s">
        <v>341</v>
      </c>
      <c r="F245" t="s">
        <v>223</v>
      </c>
      <c r="G245" t="s">
        <v>202</v>
      </c>
      <c r="H245" t="str">
        <f>_xlfn.TEXTJOIN(" | ", TRUE, T_PROJECTS[[#This Row],[ProjectID]], T_PROJECTS[[#This Row],[ProjectName]],T_PROJECTS[[#This Row],[ProjectID Abb]])</f>
        <v>R00000162 | JIATAI Contracting - Al Sila Port | R162</v>
      </c>
      <c r="L245" s="14" t="s">
        <v>201</v>
      </c>
      <c r="M245" s="14" t="s">
        <v>202</v>
      </c>
    </row>
    <row r="246" spans="1:13" x14ac:dyDescent="0.25">
      <c r="A246" t="s">
        <v>219</v>
      </c>
      <c r="B246" s="14" t="s">
        <v>203</v>
      </c>
      <c r="C246" t="str">
        <f>IF(OR(LEFT(T_PROJECTS[[#This Row],[ProjectID]],4)="J000",LEFT(T_PROJECTS[[#This Row],[ProjectID]],4)="R000"),
LEFT(T_PROJECTS[[#This Row],[ProjectID]],1)&amp;VALUE(MID(T_PROJECTS[[#This Row],[ProjectID]],2,99)),
"")</f>
        <v>R163</v>
      </c>
      <c r="D246" t="s">
        <v>690</v>
      </c>
      <c r="E246" t="s">
        <v>341</v>
      </c>
      <c r="F246" t="s">
        <v>223</v>
      </c>
      <c r="G246" t="s">
        <v>204</v>
      </c>
      <c r="H246" t="str">
        <f>_xlfn.TEXTJOIN(" | ", TRUE, T_PROJECTS[[#This Row],[ProjectID]], T_PROJECTS[[#This Row],[ProjectName]],T_PROJECTS[[#This Row],[ProjectID Abb]])</f>
        <v>R00000163 | AL QARYAN - Shuaibah | R163</v>
      </c>
      <c r="L246" s="14" t="s">
        <v>203</v>
      </c>
      <c r="M246" s="14" t="s">
        <v>204</v>
      </c>
    </row>
    <row r="247" spans="1:13" x14ac:dyDescent="0.25">
      <c r="A247" t="s">
        <v>219</v>
      </c>
      <c r="B247" s="14" t="s">
        <v>205</v>
      </c>
      <c r="C247" t="str">
        <f>IF(OR(LEFT(T_PROJECTS[[#This Row],[ProjectID]],4)="J000",LEFT(T_PROJECTS[[#This Row],[ProjectID]],4)="R000"),
LEFT(T_PROJECTS[[#This Row],[ProjectID]],1)&amp;VALUE(MID(T_PROJECTS[[#This Row],[ProjectID]],2,99)),
"")</f>
        <v>R164</v>
      </c>
      <c r="D247" t="s">
        <v>691</v>
      </c>
      <c r="E247" t="s">
        <v>341</v>
      </c>
      <c r="F247" t="s">
        <v>223</v>
      </c>
      <c r="G247" t="s">
        <v>206</v>
      </c>
      <c r="H247" t="str">
        <f>_xlfn.TEXTJOIN(" | ", TRUE, T_PROJECTS[[#This Row],[ProjectID]], T_PROJECTS[[#This Row],[ProjectName]],T_PROJECTS[[#This Row],[ProjectID Abb]])</f>
        <v>R00000164 | NMDC - Ghantoot Ora-Bayn Phase 1 | R164</v>
      </c>
      <c r="L247" s="14" t="s">
        <v>205</v>
      </c>
      <c r="M247" s="14" t="s">
        <v>206</v>
      </c>
    </row>
    <row r="248" spans="1:13" x14ac:dyDescent="0.25">
      <c r="B248" s="14" t="s">
        <v>207</v>
      </c>
      <c r="C248" s="15" t="str">
        <f>IF(OR(LEFT(T_PROJECTS[[#This Row],[ProjectID]],4)="J000",LEFT(T_PROJECTS[[#This Row],[ProjectID]],4)="R000"),
LEFT(T_PROJECTS[[#This Row],[ProjectID]],1)&amp;VALUE(MID(T_PROJECTS[[#This Row],[ProjectID]],2,99)),
"")</f>
        <v>R165</v>
      </c>
      <c r="G248" t="s">
        <v>208</v>
      </c>
      <c r="H248" s="15" t="str">
        <f>_xlfn.TEXTJOIN(" | ", TRUE, T_PROJECTS[[#This Row],[ProjectID]], T_PROJECTS[[#This Row],[ProjectName]],T_PROJECTS[[#This Row],[ProjectID Abb]])</f>
        <v>R00000165 | ALEC - The Sphere | R165</v>
      </c>
      <c r="L248" s="14" t="s">
        <v>207</v>
      </c>
      <c r="M248" s="14" t="s">
        <v>208</v>
      </c>
    </row>
    <row r="249" spans="1:13" x14ac:dyDescent="0.25">
      <c r="B249" s="14" t="s">
        <v>209</v>
      </c>
      <c r="C249" s="15" t="str">
        <f>IF(OR(LEFT(T_PROJECTS[[#This Row],[ProjectID]],4)="J000",LEFT(T_PROJECTS[[#This Row],[ProjectID]],4)="R000"),
LEFT(T_PROJECTS[[#This Row],[ProjectID]],1)&amp;VALUE(MID(T_PROJECTS[[#This Row],[ProjectID]],2,99)),
"")</f>
        <v>R166</v>
      </c>
      <c r="G249" t="s">
        <v>210</v>
      </c>
      <c r="H249" s="15" t="str">
        <f>_xlfn.TEXTJOIN(" | ", TRUE, T_PROJECTS[[#This Row],[ProjectID]], T_PROJECTS[[#This Row],[ProjectName]],T_PROJECTS[[#This Row],[ProjectID Abb]])</f>
        <v>R00000166 | NMDC - Khalifa Port | R166</v>
      </c>
      <c r="L249" s="14" t="s">
        <v>209</v>
      </c>
      <c r="M249" s="14" t="s">
        <v>210</v>
      </c>
    </row>
    <row r="250" spans="1:13" x14ac:dyDescent="0.25">
      <c r="B250" s="14" t="s">
        <v>1266</v>
      </c>
      <c r="C250" s="15" t="str">
        <f>IF(OR(LEFT(T_PROJECTS[[#This Row],[ProjectID]],4)="J000",LEFT(T_PROJECTS[[#This Row],[ProjectID]],4)="R000"),
LEFT(T_PROJECTS[[#This Row],[ProjectID]],1)&amp;VALUE(MID(T_PROJECTS[[#This Row],[ProjectID]],2,99)),
"")</f>
        <v>R167</v>
      </c>
      <c r="G250" t="s">
        <v>1267</v>
      </c>
      <c r="H250" s="15" t="str">
        <f>_xlfn.TEXTJOIN(" | ", TRUE, T_PROJECTS[[#This Row],[ProjectID]], T_PROJECTS[[#This Row],[ProjectName]],T_PROJECTS[[#This Row],[ProjectID Abb]])</f>
        <v>R00000167 | ARCO - Khor Fakkan Marine Works | R167</v>
      </c>
      <c r="L250" s="14" t="s">
        <v>1266</v>
      </c>
      <c r="M250" s="14" t="s">
        <v>1267</v>
      </c>
    </row>
    <row r="251" spans="1:13" x14ac:dyDescent="0.25">
      <c r="B251" s="14" t="s">
        <v>1268</v>
      </c>
      <c r="C251" s="15" t="str">
        <f>IF(OR(LEFT(T_PROJECTS[[#This Row],[ProjectID]],4)="J000",LEFT(T_PROJECTS[[#This Row],[ProjectID]],4)="R000"),
LEFT(T_PROJECTS[[#This Row],[ProjectID]],1)&amp;VALUE(MID(T_PROJECTS[[#This Row],[ProjectID]],2,99)),
"")</f>
        <v>R168</v>
      </c>
      <c r="G251" t="s">
        <v>1269</v>
      </c>
      <c r="H251" s="15" t="str">
        <f>_xlfn.TEXTJOIN(" | ", TRUE, T_PROJECTS[[#This Row],[ProjectID]], T_PROJECTS[[#This Row],[ProjectName]],T_PROJECTS[[#This Row],[ProjectID Abb]])</f>
        <v>R00000168 | AMTC - Bubasala Razeen | R168</v>
      </c>
      <c r="L251" s="14" t="s">
        <v>1268</v>
      </c>
      <c r="M251" s="14" t="s">
        <v>1269</v>
      </c>
    </row>
    <row r="252" spans="1:13" x14ac:dyDescent="0.25">
      <c r="B252" s="14" t="s">
        <v>1270</v>
      </c>
      <c r="C252" s="15" t="str">
        <f>IF(OR(LEFT(T_PROJECTS[[#This Row],[ProjectID]],4)="J000",LEFT(T_PROJECTS[[#This Row],[ProjectID]],4)="R000"),
LEFT(T_PROJECTS[[#This Row],[ProjectID]],1)&amp;VALUE(MID(T_PROJECTS[[#This Row],[ProjectID]],2,99)),
"")</f>
        <v>R169</v>
      </c>
      <c r="G252" t="s">
        <v>1271</v>
      </c>
      <c r="H252" s="15" t="str">
        <f>_xlfn.TEXTJOIN(" | ", TRUE, T_PROJECTS[[#This Row],[ProjectID]], T_PROJECTS[[#This Row],[ProjectName]],T_PROJECTS[[#This Row],[ProjectID Abb]])</f>
        <v>R00000169 | Van Vliet - Demolition Ras Laffan | R169</v>
      </c>
      <c r="L252" s="14" t="s">
        <v>1270</v>
      </c>
      <c r="M252" s="14" t="s">
        <v>1271</v>
      </c>
    </row>
    <row r="253" spans="1:13" x14ac:dyDescent="0.25">
      <c r="B253" s="14" t="s">
        <v>1272</v>
      </c>
      <c r="C253" s="15" t="str">
        <f>IF(OR(LEFT(T_PROJECTS[[#This Row],[ProjectID]],4)="J000",LEFT(T_PROJECTS[[#This Row],[ProjectID]],4)="R000"),
LEFT(T_PROJECTS[[#This Row],[ProjectID]],1)&amp;VALUE(MID(T_PROJECTS[[#This Row],[ProjectID]],2,99)),
"")</f>
        <v>R170</v>
      </c>
      <c r="G253" t="s">
        <v>1273</v>
      </c>
      <c r="H253" s="15" t="str">
        <f>_xlfn.TEXTJOIN(" | ", TRUE, T_PROJECTS[[#This Row],[ProjectID]], T_PROJECTS[[#This Row],[ProjectName]],T_PROJECTS[[#This Row],[ProjectID Abb]])</f>
        <v>R00000170 | Van Oord - Naia Island | R170</v>
      </c>
      <c r="L253" s="14" t="s">
        <v>1272</v>
      </c>
      <c r="M253" s="14" t="s">
        <v>1273</v>
      </c>
    </row>
    <row r="254" spans="1:13" x14ac:dyDescent="0.25">
      <c r="B254" s="14" t="s">
        <v>1274</v>
      </c>
      <c r="C254" s="15" t="str">
        <f>IF(OR(LEFT(T_PROJECTS[[#This Row],[ProjectID]],4)="J000",LEFT(T_PROJECTS[[#This Row],[ProjectID]],4)="R000"),
LEFT(T_PROJECTS[[#This Row],[ProjectID]],1)&amp;VALUE(MID(T_PROJECTS[[#This Row],[ProjectID]],2,99)),
"")</f>
        <v>R171</v>
      </c>
      <c r="G254" t="s">
        <v>1275</v>
      </c>
      <c r="H254" s="15" t="str">
        <f>_xlfn.TEXTJOIN(" | ", TRUE, T_PROJECTS[[#This Row],[ProjectID]], T_PROJECTS[[#This Row],[ProjectName]],T_PROJECTS[[#This Row],[ProjectID Abb]])</f>
        <v>R00000171 | BVA Marine - Dubai Creek Harbour | R171</v>
      </c>
      <c r="L254" s="14" t="s">
        <v>1274</v>
      </c>
      <c r="M254" s="14" t="s">
        <v>1275</v>
      </c>
    </row>
    <row r="255" spans="1:13" x14ac:dyDescent="0.25">
      <c r="B255" s="14" t="s">
        <v>1276</v>
      </c>
      <c r="C255" s="15" t="str">
        <f>IF(OR(LEFT(T_PROJECTS[[#This Row],[ProjectID]],4)="J000",LEFT(T_PROJECTS[[#This Row],[ProjectID]],4)="R000"),
LEFT(T_PROJECTS[[#This Row],[ProjectID]],1)&amp;VALUE(MID(T_PROJECTS[[#This Row],[ProjectID]],2,99)),
"")</f>
        <v>R172</v>
      </c>
      <c r="G255" t="s">
        <v>1277</v>
      </c>
      <c r="H255" s="15" t="str">
        <f>_xlfn.TEXTJOIN(" | ", TRUE, T_PROJECTS[[#This Row],[ProjectID]], T_PROJECTS[[#This Row],[ProjectName]],T_PROJECTS[[#This Row],[ProjectID Abb]])</f>
        <v>R00000172 | BESIX - Sohar Port | R172</v>
      </c>
      <c r="L255" s="14" t="s">
        <v>1276</v>
      </c>
      <c r="M255" s="14" t="s">
        <v>1277</v>
      </c>
    </row>
    <row r="256" spans="1:13" x14ac:dyDescent="0.25">
      <c r="B256" s="14" t="s">
        <v>1278</v>
      </c>
      <c r="C256" s="15" t="str">
        <f>IF(OR(LEFT(T_PROJECTS[[#This Row],[ProjectID]],4)="J000",LEFT(T_PROJECTS[[#This Row],[ProjectID]],4)="R000"),
LEFT(T_PROJECTS[[#This Row],[ProjectID]],1)&amp;VALUE(MID(T_PROJECTS[[#This Row],[ProjectID]],2,99)),
"")</f>
        <v>R173</v>
      </c>
      <c r="G256" t="s">
        <v>1279</v>
      </c>
      <c r="H256" s="15" t="str">
        <f>_xlfn.TEXTJOIN(" | ", TRUE, T_PROJECTS[[#This Row],[ProjectID]], T_PROJECTS[[#This Row],[ProjectName]],T_PROJECTS[[#This Row],[ProjectID Abb]])</f>
        <v>R00000173 | Larsen &amp; Toubro - DEWA Solar Plant | R173</v>
      </c>
      <c r="L256" s="14" t="s">
        <v>1278</v>
      </c>
      <c r="M256" s="14" t="s">
        <v>1279</v>
      </c>
    </row>
    <row r="257" spans="2:13" x14ac:dyDescent="0.25">
      <c r="B257" s="14" t="s">
        <v>1280</v>
      </c>
      <c r="C257" s="15" t="str">
        <f>IF(OR(LEFT(T_PROJECTS[[#This Row],[ProjectID]],4)="J000",LEFT(T_PROJECTS[[#This Row],[ProjectID]],4)="R000"),
LEFT(T_PROJECTS[[#This Row],[ProjectID]],1)&amp;VALUE(MID(T_PROJECTS[[#This Row],[ProjectID]],2,99)),
"")</f>
        <v>R174</v>
      </c>
      <c r="G257" t="s">
        <v>1281</v>
      </c>
      <c r="H257" s="15" t="str">
        <f>_xlfn.TEXTJOIN(" | ", TRUE, T_PROJECTS[[#This Row],[ProjectID]], T_PROJECTS[[#This Row],[ProjectName]],T_PROJECTS[[#This Row],[ProjectID Abb]])</f>
        <v>R00000174 | RDMC - Petrosea Pakistan TSF Project | R174</v>
      </c>
      <c r="L257" s="14" t="s">
        <v>1280</v>
      </c>
      <c r="M257" s="14" t="s">
        <v>1281</v>
      </c>
    </row>
    <row r="258" spans="2:13" x14ac:dyDescent="0.25">
      <c r="B258" s="14" t="s">
        <v>1282</v>
      </c>
      <c r="C258" s="15" t="str">
        <f>IF(OR(LEFT(T_PROJECTS[[#This Row],[ProjectID]],4)="J000",LEFT(T_PROJECTS[[#This Row],[ProjectID]],4)="R000"),
LEFT(T_PROJECTS[[#This Row],[ProjectID]],1)&amp;VALUE(MID(T_PROJECTS[[#This Row],[ProjectID]],2,99)),
"")</f>
        <v>R175</v>
      </c>
      <c r="G258" t="s">
        <v>1283</v>
      </c>
      <c r="H258" s="15" t="str">
        <f>_xlfn.TEXTJOIN(" | ", TRUE, T_PROJECTS[[#This Row],[ProjectID]], T_PROJECTS[[#This Row],[ProjectName]],T_PROJECTS[[#This Row],[ProjectID Abb]])</f>
        <v>R00000175 | SARCO - OXT2 Quay Wall | R175</v>
      </c>
      <c r="L258" s="14" t="s">
        <v>1282</v>
      </c>
      <c r="M258" s="14" t="s">
        <v>1283</v>
      </c>
    </row>
    <row r="259" spans="2:13" x14ac:dyDescent="0.25">
      <c r="B259" s="14" t="s">
        <v>1284</v>
      </c>
      <c r="C259" s="15" t="str">
        <f>IF(OR(LEFT(T_PROJECTS[[#This Row],[ProjectID]],4)="J000",LEFT(T_PROJECTS[[#This Row],[ProjectID]],4)="R000"),
LEFT(T_PROJECTS[[#This Row],[ProjectID]],1)&amp;VALUE(MID(T_PROJECTS[[#This Row],[ProjectID]],2,99)),
"")</f>
        <v>R176</v>
      </c>
      <c r="G259" t="s">
        <v>1285</v>
      </c>
      <c r="H259" s="15" t="str">
        <f>_xlfn.TEXTJOIN(" | ", TRUE, T_PROJECTS[[#This Row],[ProjectID]], T_PROJECTS[[#This Row],[ProjectName]],T_PROJECTS[[#This Row],[ProjectID Abb]])</f>
        <v>R00000176 | NMDC - Jelly Fish Island | R176</v>
      </c>
      <c r="L259" s="14" t="s">
        <v>1284</v>
      </c>
      <c r="M259" s="14" t="s">
        <v>1285</v>
      </c>
    </row>
    <row r="260" spans="2:13" x14ac:dyDescent="0.25">
      <c r="B260" s="14" t="s">
        <v>1286</v>
      </c>
      <c r="C260" s="15" t="str">
        <f>IF(OR(LEFT(T_PROJECTS[[#This Row],[ProjectID]],4)="J000",LEFT(T_PROJECTS[[#This Row],[ProjectID]],4)="R000"),
LEFT(T_PROJECTS[[#This Row],[ProjectID]],1)&amp;VALUE(MID(T_PROJECTS[[#This Row],[ProjectID]],2,99)),
"")</f>
        <v>R177</v>
      </c>
      <c r="G260" t="s">
        <v>1287</v>
      </c>
      <c r="H260" s="15" t="str">
        <f>_xlfn.TEXTJOIN(" | ", TRUE, T_PROJECTS[[#This Row],[ProjectID]], T_PROJECTS[[#This Row],[ProjectName]],T_PROJECTS[[#This Row],[ProjectID Abb]])</f>
        <v>R00000177 | NMDC - Fujairah Navy Base | R177</v>
      </c>
      <c r="L260" s="14" t="s">
        <v>1286</v>
      </c>
      <c r="M260" s="14" t="s">
        <v>1287</v>
      </c>
    </row>
    <row r="261" spans="2:13" x14ac:dyDescent="0.25">
      <c r="B261" s="14" t="s">
        <v>1288</v>
      </c>
      <c r="C261" s="15" t="str">
        <f>IF(OR(LEFT(T_PROJECTS[[#This Row],[ProjectID]],4)="J000",LEFT(T_PROJECTS[[#This Row],[ProjectID]],4)="R000"),
LEFT(T_PROJECTS[[#This Row],[ProjectID]],1)&amp;VALUE(MID(T_PROJECTS[[#This Row],[ProjectID]],2,99)),
"")</f>
        <v>R178</v>
      </c>
      <c r="G261" t="s">
        <v>1289</v>
      </c>
      <c r="H261" s="15" t="str">
        <f>_xlfn.TEXTJOIN(" | ", TRUE, T_PROJECTS[[#This Row],[ProjectID]], T_PROJECTS[[#This Row],[ProjectName]],T_PROJECTS[[#This Row],[ProjectID Abb]])</f>
        <v>R00000178 | ALMUHANDIS - NMDC Yard Icad 2 | R178</v>
      </c>
      <c r="L261" s="14" t="s">
        <v>1288</v>
      </c>
      <c r="M261" s="14" t="s">
        <v>1289</v>
      </c>
    </row>
    <row r="262" spans="2:13" x14ac:dyDescent="0.25">
      <c r="B262" s="14" t="s">
        <v>639</v>
      </c>
      <c r="C262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62" t="s">
        <v>641</v>
      </c>
      <c r="H262" s="15" t="str">
        <f>_xlfn.TEXTJOIN(" | ", TRUE, T_PROJECTS[[#This Row],[ProjectID]], T_PROJECTS[[#This Row],[ProjectName]],T_PROJECTS[[#This Row],[ProjectID Abb]])</f>
        <v>R90000000 | EM Training Yard</v>
      </c>
      <c r="L262" s="14" t="s">
        <v>639</v>
      </c>
      <c r="M262" s="14" t="s">
        <v>641</v>
      </c>
    </row>
    <row r="263" spans="2:13" x14ac:dyDescent="0.25">
      <c r="B263" s="14" t="s">
        <v>632</v>
      </c>
      <c r="C263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63" t="s">
        <v>634</v>
      </c>
      <c r="H263" s="15" t="str">
        <f>_xlfn.TEXTJOIN(" | ", TRUE, T_PROJECTS[[#This Row],[ProjectID]], T_PROJECTS[[#This Row],[ProjectName]],T_PROJECTS[[#This Row],[ProjectID Abb]])</f>
        <v>T00000001 | AMS EM - Special External Transportation</v>
      </c>
      <c r="L263" s="14" t="s">
        <v>632</v>
      </c>
      <c r="M263" s="14" t="s">
        <v>634</v>
      </c>
    </row>
    <row r="264" spans="2:13" x14ac:dyDescent="0.25">
      <c r="B264" s="14" t="s">
        <v>418</v>
      </c>
      <c r="C264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64" t="s">
        <v>418</v>
      </c>
      <c r="H264" s="15" t="str">
        <f>_xlfn.TEXTJOIN(" | ", TRUE, T_PROJECTS[[#This Row],[ProjectID]], T_PROJECTS[[#This Row],[ProjectName]],T_PROJECTS[[#This Row],[ProjectID Abb]])</f>
        <v>Workshop EM | Workshop EM</v>
      </c>
      <c r="L264" s="14" t="s">
        <v>418</v>
      </c>
      <c r="M264" s="14" t="s">
        <v>418</v>
      </c>
    </row>
    <row r="265" spans="2:13" x14ac:dyDescent="0.25">
      <c r="B265" s="14" t="s">
        <v>420</v>
      </c>
      <c r="C265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65" t="s">
        <v>422</v>
      </c>
      <c r="H265" s="15" t="str">
        <f>_xlfn.TEXTJOIN(" | ", TRUE, T_PROJECTS[[#This Row],[ProjectID]], T_PROJECTS[[#This Row],[ProjectName]],T_PROJECTS[[#This Row],[ProjectID Abb]])</f>
        <v>Workshop EM_01 | Maintenance &amp; Repair</v>
      </c>
      <c r="L265" s="14" t="s">
        <v>420</v>
      </c>
      <c r="M265" s="14" t="s">
        <v>422</v>
      </c>
    </row>
    <row r="266" spans="2:13" x14ac:dyDescent="0.25">
      <c r="B266" s="14" t="s">
        <v>423</v>
      </c>
      <c r="C266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66" t="s">
        <v>255</v>
      </c>
      <c r="H266" s="15" t="str">
        <f>_xlfn.TEXTJOIN(" | ", TRUE, T_PROJECTS[[#This Row],[ProjectID]], T_PROJECTS[[#This Row],[ProjectName]],T_PROJECTS[[#This Row],[ProjectID Abb]])</f>
        <v>Workshop EM_02 | Fuel</v>
      </c>
      <c r="L266" s="14" t="s">
        <v>423</v>
      </c>
      <c r="M266" s="14" t="s">
        <v>255</v>
      </c>
    </row>
    <row r="267" spans="2:13" x14ac:dyDescent="0.25">
      <c r="B267" s="14" t="s">
        <v>425</v>
      </c>
      <c r="C267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67" t="s">
        <v>235</v>
      </c>
      <c r="H267" s="15" t="str">
        <f>_xlfn.TEXTJOIN(" | ", TRUE, T_PROJECTS[[#This Row],[ProjectID]], T_PROJECTS[[#This Row],[ProjectName]],T_PROJECTS[[#This Row],[ProjectID Abb]])</f>
        <v>Workshop EM_03 | Insurance</v>
      </c>
      <c r="L267" s="14" t="s">
        <v>425</v>
      </c>
      <c r="M267" s="14" t="s">
        <v>235</v>
      </c>
    </row>
    <row r="268" spans="2:13" x14ac:dyDescent="0.25">
      <c r="B268" s="14" t="s">
        <v>427</v>
      </c>
      <c r="C268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68" t="s">
        <v>429</v>
      </c>
      <c r="H268" s="15" t="str">
        <f>_xlfn.TEXTJOIN(" | ", TRUE, T_PROJECTS[[#This Row],[ProjectID]], T_PROJECTS[[#This Row],[ProjectName]],T_PROJECTS[[#This Row],[ProjectID Abb]])</f>
        <v>Workshop EM_04 | Assets non depreciated</v>
      </c>
      <c r="L268" s="14" t="s">
        <v>427</v>
      </c>
      <c r="M268" s="14" t="s">
        <v>429</v>
      </c>
    </row>
    <row r="269" spans="2:13" x14ac:dyDescent="0.25">
      <c r="B269" s="14" t="s">
        <v>430</v>
      </c>
      <c r="C269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69" t="s">
        <v>260</v>
      </c>
      <c r="H269" s="15" t="str">
        <f>_xlfn.TEXTJOIN(" | ", TRUE, T_PROJECTS[[#This Row],[ProjectID]], T_PROJECTS[[#This Row],[ProjectName]],T_PROJECTS[[#This Row],[ProjectID Abb]])</f>
        <v>Workshop EM_05 | Rent</v>
      </c>
      <c r="L269" s="14" t="s">
        <v>430</v>
      </c>
      <c r="M269" s="14" t="s">
        <v>260</v>
      </c>
    </row>
    <row r="270" spans="2:13" x14ac:dyDescent="0.25">
      <c r="B270" s="14" t="s">
        <v>432</v>
      </c>
      <c r="C270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70" t="s">
        <v>263</v>
      </c>
      <c r="H270" s="15" t="str">
        <f>_xlfn.TEXTJOIN(" | ", TRUE, T_PROJECTS[[#This Row],[ProjectID]], T_PROJECTS[[#This Row],[ProjectName]],T_PROJECTS[[#This Row],[ProjectID Abb]])</f>
        <v>Workshop EM_06 | Intrest</v>
      </c>
      <c r="L270" s="14" t="s">
        <v>432</v>
      </c>
      <c r="M270" s="14" t="s">
        <v>263</v>
      </c>
    </row>
    <row r="271" spans="2:13" x14ac:dyDescent="0.25">
      <c r="B271" s="14" t="s">
        <v>434</v>
      </c>
      <c r="C271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71" t="s">
        <v>266</v>
      </c>
      <c r="H271" s="15" t="str">
        <f>_xlfn.TEXTJOIN(" | ", TRUE, T_PROJECTS[[#This Row],[ProjectID]], T_PROJECTS[[#This Row],[ProjectName]],T_PROJECTS[[#This Row],[ProjectID Abb]])</f>
        <v>Workshop EM_07 | Depreciation</v>
      </c>
      <c r="L271" s="14" t="s">
        <v>434</v>
      </c>
      <c r="M271" s="14" t="s">
        <v>266</v>
      </c>
    </row>
    <row r="272" spans="2:13" x14ac:dyDescent="0.25">
      <c r="B272" s="14" t="s">
        <v>436</v>
      </c>
      <c r="C272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72" t="s">
        <v>334</v>
      </c>
      <c r="H272" s="15" t="str">
        <f>_xlfn.TEXTJOIN(" | ", TRUE, T_PROJECTS[[#This Row],[ProjectID]], T_PROJECTS[[#This Row],[ProjectName]],T_PROJECTS[[#This Row],[ProjectID Abb]])</f>
        <v>Workshop EM_08 | Taxes</v>
      </c>
      <c r="L272" s="14" t="s">
        <v>436</v>
      </c>
      <c r="M272" s="14" t="s">
        <v>334</v>
      </c>
    </row>
    <row r="273" spans="2:13" x14ac:dyDescent="0.25">
      <c r="B273" s="14" t="s">
        <v>438</v>
      </c>
      <c r="C273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73" t="s">
        <v>272</v>
      </c>
      <c r="H273" s="15" t="str">
        <f>_xlfn.TEXTJOIN(" | ", TRUE, T_PROJECTS[[#This Row],[ProjectID]], T_PROJECTS[[#This Row],[ProjectName]],T_PROJECTS[[#This Row],[ProjectID Abb]])</f>
        <v>Workshop EM_09 | Technical inspection</v>
      </c>
      <c r="L273" s="14" t="s">
        <v>438</v>
      </c>
      <c r="M273" s="14" t="s">
        <v>272</v>
      </c>
    </row>
    <row r="274" spans="2:13" x14ac:dyDescent="0.25">
      <c r="B274" s="14" t="s">
        <v>440</v>
      </c>
      <c r="C274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74" t="s">
        <v>275</v>
      </c>
      <c r="H274" s="15" t="str">
        <f>_xlfn.TEXTJOIN(" | ", TRUE, T_PROJECTS[[#This Row],[ProjectID]], T_PROJECTS[[#This Row],[ProjectName]],T_PROJECTS[[#This Row],[ProjectID Abb]])</f>
        <v>Workshop EM_10 | Off-balance rent</v>
      </c>
      <c r="L274" s="14" t="s">
        <v>440</v>
      </c>
      <c r="M274" s="14" t="s">
        <v>275</v>
      </c>
    </row>
    <row r="275" spans="2:13" x14ac:dyDescent="0.25">
      <c r="B275" s="14" t="s">
        <v>442</v>
      </c>
      <c r="C275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75" t="s">
        <v>444</v>
      </c>
      <c r="H275" s="15" t="str">
        <f>_xlfn.TEXTJOIN(" | ", TRUE, T_PROJECTS[[#This Row],[ProjectID]], T_PROJECTS[[#This Row],[ProjectName]],T_PROJECTS[[#This Row],[ProjectID Abb]])</f>
        <v>Workshop EM_11 | Transport</v>
      </c>
      <c r="L275" s="14" t="s">
        <v>442</v>
      </c>
      <c r="M275" s="14" t="s">
        <v>444</v>
      </c>
    </row>
    <row r="276" spans="2:13" x14ac:dyDescent="0.25">
      <c r="B276" s="14" t="s">
        <v>445</v>
      </c>
      <c r="C276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76" t="s">
        <v>447</v>
      </c>
      <c r="H276" s="15" t="str">
        <f>_xlfn.TEXTJOIN(" | ", TRUE, T_PROJECTS[[#This Row],[ProjectID]], T_PROJECTS[[#This Row],[ProjectName]],T_PROJECTS[[#This Row],[ProjectID Abb]])</f>
        <v>Workshop EM_12 | Personnel</v>
      </c>
      <c r="L276" s="14" t="s">
        <v>445</v>
      </c>
      <c r="M276" s="14" t="s">
        <v>447</v>
      </c>
    </row>
    <row r="277" spans="2:13" x14ac:dyDescent="0.25">
      <c r="B277" s="14" t="s">
        <v>448</v>
      </c>
      <c r="C277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77" t="s">
        <v>224</v>
      </c>
      <c r="H277" s="15" t="str">
        <f>_xlfn.TEXTJOIN(" | ", TRUE, T_PROJECTS[[#This Row],[ProjectID]], T_PROJECTS[[#This Row],[ProjectName]],T_PROJECTS[[#This Row],[ProjectID Abb]])</f>
        <v>Workshop EM_12_01 | Salary</v>
      </c>
      <c r="L277" s="14" t="s">
        <v>448</v>
      </c>
      <c r="M277" s="14" t="s">
        <v>224</v>
      </c>
    </row>
    <row r="278" spans="2:13" x14ac:dyDescent="0.25">
      <c r="B278" s="14" t="s">
        <v>450</v>
      </c>
      <c r="C278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78" t="s">
        <v>227</v>
      </c>
      <c r="H278" s="15" t="str">
        <f>_xlfn.TEXTJOIN(" | ", TRUE, T_PROJECTS[[#This Row],[ProjectID]], T_PROJECTS[[#This Row],[ProjectName]],T_PROJECTS[[#This Row],[ProjectID Abb]])</f>
        <v>Workshop EM_12_02 | Extralegal</v>
      </c>
      <c r="L278" s="14" t="s">
        <v>450</v>
      </c>
      <c r="M278" s="14" t="s">
        <v>227</v>
      </c>
    </row>
    <row r="279" spans="2:13" x14ac:dyDescent="0.25">
      <c r="B279" s="14" t="s">
        <v>452</v>
      </c>
      <c r="C279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79" t="s">
        <v>229</v>
      </c>
      <c r="H279" s="15" t="str">
        <f>_xlfn.TEXTJOIN(" | ", TRUE, T_PROJECTS[[#This Row],[ProjectID]], T_PROJECTS[[#This Row],[ProjectName]],T_PROJECTS[[#This Row],[ProjectID Abb]])</f>
        <v>Workshop EM_12_02_01 | Extralegal fuel</v>
      </c>
      <c r="L279" s="14" t="s">
        <v>452</v>
      </c>
      <c r="M279" s="14" t="s">
        <v>229</v>
      </c>
    </row>
    <row r="280" spans="2:13" x14ac:dyDescent="0.25">
      <c r="B280" s="14" t="s">
        <v>454</v>
      </c>
      <c r="C280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80" t="s">
        <v>231</v>
      </c>
      <c r="H280" s="15" t="str">
        <f>_xlfn.TEXTJOIN(" | ", TRUE, T_PROJECTS[[#This Row],[ProjectID]], T_PROJECTS[[#This Row],[ProjectName]],T_PROJECTS[[#This Row],[ProjectID Abb]])</f>
        <v>Workshop EM_12_02_02 | Rental private cars</v>
      </c>
      <c r="L280" s="14" t="s">
        <v>454</v>
      </c>
      <c r="M280" s="14" t="s">
        <v>231</v>
      </c>
    </row>
    <row r="281" spans="2:13" x14ac:dyDescent="0.25">
      <c r="B281" s="14" t="s">
        <v>456</v>
      </c>
      <c r="C281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81" t="s">
        <v>361</v>
      </c>
      <c r="H281" s="15" t="str">
        <f>_xlfn.TEXTJOIN(" | ", TRUE, T_PROJECTS[[#This Row],[ProjectID]], T_PROJECTS[[#This Row],[ProjectName]],T_PROJECTS[[#This Row],[ProjectID Abb]])</f>
        <v>Workshop EM_12_02_03 | Housing</v>
      </c>
      <c r="L281" s="14" t="s">
        <v>456</v>
      </c>
      <c r="M281" s="14" t="s">
        <v>361</v>
      </c>
    </row>
    <row r="282" spans="2:13" x14ac:dyDescent="0.25">
      <c r="B282" s="14" t="s">
        <v>458</v>
      </c>
      <c r="C282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82" t="s">
        <v>363</v>
      </c>
      <c r="H282" s="15" t="str">
        <f>_xlfn.TEXTJOIN(" | ", TRUE, T_PROJECTS[[#This Row],[ProjectID]], T_PROJECTS[[#This Row],[ProjectName]],T_PROJECTS[[#This Row],[ProjectID Abb]])</f>
        <v>Workshop EM_12_02_04 | Utilities</v>
      </c>
      <c r="L282" s="14" t="s">
        <v>458</v>
      </c>
      <c r="M282" s="14" t="s">
        <v>363</v>
      </c>
    </row>
    <row r="283" spans="2:13" x14ac:dyDescent="0.25">
      <c r="B283" s="14" t="s">
        <v>460</v>
      </c>
      <c r="C283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83" t="s">
        <v>399</v>
      </c>
      <c r="H283" s="15" t="str">
        <f>_xlfn.TEXTJOIN(" | ", TRUE, T_PROJECTS[[#This Row],[ProjectID]], T_PROJECTS[[#This Row],[ProjectName]],T_PROJECTS[[#This Row],[ProjectID Abb]])</f>
        <v>Workshop EM_12_02_05 | School fees</v>
      </c>
      <c r="L283" s="14" t="s">
        <v>460</v>
      </c>
      <c r="M283" s="14" t="s">
        <v>399</v>
      </c>
    </row>
    <row r="284" spans="2:13" x14ac:dyDescent="0.25">
      <c r="B284" s="14" t="s">
        <v>462</v>
      </c>
      <c r="C284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84" t="s">
        <v>402</v>
      </c>
      <c r="H284" s="15" t="str">
        <f>_xlfn.TEXTJOIN(" | ", TRUE, T_PROJECTS[[#This Row],[ProjectID]], T_PROJECTS[[#This Row],[ProjectName]],T_PROJECTS[[#This Row],[ProjectID Abb]])</f>
        <v>Workshop EM_12_02_06 | Child allowance</v>
      </c>
      <c r="L284" s="14" t="s">
        <v>462</v>
      </c>
      <c r="M284" s="14" t="s">
        <v>402</v>
      </c>
    </row>
    <row r="285" spans="2:13" x14ac:dyDescent="0.25">
      <c r="B285" s="14" t="s">
        <v>464</v>
      </c>
      <c r="C285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85" t="s">
        <v>365</v>
      </c>
      <c r="H285" s="15" t="str">
        <f>_xlfn.TEXTJOIN(" | ", TRUE, T_PROJECTS[[#This Row],[ProjectID]], T_PROJECTS[[#This Row],[ProjectName]],T_PROJECTS[[#This Row],[ProjectID Abb]])</f>
        <v>Workshop EM_12_02_07 | Laundry service</v>
      </c>
      <c r="L285" s="14" t="s">
        <v>464</v>
      </c>
      <c r="M285" s="14" t="s">
        <v>365</v>
      </c>
    </row>
    <row r="286" spans="2:13" x14ac:dyDescent="0.25">
      <c r="B286" s="14" t="s">
        <v>466</v>
      </c>
      <c r="C286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86" t="s">
        <v>373</v>
      </c>
      <c r="H286" s="15" t="str">
        <f>_xlfn.TEXTJOIN(" | ", TRUE, T_PROJECTS[[#This Row],[ProjectID]], T_PROJECTS[[#This Row],[ProjectName]],T_PROJECTS[[#This Row],[ProjectID Abb]])</f>
        <v>Workshop EM_12_02_08 | Food</v>
      </c>
      <c r="L286" s="14" t="s">
        <v>466</v>
      </c>
      <c r="M286" s="14" t="s">
        <v>373</v>
      </c>
    </row>
    <row r="287" spans="2:13" x14ac:dyDescent="0.25">
      <c r="B287" s="14" t="s">
        <v>468</v>
      </c>
      <c r="C287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87" t="s">
        <v>470</v>
      </c>
      <c r="H287" s="15" t="str">
        <f>_xlfn.TEXTJOIN(" | ", TRUE, T_PROJECTS[[#This Row],[ProjectID]], T_PROJECTS[[#This Row],[ProjectName]],T_PROJECTS[[#This Row],[ProjectID Abb]])</f>
        <v>Workshop EM_12_02_09 | Visa &amp; licences</v>
      </c>
      <c r="L287" s="14" t="s">
        <v>468</v>
      </c>
      <c r="M287" s="14" t="s">
        <v>470</v>
      </c>
    </row>
    <row r="288" spans="2:13" x14ac:dyDescent="0.25">
      <c r="B288" s="14" t="s">
        <v>471</v>
      </c>
      <c r="C288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88" t="s">
        <v>235</v>
      </c>
      <c r="H288" s="15" t="str">
        <f>_xlfn.TEXTJOIN(" | ", TRUE, T_PROJECTS[[#This Row],[ProjectID]], T_PROJECTS[[#This Row],[ProjectName]],T_PROJECTS[[#This Row],[ProjectID Abb]])</f>
        <v>Workshop EM_12_03 | Insurance</v>
      </c>
      <c r="L288" s="14" t="s">
        <v>471</v>
      </c>
      <c r="M288" s="14" t="s">
        <v>235</v>
      </c>
    </row>
    <row r="289" spans="2:13" x14ac:dyDescent="0.25">
      <c r="B289" s="14" t="s">
        <v>473</v>
      </c>
      <c r="C289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89" t="s">
        <v>238</v>
      </c>
      <c r="H289" s="15" t="str">
        <f>_xlfn.TEXTJOIN(" | ", TRUE, T_PROJECTS[[#This Row],[ProjectID]], T_PROJECTS[[#This Row],[ProjectName]],T_PROJECTS[[#This Row],[ProjectID Abb]])</f>
        <v>Workshop EM_12_04 | Travel</v>
      </c>
      <c r="L289" s="14" t="s">
        <v>473</v>
      </c>
      <c r="M289" s="14" t="s">
        <v>238</v>
      </c>
    </row>
    <row r="290" spans="2:13" x14ac:dyDescent="0.25">
      <c r="B290" s="14" t="s">
        <v>475</v>
      </c>
      <c r="C290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90" t="s">
        <v>241</v>
      </c>
      <c r="H290" s="15" t="str">
        <f>_xlfn.TEXTJOIN(" | ", TRUE, T_PROJECTS[[#This Row],[ProjectID]], T_PROJECTS[[#This Row],[ProjectName]],T_PROJECTS[[#This Row],[ProjectID Abb]])</f>
        <v>Workshop EM_12_05 | Training</v>
      </c>
      <c r="L290" s="14" t="s">
        <v>475</v>
      </c>
      <c r="M290" s="14" t="s">
        <v>241</v>
      </c>
    </row>
    <row r="291" spans="2:13" x14ac:dyDescent="0.25">
      <c r="B291" s="14" t="s">
        <v>477</v>
      </c>
      <c r="C291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91" t="s">
        <v>479</v>
      </c>
      <c r="H291" s="15" t="str">
        <f>_xlfn.TEXTJOIN(" | ", TRUE, T_PROJECTS[[#This Row],[ProjectID]], T_PROJECTS[[#This Row],[ProjectName]],T_PROJECTS[[#This Row],[ProjectID Abb]])</f>
        <v>Workshop EM_12_06 | Temporary Staff</v>
      </c>
      <c r="L291" s="14" t="s">
        <v>477</v>
      </c>
      <c r="M291" s="14" t="s">
        <v>479</v>
      </c>
    </row>
    <row r="292" spans="2:13" x14ac:dyDescent="0.25">
      <c r="B292" s="14" t="s">
        <v>480</v>
      </c>
      <c r="C292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92" t="s">
        <v>482</v>
      </c>
      <c r="H292" s="15" t="str">
        <f>_xlfn.TEXTJOIN(" | ", TRUE, T_PROJECTS[[#This Row],[ProjectID]], T_PROJECTS[[#This Row],[ProjectName]],T_PROJECTS[[#This Row],[ProjectID Abb]])</f>
        <v>Workshop EM_12_07 | Personel Protection Equipment (PPE)</v>
      </c>
      <c r="L292" s="14" t="s">
        <v>480</v>
      </c>
      <c r="M292" s="14" t="s">
        <v>482</v>
      </c>
    </row>
    <row r="293" spans="2:13" x14ac:dyDescent="0.25">
      <c r="B293" s="14" t="s">
        <v>483</v>
      </c>
      <c r="C293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93" t="s">
        <v>328</v>
      </c>
      <c r="H293" s="15" t="str">
        <f>_xlfn.TEXTJOIN(" | ", TRUE, T_PROJECTS[[#This Row],[ProjectID]], T_PROJECTS[[#This Row],[ProjectName]],T_PROJECTS[[#This Row],[ProjectID Abb]])</f>
        <v>Workshop EM_12_08 | Other</v>
      </c>
      <c r="L293" s="14" t="s">
        <v>483</v>
      </c>
      <c r="M293" s="14" t="s">
        <v>328</v>
      </c>
    </row>
    <row r="294" spans="2:13" x14ac:dyDescent="0.25">
      <c r="B294" s="14" t="s">
        <v>605</v>
      </c>
      <c r="C294" s="15" t="str">
        <f>IF(OR(LEFT(T_PROJECTS[[#This Row],[ProjectID]],4)="J000",LEFT(T_PROJECTS[[#This Row],[ProjectID]],4)="R000"),
LEFT(T_PROJECTS[[#This Row],[ProjectID]],1)&amp;VALUE(MID(T_PROJECTS[[#This Row],[ProjectID]],2,99)),
"")</f>
        <v/>
      </c>
      <c r="G294" t="s">
        <v>607</v>
      </c>
      <c r="H294" s="15" t="str">
        <f>_xlfn.TEXTJOIN(" | ", TRUE, T_PROJECTS[[#This Row],[ProjectID]], T_PROJECTS[[#This Row],[ProjectName]],T_PROJECTS[[#This Row],[ProjectID Abb]])</f>
        <v>Workshop EM_13 | Batam</v>
      </c>
      <c r="L294" s="14" t="s">
        <v>605</v>
      </c>
      <c r="M294" s="14" t="s">
        <v>607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E325-7E3F-4A1F-8535-F821EC0588A2}">
  <sheetPr codeName="Sheet5"/>
  <dimension ref="A1:I119"/>
  <sheetViews>
    <sheetView workbookViewId="0">
      <selection activeCell="C127" sqref="C127"/>
    </sheetView>
  </sheetViews>
  <sheetFormatPr defaultRowHeight="15" x14ac:dyDescent="0.25"/>
  <cols>
    <col min="1" max="1" width="11.7109375" bestFit="1" customWidth="1"/>
    <col min="2" max="2" width="15.7109375" bestFit="1" customWidth="1"/>
    <col min="3" max="3" width="44.28515625" bestFit="1" customWidth="1"/>
    <col min="4" max="4" width="61.7109375" bestFit="1" customWidth="1"/>
    <col min="7" max="7" width="65.7109375" bestFit="1" customWidth="1"/>
    <col min="8" max="8" width="9.7109375" bestFit="1" customWidth="1"/>
    <col min="9" max="9" width="10" bestFit="1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27</v>
      </c>
      <c r="G1" t="s">
        <v>28</v>
      </c>
    </row>
    <row r="2" spans="1:9" x14ac:dyDescent="0.25">
      <c r="A2" s="14" t="s">
        <v>29</v>
      </c>
      <c r="B2" t="str">
        <f>IF(OR(LEFT(T_LOCATION[[#This Row],[ProjectID]],4)="J000",LEFT(T_LOCATION[[#This Row],[ProjectID]],4)="R000"),
LEFT(T_LOCATION[[#This Row],[ProjectID]],1)&amp;VALUE(MID(T_LOCATION[[#This Row],[ProjectID]],2,99)),
"")</f>
        <v>J19</v>
      </c>
      <c r="C2" t="s">
        <v>30</v>
      </c>
      <c r="D2" t="str">
        <f>_xlfn.TEXTJOIN(" | ", TRUE, T_LOCATION[[#This Row],[ProjectID]], T_LOCATION[[#This Row],[ProjectID Abb]], T_LOCATION[[#This Row],[ProjectName]])</f>
        <v>J00000019 | J19 | Galfar - Habshan &amp; ASAB</v>
      </c>
      <c r="G2" s="4" t="s">
        <v>31</v>
      </c>
      <c r="H2" s="3"/>
    </row>
    <row r="3" spans="1:9" x14ac:dyDescent="0.25">
      <c r="A3" s="14" t="s">
        <v>32</v>
      </c>
      <c r="B3" t="str">
        <f>IF(OR(LEFT(T_LOCATION[[#This Row],[ProjectID]],4)="J000",LEFT(T_LOCATION[[#This Row],[ProjectID]],4)="R000"),
LEFT(T_LOCATION[[#This Row],[ProjectID]],1)&amp;VALUE(MID(T_LOCATION[[#This Row],[ProjectID]],2,99)),
"")</f>
        <v>J44</v>
      </c>
      <c r="D3" t="str">
        <f>_xlfn.TEXTJOIN(" | ", TRUE, T_LOCATION[[#This Row],[ProjectID]], T_LOCATION[[#This Row],[ProjectID Abb]], T_LOCATION[[#This Row],[ProjectName]])</f>
        <v>J00000044 | J44</v>
      </c>
    </row>
    <row r="4" spans="1:9" x14ac:dyDescent="0.25">
      <c r="A4" s="14" t="s">
        <v>33</v>
      </c>
      <c r="B4" t="str">
        <f>IF(OR(LEFT(T_LOCATION[[#This Row],[ProjectID]],4)="J000",LEFT(T_LOCATION[[#This Row],[ProjectID]],4)="R000"),
LEFT(T_LOCATION[[#This Row],[ProjectID]],1)&amp;VALUE(MID(T_LOCATION[[#This Row],[ProjectID]],2,99)),
"")</f>
        <v>J46</v>
      </c>
      <c r="C4" t="s">
        <v>34</v>
      </c>
      <c r="D4" t="str">
        <f>_xlfn.TEXTJOIN(" | ", TRUE, T_LOCATION[[#This Row],[ProjectID]], T_LOCATION[[#This Row],[ProjectID Abb]], T_LOCATION[[#This Row],[ProjectName]])</f>
        <v>J00000046 | J46 | RAK Precast - Ras Al Khaimah FZ</v>
      </c>
      <c r="G4" s="12" t="s">
        <v>211</v>
      </c>
      <c r="H4" s="13" t="s">
        <v>1290</v>
      </c>
      <c r="I4" s="13" t="s">
        <v>212</v>
      </c>
    </row>
    <row r="5" spans="1:9" x14ac:dyDescent="0.25">
      <c r="A5" s="14" t="s">
        <v>35</v>
      </c>
      <c r="B5" t="str">
        <f>IF(OR(LEFT(T_LOCATION[[#This Row],[ProjectID]],4)="J000",LEFT(T_LOCATION[[#This Row],[ProjectID]],4)="R000"),
LEFT(T_LOCATION[[#This Row],[ProjectID]],1)&amp;VALUE(MID(T_LOCATION[[#This Row],[ProjectID]],2,99)),
"")</f>
        <v>J47</v>
      </c>
      <c r="C5" t="s">
        <v>36</v>
      </c>
      <c r="D5" t="str">
        <f>_xlfn.TEXTJOIN(" | ", TRUE, T_LOCATION[[#This Row],[ProjectID]], T_LOCATION[[#This Row],[ProjectID Abb]], T_LOCATION[[#This Row],[ProjectName]])</f>
        <v>J00000047 | J47 | AMS220</v>
      </c>
    </row>
    <row r="6" spans="1:9" x14ac:dyDescent="0.25">
      <c r="A6" s="14" t="s">
        <v>37</v>
      </c>
      <c r="B6" t="str">
        <f>IF(OR(LEFT(T_LOCATION[[#This Row],[ProjectID]],4)="J000",LEFT(T_LOCATION[[#This Row],[ProjectID]],4)="R000"),
LEFT(T_LOCATION[[#This Row],[ProjectID]],1)&amp;VALUE(MID(T_LOCATION[[#This Row],[ProjectID]],2,99)),
"")</f>
        <v>J71</v>
      </c>
      <c r="C6" t="s">
        <v>38</v>
      </c>
      <c r="D6" t="str">
        <f>_xlfn.TEXTJOIN(" | ", TRUE, T_LOCATION[[#This Row],[ProjectID]], T_LOCATION[[#This Row],[ProjectID Abb]], T_LOCATION[[#This Row],[ProjectName]])</f>
        <v>J00000071 | J71 | Robt. Stone - Habshan</v>
      </c>
    </row>
    <row r="7" spans="1:9" x14ac:dyDescent="0.25">
      <c r="A7" s="14" t="s">
        <v>39</v>
      </c>
      <c r="B7" t="str">
        <f>IF(OR(LEFT(T_LOCATION[[#This Row],[ProjectID]],4)="J000",LEFT(T_LOCATION[[#This Row],[ProjectID]],4)="R000"),
LEFT(T_LOCATION[[#This Row],[ProjectID]],1)&amp;VALUE(MID(T_LOCATION[[#This Row],[ProjectID]],2,99)),
"")</f>
        <v>J102</v>
      </c>
      <c r="C7" t="s">
        <v>40</v>
      </c>
      <c r="D7" t="str">
        <f>_xlfn.TEXTJOIN(" | ", TRUE, T_LOCATION[[#This Row],[ProjectID]], T_LOCATION[[#This Row],[ProjectID Abb]], T_LOCATION[[#This Row],[ProjectName]])</f>
        <v>J00000102 | J102 | OFCO - Mina Free Port</v>
      </c>
    </row>
    <row r="8" spans="1:9" x14ac:dyDescent="0.25">
      <c r="A8" s="14" t="s">
        <v>41</v>
      </c>
      <c r="B8" t="str">
        <f>IF(OR(LEFT(T_LOCATION[[#This Row],[ProjectID]],4)="J000",LEFT(T_LOCATION[[#This Row],[ProjectID]],4)="R000"),
LEFT(T_LOCATION[[#This Row],[ProjectID]],1)&amp;VALUE(MID(T_LOCATION[[#This Row],[ProjectID]],2,99)),
"")</f>
        <v>J114</v>
      </c>
      <c r="C8" t="s">
        <v>42</v>
      </c>
      <c r="D8" t="str">
        <f>_xlfn.TEXTJOIN(" | ", TRUE, T_LOCATION[[#This Row],[ProjectID]], T_LOCATION[[#This Row],[ProjectID Abb]], T_LOCATION[[#This Row],[ProjectName]])</f>
        <v>J00000114 | J114 | ADNOC LS - UZ and S</v>
      </c>
    </row>
    <row r="9" spans="1:9" x14ac:dyDescent="0.25">
      <c r="A9" s="14" t="s">
        <v>43</v>
      </c>
      <c r="B9" t="str">
        <f>IF(OR(LEFT(T_LOCATION[[#This Row],[ProjectID]],4)="J000",LEFT(T_LOCATION[[#This Row],[ProjectID]],4)="R000"),
LEFT(T_LOCATION[[#This Row],[ProjectID]],1)&amp;VALUE(MID(T_LOCATION[[#This Row],[ProjectID]],2,99)),
"")</f>
        <v>J150</v>
      </c>
      <c r="C9" t="s">
        <v>44</v>
      </c>
      <c r="D9" t="str">
        <f>_xlfn.TEXTJOIN(" | ", TRUE, T_LOCATION[[#This Row],[ProjectID]], T_LOCATION[[#This Row],[ProjectID Abb]], T_LOCATION[[#This Row],[ProjectName]])</f>
        <v>J00000150 | J150 | Target Engineering - Arzanah Island</v>
      </c>
    </row>
    <row r="10" spans="1:9" x14ac:dyDescent="0.25">
      <c r="A10" s="14" t="s">
        <v>45</v>
      </c>
      <c r="B10" t="str">
        <f>IF(OR(LEFT(T_LOCATION[[#This Row],[ProjectID]],4)="J000",LEFT(T_LOCATION[[#This Row],[ProjectID]],4)="R000"),
LEFT(T_LOCATION[[#This Row],[ProjectID]],1)&amp;VALUE(MID(T_LOCATION[[#This Row],[ProjectID]],2,99)),
"")</f>
        <v>J158</v>
      </c>
      <c r="C10" t="s">
        <v>46</v>
      </c>
      <c r="D10" t="str">
        <f>_xlfn.TEXTJOIN(" | ", TRUE, T_LOCATION[[#This Row],[ProjectID]], T_LOCATION[[#This Row],[ProjectID Abb]], T_LOCATION[[#This Row],[ProjectName]])</f>
        <v>J00000158 | J158 | NMDC - SIR BANIYAS BRIDGE WORKS PROJECT</v>
      </c>
    </row>
    <row r="11" spans="1:9" x14ac:dyDescent="0.25">
      <c r="A11" s="14" t="s">
        <v>47</v>
      </c>
      <c r="B11" t="str">
        <f>IF(OR(LEFT(T_LOCATION[[#This Row],[ProjectID]],4)="J000",LEFT(T_LOCATION[[#This Row],[ProjectID]],4)="R000"),
LEFT(T_LOCATION[[#This Row],[ProjectID]],1)&amp;VALUE(MID(T_LOCATION[[#This Row],[ProjectID]],2,99)),
"")</f>
        <v>J161</v>
      </c>
      <c r="C11" t="s">
        <v>48</v>
      </c>
      <c r="D11" t="str">
        <f>_xlfn.TEXTJOIN(" | ", TRUE, T_LOCATION[[#This Row],[ProjectID]], T_LOCATION[[#This Row],[ProjectID Abb]], T_LOCATION[[#This Row],[ProjectName]])</f>
        <v>J00000161 | J161 | NMDC - Hudariyat</v>
      </c>
    </row>
    <row r="12" spans="1:9" x14ac:dyDescent="0.25">
      <c r="A12" s="14" t="s">
        <v>49</v>
      </c>
      <c r="B12" t="str">
        <f>IF(OR(LEFT(T_LOCATION[[#This Row],[ProjectID]],4)="J000",LEFT(T_LOCATION[[#This Row],[ProjectID]],4)="R000"),
LEFT(T_LOCATION[[#This Row],[ProjectID]],1)&amp;VALUE(MID(T_LOCATION[[#This Row],[ProjectID]],2,99)),
"")</f>
        <v>J174</v>
      </c>
      <c r="C12" t="s">
        <v>50</v>
      </c>
      <c r="D12" t="str">
        <f>_xlfn.TEXTJOIN(" | ", TRUE, T_LOCATION[[#This Row],[ProjectID]], T_LOCATION[[#This Row],[ProjectID Abb]], T_LOCATION[[#This Row],[ProjectName]])</f>
        <v>J00000174 | J174 | NSH - Borouge 4</v>
      </c>
    </row>
    <row r="13" spans="1:9" x14ac:dyDescent="0.25">
      <c r="A13" s="14" t="s">
        <v>51</v>
      </c>
      <c r="B13" t="str">
        <f>IF(OR(LEFT(T_LOCATION[[#This Row],[ProjectID]],4)="J000",LEFT(T_LOCATION[[#This Row],[ProjectID]],4)="R000"),
LEFT(T_LOCATION[[#This Row],[ProjectID]],1)&amp;VALUE(MID(T_LOCATION[[#This Row],[ProjectID]],2,99)),
"")</f>
        <v>J186</v>
      </c>
      <c r="C13" t="s">
        <v>52</v>
      </c>
      <c r="D13" t="str">
        <f>_xlfn.TEXTJOIN(" | ", TRUE, T_LOCATION[[#This Row],[ProjectID]], T_LOCATION[[#This Row],[ProjectID Abb]], T_LOCATION[[#This Row],[ProjectName]])</f>
        <v>J00000186 | J186 | NPCC - Musaffah Yard 300Te</v>
      </c>
    </row>
    <row r="14" spans="1:9" x14ac:dyDescent="0.25">
      <c r="A14" s="14" t="s">
        <v>53</v>
      </c>
      <c r="B14" t="str">
        <f>IF(OR(LEFT(T_LOCATION[[#This Row],[ProjectID]],4)="J000",LEFT(T_LOCATION[[#This Row],[ProjectID]],4)="R000"),
LEFT(T_LOCATION[[#This Row],[ProjectID]],1)&amp;VALUE(MID(T_LOCATION[[#This Row],[ProjectID]],2,99)),
"")</f>
        <v>J191</v>
      </c>
      <c r="C14" t="s">
        <v>54</v>
      </c>
      <c r="D14" t="str">
        <f>_xlfn.TEXTJOIN(" | ", TRUE, T_LOCATION[[#This Row],[ProjectID]], T_LOCATION[[#This Row],[ProjectID Abb]], T_LOCATION[[#This Row],[ProjectName]])</f>
        <v>J00000191 | J191 | NMDC - Al Yasat Isl. 280Te</v>
      </c>
    </row>
    <row r="15" spans="1:9" x14ac:dyDescent="0.25">
      <c r="A15" s="14" t="s">
        <v>55</v>
      </c>
      <c r="B15" t="str">
        <f>IF(OR(LEFT(T_LOCATION[[#This Row],[ProjectID]],4)="J000",LEFT(T_LOCATION[[#This Row],[ProjectID]],4)="R000"),
LEFT(T_LOCATION[[#This Row],[ProjectID]],1)&amp;VALUE(MID(T_LOCATION[[#This Row],[ProjectID]],2,99)),
"")</f>
        <v>J195</v>
      </c>
      <c r="C15" t="s">
        <v>56</v>
      </c>
      <c r="D15" t="str">
        <f>_xlfn.TEXTJOIN(" | ", TRUE, T_LOCATION[[#This Row],[ProjectID]], T_LOCATION[[#This Row],[ProjectID Abb]], T_LOCATION[[#This Row],[ProjectName]])</f>
        <v>J00000195 | J195 | Penta Global - Zirku Island</v>
      </c>
    </row>
    <row r="16" spans="1:9" x14ac:dyDescent="0.25">
      <c r="A16" s="14" t="s">
        <v>57</v>
      </c>
      <c r="B16" t="str">
        <f>IF(OR(LEFT(T_LOCATION[[#This Row],[ProjectID]],4)="J000",LEFT(T_LOCATION[[#This Row],[ProjectID]],4)="R000"),
LEFT(T_LOCATION[[#This Row],[ProjectID]],1)&amp;VALUE(MID(T_LOCATION[[#This Row],[ProjectID]],2,99)),
"")</f>
        <v>J196</v>
      </c>
      <c r="C16" t="s">
        <v>58</v>
      </c>
      <c r="D16" t="str">
        <f>_xlfn.TEXTJOIN(" | ", TRUE, T_LOCATION[[#This Row],[ProjectID]], T_LOCATION[[#This Row],[ProjectID Abb]], T_LOCATION[[#This Row],[ProjectName]])</f>
        <v>J00000196 | J196 | Adnoc Drilling - Asseifiya Island</v>
      </c>
    </row>
    <row r="17" spans="1:4" x14ac:dyDescent="0.25">
      <c r="A17" s="14" t="s">
        <v>59</v>
      </c>
      <c r="B17" t="str">
        <f>IF(OR(LEFT(T_LOCATION[[#This Row],[ProjectID]],4)="J000",LEFT(T_LOCATION[[#This Row],[ProjectID]],4)="R000"),
LEFT(T_LOCATION[[#This Row],[ProjectID]],1)&amp;VALUE(MID(T_LOCATION[[#This Row],[ProjectID]],2,99)),
"")</f>
        <v>J197</v>
      </c>
      <c r="C17" t="s">
        <v>60</v>
      </c>
      <c r="D17" t="str">
        <f>_xlfn.TEXTJOIN(" | ", TRUE, T_LOCATION[[#This Row],[ProjectID]], T_LOCATION[[#This Row],[ProjectID Abb]], T_LOCATION[[#This Row],[ProjectName]])</f>
        <v>J00000197 | J197 | NMDC - Taweelah Ramhan Project</v>
      </c>
    </row>
    <row r="18" spans="1:4" x14ac:dyDescent="0.25">
      <c r="A18" s="14" t="s">
        <v>61</v>
      </c>
      <c r="B18" t="str">
        <f>IF(OR(LEFT(T_LOCATION[[#This Row],[ProjectID]],4)="J000",LEFT(T_LOCATION[[#This Row],[ProjectID]],4)="R000"),
LEFT(T_LOCATION[[#This Row],[ProjectID]],1)&amp;VALUE(MID(T_LOCATION[[#This Row],[ProjectID]],2,99)),
"")</f>
        <v>J201</v>
      </c>
      <c r="C18" t="s">
        <v>62</v>
      </c>
      <c r="D18" t="str">
        <f>_xlfn.TEXTJOIN(" | ", TRUE, T_LOCATION[[#This Row],[ProjectID]], T_LOCATION[[#This Row],[ProjectID Abb]], T_LOCATION[[#This Row],[ProjectName]])</f>
        <v>J00000201 | J201 | Motor Way General Transport - Mussafah onshore</v>
      </c>
    </row>
    <row r="19" spans="1:4" x14ac:dyDescent="0.25">
      <c r="A19" s="14" t="s">
        <v>63</v>
      </c>
      <c r="B19" t="str">
        <f>IF(OR(LEFT(T_LOCATION[[#This Row],[ProjectID]],4)="J000",LEFT(T_LOCATION[[#This Row],[ProjectID]],4)="R000"),
LEFT(T_LOCATION[[#This Row],[ProjectID]],1)&amp;VALUE(MID(T_LOCATION[[#This Row],[ProjectID]],2,99)),
"")</f>
        <v>J204</v>
      </c>
      <c r="C19" t="s">
        <v>64</v>
      </c>
      <c r="D19" t="str">
        <f>_xlfn.TEXTJOIN(" | ", TRUE, T_LOCATION[[#This Row],[ProjectID]], T_LOCATION[[#This Row],[ProjectID Abb]], T_LOCATION[[#This Row],[ProjectName]])</f>
        <v>J00000204 | J204 | ST JV - Guggenheim Abu Dhabi</v>
      </c>
    </row>
    <row r="20" spans="1:4" x14ac:dyDescent="0.25">
      <c r="A20" s="14" t="s">
        <v>65</v>
      </c>
      <c r="B20" t="str">
        <f>IF(OR(LEFT(T_LOCATION[[#This Row],[ProjectID]],4)="J000",LEFT(T_LOCATION[[#This Row],[ProjectID]],4)="R000"),
LEFT(T_LOCATION[[#This Row],[ProjectID]],1)&amp;VALUE(MID(T_LOCATION[[#This Row],[ProjectID]],2,99)),
"")</f>
        <v>J211</v>
      </c>
      <c r="C20" t="s">
        <v>66</v>
      </c>
      <c r="D20" t="str">
        <f>_xlfn.TEXTJOIN(" | ", TRUE, T_LOCATION[[#This Row],[ProjectID]], T_LOCATION[[#This Row],[ProjectID Abb]], T_LOCATION[[#This Row],[ProjectName]])</f>
        <v>J00000211 | J211 | Adnoc Drilling - Liwa</v>
      </c>
    </row>
    <row r="21" spans="1:4" x14ac:dyDescent="0.25">
      <c r="A21" s="14" t="s">
        <v>67</v>
      </c>
      <c r="B21" t="str">
        <f>IF(OR(LEFT(T_LOCATION[[#This Row],[ProjectID]],4)="J000",LEFT(T_LOCATION[[#This Row],[ProjectID]],4)="R000"),
LEFT(T_LOCATION[[#This Row],[ProjectID]],1)&amp;VALUE(MID(T_LOCATION[[#This Row],[ProjectID]],2,99)),
"")</f>
        <v>J213</v>
      </c>
      <c r="C21" t="s">
        <v>68</v>
      </c>
      <c r="D21" t="str">
        <f>_xlfn.TEXTJOIN(" | ", TRUE, T_LOCATION[[#This Row],[ProjectID]], T_LOCATION[[#This Row],[ProjectID Abb]], T_LOCATION[[#This Row],[ProjectName]])</f>
        <v>J00000213 | J213 | Ali &amp; Sons - ASMEF Yard</v>
      </c>
    </row>
    <row r="22" spans="1:4" x14ac:dyDescent="0.25">
      <c r="A22" s="14" t="s">
        <v>69</v>
      </c>
      <c r="B22" t="str">
        <f>IF(OR(LEFT(T_LOCATION[[#This Row],[ProjectID]],4)="J000",LEFT(T_LOCATION[[#This Row],[ProjectID]],4)="R000"),
LEFT(T_LOCATION[[#This Row],[ProjectID]],1)&amp;VALUE(MID(T_LOCATION[[#This Row],[ProjectID]],2,99)),
"")</f>
        <v>J218</v>
      </c>
      <c r="C22" t="s">
        <v>70</v>
      </c>
      <c r="D22" t="str">
        <f>_xlfn.TEXTJOIN(" | ", TRUE, T_LOCATION[[#This Row],[ProjectID]], T_LOCATION[[#This Row],[ProjectID Abb]], T_LOCATION[[#This Row],[ProjectName]])</f>
        <v>J00000218 | J218 | Denholm YSF - INEOS Project ICAD</v>
      </c>
    </row>
    <row r="23" spans="1:4" x14ac:dyDescent="0.25">
      <c r="A23" s="14" t="s">
        <v>71</v>
      </c>
      <c r="B23" t="str">
        <f>IF(OR(LEFT(T_LOCATION[[#This Row],[ProjectID]],4)="J000",LEFT(T_LOCATION[[#This Row],[ProjectID]],4)="R000"),
LEFT(T_LOCATION[[#This Row],[ProjectID]],1)&amp;VALUE(MID(T_LOCATION[[#This Row],[ProjectID]],2,99)),
"")</f>
        <v>J224</v>
      </c>
      <c r="C23" t="s">
        <v>72</v>
      </c>
      <c r="D23" t="str">
        <f>_xlfn.TEXTJOIN(" | ", TRUE, T_LOCATION[[#This Row],[ProjectID]], T_LOCATION[[#This Row],[ProjectID Abb]], T_LOCATION[[#This Row],[ProjectName]])</f>
        <v>J00000224 | J224 | NBTC - Borouge</v>
      </c>
    </row>
    <row r="24" spans="1:4" x14ac:dyDescent="0.25">
      <c r="A24" s="14" t="s">
        <v>73</v>
      </c>
      <c r="B24" t="str">
        <f>IF(OR(LEFT(T_LOCATION[[#This Row],[ProjectID]],4)="J000",LEFT(T_LOCATION[[#This Row],[ProjectID]],4)="R000"),
LEFT(T_LOCATION[[#This Row],[ProjectID]],1)&amp;VALUE(MID(T_LOCATION[[#This Row],[ProjectID]],2,99)),
"")</f>
        <v>J225</v>
      </c>
      <c r="C24" t="s">
        <v>74</v>
      </c>
      <c r="D24" t="str">
        <f>_xlfn.TEXTJOIN(" | ", TRUE, T_LOCATION[[#This Row],[ProjectID]], T_LOCATION[[#This Row],[ProjectID Abb]], T_LOCATION[[#This Row],[ProjectName]])</f>
        <v>J00000225 | J225 | Denholm Yam - Borouge Ruwais</v>
      </c>
    </row>
    <row r="25" spans="1:4" x14ac:dyDescent="0.25">
      <c r="A25" s="14" t="s">
        <v>75</v>
      </c>
      <c r="B25" t="str">
        <f>IF(OR(LEFT(T_LOCATION[[#This Row],[ProjectID]],4)="J000",LEFT(T_LOCATION[[#This Row],[ProjectID]],4)="R000"),
LEFT(T_LOCATION[[#This Row],[ProjectID]],1)&amp;VALUE(MID(T_LOCATION[[#This Row],[ProjectID]],2,99)),
"")</f>
        <v>J229</v>
      </c>
      <c r="C25" t="s">
        <v>76</v>
      </c>
      <c r="D25" t="str">
        <f>_xlfn.TEXTJOIN(" | ", TRUE, T_LOCATION[[#This Row],[ProjectID]], T_LOCATION[[#This Row],[ProjectID Abb]], T_LOCATION[[#This Row],[ProjectName]])</f>
        <v>J00000229 | J229 | AMS BU135 - Internal rental</v>
      </c>
    </row>
    <row r="26" spans="1:4" x14ac:dyDescent="0.25">
      <c r="A26" s="14" t="s">
        <v>77</v>
      </c>
      <c r="B26" t="str">
        <f>IF(OR(LEFT(T_LOCATION[[#This Row],[ProjectID]],4)="J000",LEFT(T_LOCATION[[#This Row],[ProjectID]],4)="R000"),
LEFT(T_LOCATION[[#This Row],[ProjectID]],1)&amp;VALUE(MID(T_LOCATION[[#This Row],[ProjectID]],2,99)),
"")</f>
        <v>J230</v>
      </c>
      <c r="C26" t="s">
        <v>78</v>
      </c>
      <c r="D26" t="str">
        <f>_xlfn.TEXTJOIN(" | ", TRUE, T_LOCATION[[#This Row],[ProjectID]], T_LOCATION[[#This Row],[ProjectID Abb]], T_LOCATION[[#This Row],[ProjectName]])</f>
        <v>J00000230 | J230 | Motorway - Hail &amp; Gasha</v>
      </c>
    </row>
    <row r="27" spans="1:4" x14ac:dyDescent="0.25">
      <c r="A27" s="14" t="s">
        <v>79</v>
      </c>
      <c r="B27" t="str">
        <f>IF(OR(LEFT(T_LOCATION[[#This Row],[ProjectID]],4)="J000",LEFT(T_LOCATION[[#This Row],[ProjectID]],4)="R000"),
LEFT(T_LOCATION[[#This Row],[ProjectID]],1)&amp;VALUE(MID(T_LOCATION[[#This Row],[ProjectID]],2,99)),
"")</f>
        <v>J235</v>
      </c>
      <c r="C27" t="s">
        <v>80</v>
      </c>
      <c r="D27" t="str">
        <f>_xlfn.TEXTJOIN(" | ", TRUE, T_LOCATION[[#This Row],[ProjectID]], T_LOCATION[[#This Row],[ProjectID Abb]], T_LOCATION[[#This Row],[ProjectName]])</f>
        <v>J00000235 | J235 | Alas - Precast</v>
      </c>
    </row>
    <row r="28" spans="1:4" x14ac:dyDescent="0.25">
      <c r="A28" s="14" t="s">
        <v>81</v>
      </c>
      <c r="B28" t="str">
        <f>IF(OR(LEFT(T_LOCATION[[#This Row],[ProjectID]],4)="J000",LEFT(T_LOCATION[[#This Row],[ProjectID]],4)="R000"),
LEFT(T_LOCATION[[#This Row],[ProjectID]],1)&amp;VALUE(MID(T_LOCATION[[#This Row],[ProjectID]],2,99)),
"")</f>
        <v>J237</v>
      </c>
      <c r="C28" t="s">
        <v>82</v>
      </c>
      <c r="D28" t="str">
        <f>_xlfn.TEXTJOIN(" | ", TRUE, T_LOCATION[[#This Row],[ProjectID]], T_LOCATION[[#This Row],[ProjectID Abb]], T_LOCATION[[#This Row],[ProjectName]])</f>
        <v>J00000237 | J237 | OFCO - Mugharraq Port</v>
      </c>
    </row>
    <row r="29" spans="1:4" x14ac:dyDescent="0.25">
      <c r="A29" s="14" t="s">
        <v>83</v>
      </c>
      <c r="B29" t="str">
        <f>IF(OR(LEFT(T_LOCATION[[#This Row],[ProjectID]],4)="J000",LEFT(T_LOCATION[[#This Row],[ProjectID]],4)="R000"),
LEFT(T_LOCATION[[#This Row],[ProjectID]],1)&amp;VALUE(MID(T_LOCATION[[#This Row],[ProjectID]],2,99)),
"")</f>
        <v>J241</v>
      </c>
      <c r="C29" t="s">
        <v>84</v>
      </c>
      <c r="D29" t="str">
        <f>_xlfn.TEXTJOIN(" | ", TRUE, T_LOCATION[[#This Row],[ProjectID]], T_LOCATION[[#This Row],[ProjectID Abb]], T_LOCATION[[#This Row],[ProjectName]])</f>
        <v>J00000241 | J241 | Jan De Nul Dredging - Lightning Project</v>
      </c>
    </row>
    <row r="30" spans="1:4" x14ac:dyDescent="0.25">
      <c r="A30" s="14" t="s">
        <v>85</v>
      </c>
      <c r="B30" t="str">
        <f>IF(OR(LEFT(T_LOCATION[[#This Row],[ProjectID]],4)="J000",LEFT(T_LOCATION[[#This Row],[ProjectID]],4)="R000"),
LEFT(T_LOCATION[[#This Row],[ProjectID]],1)&amp;VALUE(MID(T_LOCATION[[#This Row],[ProjectID]],2,99)),
"")</f>
        <v>J243</v>
      </c>
      <c r="C30" t="s">
        <v>86</v>
      </c>
      <c r="D30" t="str">
        <f>_xlfn.TEXTJOIN(" | ", TRUE, T_LOCATION[[#This Row],[ProjectID]], T_LOCATION[[#This Row],[ProjectID Abb]], T_LOCATION[[#This Row],[ProjectName]])</f>
        <v>J00000243 | J243 | Denholm Yam - Hail &amp; Gasha Onshore</v>
      </c>
    </row>
    <row r="31" spans="1:4" x14ac:dyDescent="0.25">
      <c r="A31" s="14" t="s">
        <v>87</v>
      </c>
      <c r="B31" t="str">
        <f>IF(OR(LEFT(T_LOCATION[[#This Row],[ProjectID]],4)="J000",LEFT(T_LOCATION[[#This Row],[ProjectID]],4)="R000"),
LEFT(T_LOCATION[[#This Row],[ProjectID]],1)&amp;VALUE(MID(T_LOCATION[[#This Row],[ProjectID]],2,99)),
"")</f>
        <v>J244</v>
      </c>
      <c r="C31" t="s">
        <v>88</v>
      </c>
      <c r="D31" t="str">
        <f>_xlfn.TEXTJOIN(" | ", TRUE, T_LOCATION[[#This Row],[ProjectID]], T_LOCATION[[#This Row],[ProjectID Abb]], T_LOCATION[[#This Row],[ProjectName]])</f>
        <v>J00000244 | J244 | Jan De Nul Dredging - Omairah Island</v>
      </c>
    </row>
    <row r="32" spans="1:4" x14ac:dyDescent="0.25">
      <c r="A32" s="14" t="s">
        <v>89</v>
      </c>
      <c r="B32" t="str">
        <f>IF(OR(LEFT(T_LOCATION[[#This Row],[ProjectID]],4)="J000",LEFT(T_LOCATION[[#This Row],[ProjectID]],4)="R000"),
LEFT(T_LOCATION[[#This Row],[ProjectID]],1)&amp;VALUE(MID(T_LOCATION[[#This Row],[ProjectID]],2,99)),
"")</f>
        <v>J246</v>
      </c>
      <c r="C32" t="s">
        <v>90</v>
      </c>
      <c r="D32" t="str">
        <f>_xlfn.TEXTJOIN(" | ", TRUE, T_LOCATION[[#This Row],[ProjectID]], T_LOCATION[[#This Row],[ProjectID Abb]], T_LOCATION[[#This Row],[ProjectName]])</f>
        <v>J00000246 | J246 | Jan De Nul Dredging - Dubai Water Front</v>
      </c>
    </row>
    <row r="33" spans="1:4" x14ac:dyDescent="0.25">
      <c r="A33" s="14" t="s">
        <v>91</v>
      </c>
      <c r="B33" t="str">
        <f>IF(OR(LEFT(T_LOCATION[[#This Row],[ProjectID]],4)="J000",LEFT(T_LOCATION[[#This Row],[ProjectID]],4)="R000"),
LEFT(T_LOCATION[[#This Row],[ProjectID]],1)&amp;VALUE(MID(T_LOCATION[[#This Row],[ProjectID]],2,99)),
"")</f>
        <v>J248</v>
      </c>
      <c r="C33" t="s">
        <v>92</v>
      </c>
      <c r="D33" t="str">
        <f>_xlfn.TEXTJOIN(" | ", TRUE, T_LOCATION[[#This Row],[ProjectID]], T_LOCATION[[#This Row],[ProjectID Abb]], T_LOCATION[[#This Row],[ProjectName]])</f>
        <v>J00000248 | J248 | NSH - Hail &amp; Gasha Onshore</v>
      </c>
    </row>
    <row r="34" spans="1:4" x14ac:dyDescent="0.25">
      <c r="A34" s="14" t="s">
        <v>93</v>
      </c>
      <c r="B34" t="str">
        <f>IF(OR(LEFT(T_LOCATION[[#This Row],[ProjectID]],4)="J000",LEFT(T_LOCATION[[#This Row],[ProjectID]],4)="R000"),
LEFT(T_LOCATION[[#This Row],[ProjectID]],1)&amp;VALUE(MID(T_LOCATION[[#This Row],[ProjectID]],2,99)),
"")</f>
        <v>J251</v>
      </c>
      <c r="C34" t="s">
        <v>94</v>
      </c>
      <c r="D34" t="str">
        <f>_xlfn.TEXTJOIN(" | ", TRUE, T_LOCATION[[#This Row],[ProjectID]], T_LOCATION[[#This Row],[ProjectID Abb]], T_LOCATION[[#This Row],[ProjectName]])</f>
        <v>J00000251 | J251 | ALAS - IMCC Yard</v>
      </c>
    </row>
    <row r="35" spans="1:4" x14ac:dyDescent="0.25">
      <c r="A35" s="14" t="s">
        <v>95</v>
      </c>
      <c r="B35" t="str">
        <f>IF(OR(LEFT(T_LOCATION[[#This Row],[ProjectID]],4)="J000",LEFT(T_LOCATION[[#This Row],[ProjectID]],4)="R000"),
LEFT(T_LOCATION[[#This Row],[ProjectID]],1)&amp;VALUE(MID(T_LOCATION[[#This Row],[ProjectID]],2,99)),
"")</f>
        <v>J252</v>
      </c>
      <c r="C35" t="s">
        <v>96</v>
      </c>
      <c r="D35" t="str">
        <f>_xlfn.TEXTJOIN(" | ", TRUE, T_LOCATION[[#This Row],[ProjectID]], T_LOCATION[[#This Row],[ProjectID Abb]], T_LOCATION[[#This Row],[ProjectName]])</f>
        <v>J00000252 | J252 | Dhafir Technologies - Zirku Island</v>
      </c>
    </row>
    <row r="36" spans="1:4" x14ac:dyDescent="0.25">
      <c r="A36" s="14" t="s">
        <v>97</v>
      </c>
      <c r="B36" t="str">
        <f>IF(OR(LEFT(T_LOCATION[[#This Row],[ProjectID]],4)="J000",LEFT(T_LOCATION[[#This Row],[ProjectID]],4)="R000"),
LEFT(T_LOCATION[[#This Row],[ProjectID]],1)&amp;VALUE(MID(T_LOCATION[[#This Row],[ProjectID]],2,99)),
"")</f>
        <v>J253</v>
      </c>
      <c r="C36" t="s">
        <v>98</v>
      </c>
      <c r="D36" t="str">
        <f>_xlfn.TEXTJOIN(" | ", TRUE, T_LOCATION[[#This Row],[ProjectID]], T_LOCATION[[#This Row],[ProjectID Abb]], T_LOCATION[[#This Row],[ProjectName]])</f>
        <v>J00000253 | J253 | TWMA - Gasha DC06 - Seebah Island</v>
      </c>
    </row>
    <row r="37" spans="1:4" x14ac:dyDescent="0.25">
      <c r="A37" s="14" t="s">
        <v>99</v>
      </c>
      <c r="B37" t="str">
        <f>IF(OR(LEFT(T_LOCATION[[#This Row],[ProjectID]],4)="J000",LEFT(T_LOCATION[[#This Row],[ProjectID]],4)="R000"),
LEFT(T_LOCATION[[#This Row],[ProjectID]],1)&amp;VALUE(MID(T_LOCATION[[#This Row],[ProjectID]],2,99)),
"")</f>
        <v>J254</v>
      </c>
      <c r="C37" t="s">
        <v>100</v>
      </c>
      <c r="D37" t="str">
        <f>_xlfn.TEXTJOIN(" | ", TRUE, T_LOCATION[[#This Row],[ProjectID]], T_LOCATION[[#This Row],[ProjectID Abb]], T_LOCATION[[#This Row],[ProjectName]])</f>
        <v>J00000254 | J254 | TWMA - Assifiya Island</v>
      </c>
    </row>
    <row r="38" spans="1:4" x14ac:dyDescent="0.25">
      <c r="A38" s="14" t="s">
        <v>101</v>
      </c>
      <c r="B38" t="str">
        <f>IF(OR(LEFT(T_LOCATION[[#This Row],[ProjectID]],4)="J000",LEFT(T_LOCATION[[#This Row],[ProjectID]],4)="R000"),
LEFT(T_LOCATION[[#This Row],[ProjectID]],1)&amp;VALUE(MID(T_LOCATION[[#This Row],[ProjectID]],2,99)),
"")</f>
        <v>J256</v>
      </c>
      <c r="C38" t="s">
        <v>102</v>
      </c>
      <c r="D38" t="str">
        <f>_xlfn.TEXTJOIN(" | ", TRUE, T_LOCATION[[#This Row],[ProjectID]], T_LOCATION[[#This Row],[ProjectID Abb]], T_LOCATION[[#This Row],[ProjectName]])</f>
        <v>J00000256 | J256 | Denholm Yam - Borouge 4 New Package</v>
      </c>
    </row>
    <row r="39" spans="1:4" x14ac:dyDescent="0.25">
      <c r="A39" s="14" t="s">
        <v>103</v>
      </c>
      <c r="B39" t="str">
        <f>IF(OR(LEFT(T_LOCATION[[#This Row],[ProjectID]],4)="J000",LEFT(T_LOCATION[[#This Row],[ProjectID]],4)="R000"),
LEFT(T_LOCATION[[#This Row],[ProjectID]],1)&amp;VALUE(MID(T_LOCATION[[#This Row],[ProjectID]],2,99)),
"")</f>
        <v>J257</v>
      </c>
      <c r="C39" t="s">
        <v>104</v>
      </c>
      <c r="D39" t="str">
        <f>_xlfn.TEXTJOIN(" | ", TRUE, T_LOCATION[[#This Row],[ProjectID]], T_LOCATION[[#This Row],[ProjectID Abb]], T_LOCATION[[#This Row],[ProjectName]])</f>
        <v>J00000257 | J257 | Turbine - Sas Al Nakhl</v>
      </c>
    </row>
    <row r="40" spans="1:4" x14ac:dyDescent="0.25">
      <c r="A40" s="14" t="s">
        <v>105</v>
      </c>
      <c r="B40" t="str">
        <f>IF(OR(LEFT(T_LOCATION[[#This Row],[ProjectID]],4)="J000",LEFT(T_LOCATION[[#This Row],[ProjectID]],4)="R000"),
LEFT(T_LOCATION[[#This Row],[ProjectID]],1)&amp;VALUE(MID(T_LOCATION[[#This Row],[ProjectID]],2,99)),
"")</f>
        <v>J258</v>
      </c>
      <c r="C40" t="s">
        <v>106</v>
      </c>
      <c r="D40" t="str">
        <f>_xlfn.TEXTJOIN(" | ", TRUE, T_LOCATION[[#This Row],[ProjectID]], T_LOCATION[[#This Row],[ProjectID Abb]], T_LOCATION[[#This Row],[ProjectName]])</f>
        <v>J00000258 | J258 | NMDC - Taziz Landing Project</v>
      </c>
    </row>
    <row r="41" spans="1:4" x14ac:dyDescent="0.25">
      <c r="A41" s="14" t="s">
        <v>107</v>
      </c>
      <c r="B41" t="str">
        <f>IF(OR(LEFT(T_LOCATION[[#This Row],[ProjectID]],4)="J000",LEFT(T_LOCATION[[#This Row],[ProjectID]],4)="R000"),
LEFT(T_LOCATION[[#This Row],[ProjectID]],1)&amp;VALUE(MID(T_LOCATION[[#This Row],[ProjectID]],2,99)),
"")</f>
        <v>J259</v>
      </c>
      <c r="C41" t="s">
        <v>108</v>
      </c>
      <c r="D41" t="str">
        <f>_xlfn.TEXTJOIN(" | ", TRUE, T_LOCATION[[#This Row],[ProjectID]], T_LOCATION[[#This Row],[ProjectID Abb]], T_LOCATION[[#This Row],[ProjectName]])</f>
        <v>J00000259 | J259 | Motor Way - Taziz</v>
      </c>
    </row>
    <row r="42" spans="1:4" x14ac:dyDescent="0.25">
      <c r="A42" s="14" t="s">
        <v>109</v>
      </c>
      <c r="B42" t="str">
        <f>IF(OR(LEFT(T_LOCATION[[#This Row],[ProjectID]],4)="J000",LEFT(T_LOCATION[[#This Row],[ProjectID]],4)="R000"),
LEFT(T_LOCATION[[#This Row],[ProjectID]],1)&amp;VALUE(MID(T_LOCATION[[#This Row],[ProjectID]],2,99)),
"")</f>
        <v>J261</v>
      </c>
      <c r="C42" t="s">
        <v>110</v>
      </c>
      <c r="D42" t="str">
        <f>_xlfn.TEXTJOIN(" | ", TRUE, T_LOCATION[[#This Row],[ProjectID]], T_LOCATION[[#This Row],[ProjectID Abb]], T_LOCATION[[#This Row],[ProjectName]])</f>
        <v>J00000261 | J261 | NMDC - Al Nawras</v>
      </c>
    </row>
    <row r="43" spans="1:4" x14ac:dyDescent="0.25">
      <c r="A43" s="14" t="s">
        <v>111</v>
      </c>
      <c r="B43" t="str">
        <f>IF(OR(LEFT(T_LOCATION[[#This Row],[ProjectID]],4)="J000",LEFT(T_LOCATION[[#This Row],[ProjectID]],4)="R000"),
LEFT(T_LOCATION[[#This Row],[ProjectID]],1)&amp;VALUE(MID(T_LOCATION[[#This Row],[ProjectID]],2,99)),
"")</f>
        <v>J262</v>
      </c>
      <c r="C43" t="s">
        <v>112</v>
      </c>
      <c r="D43" t="str">
        <f>_xlfn.TEXTJOIN(" | ", TRUE, T_LOCATION[[#This Row],[ProjectID]], T_LOCATION[[#This Row],[ProjectID Abb]], T_LOCATION[[#This Row],[ProjectName]])</f>
        <v>J00000262 | J262 | Gulf Ready Mix - Hail &amp; Gasha Onshore</v>
      </c>
    </row>
    <row r="44" spans="1:4" x14ac:dyDescent="0.25">
      <c r="A44" s="14" t="s">
        <v>113</v>
      </c>
      <c r="B44" t="str">
        <f>IF(OR(LEFT(T_LOCATION[[#This Row],[ProjectID]],4)="J000",LEFT(T_LOCATION[[#This Row],[ProjectID]],4)="R000"),
LEFT(T_LOCATION[[#This Row],[ProjectID]],1)&amp;VALUE(MID(T_LOCATION[[#This Row],[ProjectID]],2,99)),
"")</f>
        <v>J263</v>
      </c>
      <c r="C44" t="s">
        <v>114</v>
      </c>
      <c r="D44" t="str">
        <f>_xlfn.TEXTJOIN(" | ", TRUE, T_LOCATION[[#This Row],[ProjectID]], T_LOCATION[[#This Row],[ProjectID Abb]], T_LOCATION[[#This Row],[ProjectName]])</f>
        <v>J00000263 | J263 | Descon Engineering - Habshan 5</v>
      </c>
    </row>
    <row r="45" spans="1:4" x14ac:dyDescent="0.25">
      <c r="A45" s="14" t="s">
        <v>115</v>
      </c>
      <c r="B45" t="str">
        <f>IF(OR(LEFT(T_LOCATION[[#This Row],[ProjectID]],4)="J000",LEFT(T_LOCATION[[#This Row],[ProjectID]],4)="R000"),
LEFT(T_LOCATION[[#This Row],[ProjectID]],1)&amp;VALUE(MID(T_LOCATION[[#This Row],[ProjectID]],2,99)),
"")</f>
        <v>J266</v>
      </c>
      <c r="C45" t="s">
        <v>116</v>
      </c>
      <c r="D45" t="str">
        <f>_xlfn.TEXTJOIN(" | ", TRUE, T_LOCATION[[#This Row],[ProjectID]], T_LOCATION[[#This Row],[ProjectID Abb]], T_LOCATION[[#This Row],[ProjectName]])</f>
        <v>J00000266 | J266 | Motorway - Shah Gas Expansion Project</v>
      </c>
    </row>
    <row r="46" spans="1:4" x14ac:dyDescent="0.25">
      <c r="A46" s="14" t="s">
        <v>117</v>
      </c>
      <c r="B46" t="str">
        <f>IF(OR(LEFT(T_LOCATION[[#This Row],[ProjectID]],4)="J000",LEFT(T_LOCATION[[#This Row],[ProjectID]],4)="R000"),
LEFT(T_LOCATION[[#This Row],[ProjectID]],1)&amp;VALUE(MID(T_LOCATION[[#This Row],[ProjectID]],2,99)),
"")</f>
        <v>J268</v>
      </c>
      <c r="C46" t="s">
        <v>118</v>
      </c>
      <c r="D46" t="str">
        <f>_xlfn.TEXTJOIN(" | ", TRUE, T_LOCATION[[#This Row],[ProjectID]], T_LOCATION[[#This Row],[ProjectID Abb]], T_LOCATION[[#This Row],[ProjectName]])</f>
        <v>J00000268 | J268 | NMDC LTS - LNG – Ruwais</v>
      </c>
    </row>
    <row r="47" spans="1:4" x14ac:dyDescent="0.25">
      <c r="A47" s="14" t="s">
        <v>119</v>
      </c>
      <c r="B47" t="str">
        <f>IF(OR(LEFT(T_LOCATION[[#This Row],[ProjectID]],4)="J000",LEFT(T_LOCATION[[#This Row],[ProjectID]],4)="R000"),
LEFT(T_LOCATION[[#This Row],[ProjectID]],1)&amp;VALUE(MID(T_LOCATION[[#This Row],[ProjectID]],2,99)),
"")</f>
        <v>J269</v>
      </c>
      <c r="C47" t="s">
        <v>120</v>
      </c>
      <c r="D47" t="str">
        <f>_xlfn.TEXTJOIN(" | ", TRUE, T_LOCATION[[#This Row],[ProjectID]], T_LOCATION[[#This Row],[ProjectID Abb]], T_LOCATION[[#This Row],[ProjectName]])</f>
        <v>J00000269 | J269 | NSH - Harvest Ammonia Project</v>
      </c>
    </row>
    <row r="48" spans="1:4" x14ac:dyDescent="0.25">
      <c r="A48" s="14" t="s">
        <v>121</v>
      </c>
      <c r="B48" t="str">
        <f>IF(OR(LEFT(T_LOCATION[[#This Row],[ProjectID]],4)="J000",LEFT(T_LOCATION[[#This Row],[ProjectID]],4)="R000"),
LEFT(T_LOCATION[[#This Row],[ProjectID]],1)&amp;VALUE(MID(T_LOCATION[[#This Row],[ProjectID]],2,99)),
"")</f>
        <v>J270</v>
      </c>
      <c r="C48" t="s">
        <v>122</v>
      </c>
      <c r="D48" t="str">
        <f>_xlfn.TEXTJOIN(" | ", TRUE, T_LOCATION[[#This Row],[ProjectID]], T_LOCATION[[#This Row],[ProjectID Abb]], T_LOCATION[[#This Row],[ProjectName]])</f>
        <v>J00000270 | J270 | Sarens - H&amp;G Ruwais</v>
      </c>
    </row>
    <row r="49" spans="1:4" x14ac:dyDescent="0.25">
      <c r="A49" s="14" t="s">
        <v>123</v>
      </c>
      <c r="B49" t="str">
        <f>IF(OR(LEFT(T_LOCATION[[#This Row],[ProjectID]],4)="J000",LEFT(T_LOCATION[[#This Row],[ProjectID]],4)="R000"),
LEFT(T_LOCATION[[#This Row],[ProjectID]],1)&amp;VALUE(MID(T_LOCATION[[#This Row],[ProjectID]],2,99)),
"")</f>
        <v>J271</v>
      </c>
      <c r="C49" t="s">
        <v>124</v>
      </c>
      <c r="D49" t="str">
        <f>_xlfn.TEXTJOIN(" | ", TRUE, T_LOCATION[[#This Row],[ProjectID]], T_LOCATION[[#This Row],[ProjectID Abb]], T_LOCATION[[#This Row],[ProjectName]])</f>
        <v>J00000271 | J271 | NSH - LNG Project Ruwais</v>
      </c>
    </row>
    <row r="50" spans="1:4" x14ac:dyDescent="0.25">
      <c r="A50" s="14" t="s">
        <v>125</v>
      </c>
      <c r="B50" t="str">
        <f>IF(OR(LEFT(T_LOCATION[[#This Row],[ProjectID]],4)="J000",LEFT(T_LOCATION[[#This Row],[ProjectID]],4)="R000"),
LEFT(T_LOCATION[[#This Row],[ProjectID]],1)&amp;VALUE(MID(T_LOCATION[[#This Row],[ProjectID]],2,99)),
"")</f>
        <v>J272</v>
      </c>
      <c r="C50" t="s">
        <v>126</v>
      </c>
      <c r="D50" t="str">
        <f>_xlfn.TEXTJOIN(" | ", TRUE, T_LOCATION[[#This Row],[ProjectID]], T_LOCATION[[#This Row],[ProjectID Abb]], T_LOCATION[[#This Row],[ProjectName]])</f>
        <v>J00000272 | J272 | Roll Group - Test Weights &amp; Tray Mussafah</v>
      </c>
    </row>
    <row r="51" spans="1:4" x14ac:dyDescent="0.25">
      <c r="A51" s="14" t="s">
        <v>127</v>
      </c>
      <c r="B51" t="str">
        <f>IF(OR(LEFT(T_LOCATION[[#This Row],[ProjectID]],4)="J000",LEFT(T_LOCATION[[#This Row],[ProjectID]],4)="R000"),
LEFT(T_LOCATION[[#This Row],[ProjectID]],1)&amp;VALUE(MID(T_LOCATION[[#This Row],[ProjectID]],2,99)),
"")</f>
        <v>J273</v>
      </c>
      <c r="C51" t="s">
        <v>128</v>
      </c>
      <c r="D51" t="str">
        <f>_xlfn.TEXTJOIN(" | ", TRUE, T_LOCATION[[#This Row],[ProjectID]], T_LOCATION[[#This Row],[ProjectID Abb]], T_LOCATION[[#This Row],[ProjectName]])</f>
        <v>J00000273 | J273 | Galfar - Mahani Sharjah</v>
      </c>
    </row>
    <row r="52" spans="1:4" x14ac:dyDescent="0.25">
      <c r="A52" s="14" t="s">
        <v>129</v>
      </c>
      <c r="B52" t="str">
        <f>IF(OR(LEFT(T_LOCATION[[#This Row],[ProjectID]],4)="J000",LEFT(T_LOCATION[[#This Row],[ProjectID]],4)="R000"),
LEFT(T_LOCATION[[#This Row],[ProjectID]],1)&amp;VALUE(MID(T_LOCATION[[#This Row],[ProjectID]],2,99)),
"")</f>
        <v>J274</v>
      </c>
      <c r="C52" t="s">
        <v>130</v>
      </c>
      <c r="D52" t="str">
        <f>_xlfn.TEXTJOIN(" | ", TRUE, T_LOCATION[[#This Row],[ProjectID]], T_LOCATION[[#This Row],[ProjectID Abb]], T_LOCATION[[#This Row],[ProjectName]])</f>
        <v>J00000274 | J274 | NMDC - MERAM Habshan</v>
      </c>
    </row>
    <row r="53" spans="1:4" x14ac:dyDescent="0.25">
      <c r="A53" s="14" t="s">
        <v>131</v>
      </c>
      <c r="B53" t="str">
        <f>IF(OR(LEFT(T_LOCATION[[#This Row],[ProjectID]],4)="J000",LEFT(T_LOCATION[[#This Row],[ProjectID]],4)="R000"),
LEFT(T_LOCATION[[#This Row],[ProjectID]],1)&amp;VALUE(MID(T_LOCATION[[#This Row],[ProjectID]],2,99)),
"")</f>
        <v>J275</v>
      </c>
      <c r="C53" t="s">
        <v>132</v>
      </c>
      <c r="D53" t="str">
        <f>_xlfn.TEXTJOIN(" | ", TRUE, T_LOCATION[[#This Row],[ProjectID]], T_LOCATION[[#This Row],[ProjectID Abb]], T_LOCATION[[#This Row],[ProjectName]])</f>
        <v>J00000275 | J275 | Penta Global - MEI Works Mussafah</v>
      </c>
    </row>
    <row r="54" spans="1:4" x14ac:dyDescent="0.25">
      <c r="A54" s="14" t="s">
        <v>133</v>
      </c>
      <c r="B54" t="str">
        <f>IF(OR(LEFT(T_LOCATION[[#This Row],[ProjectID]],4)="J000",LEFT(T_LOCATION[[#This Row],[ProjectID]],4)="R000"),
LEFT(T_LOCATION[[#This Row],[ProjectID]],1)&amp;VALUE(MID(T_LOCATION[[#This Row],[ProjectID]],2,99)),
"")</f>
        <v>J276</v>
      </c>
      <c r="C54" t="s">
        <v>134</v>
      </c>
      <c r="D54" t="str">
        <f>_xlfn.TEXTJOIN(" | ", TRUE, T_LOCATION[[#This Row],[ProjectID]], T_LOCATION[[#This Row],[ProjectID Abb]], T_LOCATION[[#This Row],[ProjectName]])</f>
        <v>J00000276 | J276 | JDN - Palm Jebel Ali</v>
      </c>
    </row>
    <row r="55" spans="1:4" x14ac:dyDescent="0.25">
      <c r="A55" s="14" t="s">
        <v>135</v>
      </c>
      <c r="B55" t="str">
        <f>IF(OR(LEFT(T_LOCATION[[#This Row],[ProjectID]],4)="J000",LEFT(T_LOCATION[[#This Row],[ProjectID]],4)="R000"),
LEFT(T_LOCATION[[#This Row],[ProjectID]],1)&amp;VALUE(MID(T_LOCATION[[#This Row],[ProjectID]],2,99)),
"")</f>
        <v>J277</v>
      </c>
      <c r="C55" t="s">
        <v>136</v>
      </c>
      <c r="D55" t="str">
        <f>_xlfn.TEXTJOIN(" | ", TRUE, T_LOCATION[[#This Row],[ProjectID]], T_LOCATION[[#This Row],[ProjectID Abb]], T_LOCATION[[#This Row],[ProjectName]])</f>
        <v>J00000277 | J277 | Falcor - Load Spreader Mats</v>
      </c>
    </row>
    <row r="56" spans="1:4" x14ac:dyDescent="0.25">
      <c r="A56" s="14" t="s">
        <v>137</v>
      </c>
      <c r="B56" t="str">
        <f>IF(OR(LEFT(T_LOCATION[[#This Row],[ProjectID]],4)="J000",LEFT(T_LOCATION[[#This Row],[ProjectID]],4)="R000"),
LEFT(T_LOCATION[[#This Row],[ProjectID]],1)&amp;VALUE(MID(T_LOCATION[[#This Row],[ProjectID]],2,99)),
"")</f>
        <v>J278</v>
      </c>
      <c r="C56" t="s">
        <v>138</v>
      </c>
      <c r="D56" t="str">
        <f>_xlfn.TEXTJOIN(" | ", TRUE, T_LOCATION[[#This Row],[ProjectID]], T_LOCATION[[#This Row],[ProjectID Abb]], T_LOCATION[[#This Row],[ProjectName]])</f>
        <v>J00000278 | J278 | BAGC - Hail &amp; Gasha Onshore</v>
      </c>
    </row>
    <row r="57" spans="1:4" x14ac:dyDescent="0.25">
      <c r="A57" s="14" t="s">
        <v>139</v>
      </c>
      <c r="B57" t="str">
        <f>IF(OR(LEFT(T_LOCATION[[#This Row],[ProjectID]],4)="J000",LEFT(T_LOCATION[[#This Row],[ProjectID]],4)="R000"),
LEFT(T_LOCATION[[#This Row],[ProjectID]],1)&amp;VALUE(MID(T_LOCATION[[#This Row],[ProjectID]],2,99)),
"")</f>
        <v>J279</v>
      </c>
      <c r="C57" t="s">
        <v>140</v>
      </c>
      <c r="D57" t="str">
        <f>_xlfn.TEXTJOIN(" | ", TRUE, T_LOCATION[[#This Row],[ProjectID]], T_LOCATION[[#This Row],[ProjectID Abb]], T_LOCATION[[#This Row],[ProjectName]])</f>
        <v>J00000279 | J279 | NPCC-SAIPEM jv - H&amp;G Package 1</v>
      </c>
    </row>
    <row r="58" spans="1:4" x14ac:dyDescent="0.25">
      <c r="A58" s="14" t="s">
        <v>141</v>
      </c>
      <c r="B58" t="str">
        <f>IF(OR(LEFT(T_LOCATION[[#This Row],[ProjectID]],4)="J000",LEFT(T_LOCATION[[#This Row],[ProjectID]],4)="R000"),
LEFT(T_LOCATION[[#This Row],[ProjectID]],1)&amp;VALUE(MID(T_LOCATION[[#This Row],[ProjectID]],2,99)),
"")</f>
        <v>J280</v>
      </c>
      <c r="C58" t="s">
        <v>142</v>
      </c>
      <c r="D58" t="str">
        <f>_xlfn.TEXTJOIN(" | ", TRUE, T_LOCATION[[#This Row],[ProjectID]], T_LOCATION[[#This Row],[ProjectID Abb]], T_LOCATION[[#This Row],[ProjectName]])</f>
        <v>J00000280 | J280 | Cylingas - Habshan 5</v>
      </c>
    </row>
    <row r="59" spans="1:4" x14ac:dyDescent="0.25">
      <c r="A59" s="14" t="s">
        <v>143</v>
      </c>
      <c r="B59" t="str">
        <f>IF(OR(LEFT(T_LOCATION[[#This Row],[ProjectID]],4)="J000",LEFT(T_LOCATION[[#This Row],[ProjectID]],4)="R000"),
LEFT(T_LOCATION[[#This Row],[ProjectID]],1)&amp;VALUE(MID(T_LOCATION[[#This Row],[ProjectID]],2,99)),
"")</f>
        <v>J281</v>
      </c>
      <c r="C59" t="s">
        <v>144</v>
      </c>
      <c r="D59" t="str">
        <f>_xlfn.TEXTJOIN(" | ", TRUE, T_LOCATION[[#This Row],[ProjectID]], T_LOCATION[[#This Row],[ProjectID Abb]], T_LOCATION[[#This Row],[ProjectName]])</f>
        <v>J00000281 | J281 | Al Jaber - H&amp;G Package 1</v>
      </c>
    </row>
    <row r="60" spans="1:4" x14ac:dyDescent="0.25">
      <c r="A60" s="14" t="s">
        <v>145</v>
      </c>
      <c r="B60" t="str">
        <f>IF(OR(LEFT(T_LOCATION[[#This Row],[ProjectID]],4)="J000",LEFT(T_LOCATION[[#This Row],[ProjectID]],4)="R000"),
LEFT(T_LOCATION[[#This Row],[ProjectID]],1)&amp;VALUE(MID(T_LOCATION[[#This Row],[ProjectID]],2,99)),
"")</f>
        <v>J282</v>
      </c>
      <c r="C60" t="s">
        <v>146</v>
      </c>
      <c r="D60" t="str">
        <f>_xlfn.TEXTJOIN(" | ", TRUE, T_LOCATION[[#This Row],[ProjectID]], T_LOCATION[[#This Row],[ProjectID Abb]], T_LOCATION[[#This Row],[ProjectName]])</f>
        <v>J00000282 | J282 | Star Ocean - Bu Sikeen Island</v>
      </c>
    </row>
    <row r="61" spans="1:4" x14ac:dyDescent="0.25">
      <c r="A61" s="14" t="s">
        <v>147</v>
      </c>
      <c r="B61" t="str">
        <f>IF(OR(LEFT(T_LOCATION[[#This Row],[ProjectID]],4)="J000",LEFT(T_LOCATION[[#This Row],[ProjectID]],4)="R000"),
LEFT(T_LOCATION[[#This Row],[ProjectID]],1)&amp;VALUE(MID(T_LOCATION[[#This Row],[ProjectID]],2,99)),
"")</f>
        <v>J283</v>
      </c>
      <c r="C61" t="s">
        <v>148</v>
      </c>
      <c r="D61" t="str">
        <f>_xlfn.TEXTJOIN(" | ", TRUE, T_LOCATION[[#This Row],[ProjectID]], T_LOCATION[[#This Row],[ProjectID Abb]], T_LOCATION[[#This Row],[ProjectName]])</f>
        <v>J00000283 | J283 | Eagle Ultra - Jabel Ali (Hire of Test Weights)</v>
      </c>
    </row>
    <row r="62" spans="1:4" x14ac:dyDescent="0.25">
      <c r="A62" s="14" t="s">
        <v>1242</v>
      </c>
      <c r="B62" t="str">
        <f>IF(OR(LEFT(T_LOCATION[[#This Row],[ProjectID]],4)="J000",LEFT(T_LOCATION[[#This Row],[ProjectID]],4)="R000"),
LEFT(T_LOCATION[[#This Row],[ProjectID]],1)&amp;VALUE(MID(T_LOCATION[[#This Row],[ProjectID]],2,99)),
"")</f>
        <v>J284</v>
      </c>
      <c r="C62" t="s">
        <v>1243</v>
      </c>
      <c r="D62" t="str">
        <f>_xlfn.TEXTJOIN(" | ", TRUE, T_LOCATION[[#This Row],[ProjectID]], T_LOCATION[[#This Row],[ProjectID Abb]], T_LOCATION[[#This Row],[ProjectName]])</f>
        <v>J00000284 | J284 | NBTC - Hail &amp; Gasha</v>
      </c>
    </row>
    <row r="63" spans="1:4" x14ac:dyDescent="0.25">
      <c r="A63" s="14" t="s">
        <v>1244</v>
      </c>
      <c r="B63" t="str">
        <f>IF(OR(LEFT(T_LOCATION[[#This Row],[ProjectID]],4)="J000",LEFT(T_LOCATION[[#This Row],[ProjectID]],4)="R000"),
LEFT(T_LOCATION[[#This Row],[ProjectID]],1)&amp;VALUE(MID(T_LOCATION[[#This Row],[ProjectID]],2,99)),
"")</f>
        <v>J285</v>
      </c>
      <c r="C63" t="s">
        <v>178</v>
      </c>
      <c r="D63" t="str">
        <f>_xlfn.TEXTJOIN(" | ", TRUE, T_LOCATION[[#This Row],[ProjectID]], T_LOCATION[[#This Row],[ProjectID Abb]], T_LOCATION[[#This Row],[ProjectName]])</f>
        <v>J00000285 | J285 | Van Oord - Umm Suqeim</v>
      </c>
    </row>
    <row r="64" spans="1:4" x14ac:dyDescent="0.25">
      <c r="A64" s="14" t="s">
        <v>1245</v>
      </c>
      <c r="B64" t="str">
        <f>IF(OR(LEFT(T_LOCATION[[#This Row],[ProjectID]],4)="J000",LEFT(T_LOCATION[[#This Row],[ProjectID]],4)="R000"),
LEFT(T_LOCATION[[#This Row],[ProjectID]],1)&amp;VALUE(MID(T_LOCATION[[#This Row],[ProjectID]],2,99)),
"")</f>
        <v>J286</v>
      </c>
      <c r="C64" t="s">
        <v>194</v>
      </c>
      <c r="D64" t="str">
        <f>_xlfn.TEXTJOIN(" | ", TRUE, T_LOCATION[[#This Row],[ProjectID]], T_LOCATION[[#This Row],[ProjectID Abb]], T_LOCATION[[#This Row],[ProjectName]])</f>
        <v>J00000286 | J286 | ITD Cementation - Ruwais LNG</v>
      </c>
    </row>
    <row r="65" spans="1:4" x14ac:dyDescent="0.25">
      <c r="A65" s="14" t="s">
        <v>1246</v>
      </c>
      <c r="B65" t="str">
        <f>IF(OR(LEFT(T_LOCATION[[#This Row],[ProjectID]],4)="J000",LEFT(T_LOCATION[[#This Row],[ProjectID]],4)="R000"),
LEFT(T_LOCATION[[#This Row],[ProjectID]],1)&amp;VALUE(MID(T_LOCATION[[#This Row],[ProjectID]],2,99)),
"")</f>
        <v>J287</v>
      </c>
      <c r="C65" t="s">
        <v>1247</v>
      </c>
      <c r="D65" t="str">
        <f>_xlfn.TEXTJOIN(" | ", TRUE, T_LOCATION[[#This Row],[ProjectID]], T_LOCATION[[#This Row],[ProjectID Abb]], T_LOCATION[[#This Row],[ProjectName]])</f>
        <v>J00000287 | J287 | NMDC - AL Muzoun</v>
      </c>
    </row>
    <row r="66" spans="1:4" x14ac:dyDescent="0.25">
      <c r="A66" s="14" t="s">
        <v>1248</v>
      </c>
      <c r="B66" t="str">
        <f>IF(OR(LEFT(T_LOCATION[[#This Row],[ProjectID]],4)="J000",LEFT(T_LOCATION[[#This Row],[ProjectID]],4)="R000"),
LEFT(T_LOCATION[[#This Row],[ProjectID]],1)&amp;VALUE(MID(T_LOCATION[[#This Row],[ProjectID]],2,99)),
"")</f>
        <v>J288</v>
      </c>
      <c r="C66" t="s">
        <v>1249</v>
      </c>
      <c r="D66" t="str">
        <f>_xlfn.TEXTJOIN(" | ", TRUE, T_LOCATION[[#This Row],[ProjectID]], T_LOCATION[[#This Row],[ProjectID Abb]], T_LOCATION[[#This Row],[ProjectName]])</f>
        <v>J00000288 | J288 | Star Ocean - Al Omairah Island</v>
      </c>
    </row>
    <row r="67" spans="1:4" x14ac:dyDescent="0.25">
      <c r="A67" s="14" t="s">
        <v>1250</v>
      </c>
      <c r="B67" t="str">
        <f>IF(OR(LEFT(T_LOCATION[[#This Row],[ProjectID]],4)="J000",LEFT(T_LOCATION[[#This Row],[ProjectID]],4)="R000"),
LEFT(T_LOCATION[[#This Row],[ProjectID]],1)&amp;VALUE(MID(T_LOCATION[[#This Row],[ProjectID]],2,99)),
"")</f>
        <v>J289</v>
      </c>
      <c r="C67" t="s">
        <v>1251</v>
      </c>
      <c r="D67" t="str">
        <f>_xlfn.TEXTJOIN(" | ", TRUE, T_LOCATION[[#This Row],[ProjectID]], T_LOCATION[[#This Row],[ProjectID Abb]], T_LOCATION[[#This Row],[ProjectName]])</f>
        <v>J00000289 | J289 | Alas Emirates - Saadiyat Island</v>
      </c>
    </row>
    <row r="68" spans="1:4" x14ac:dyDescent="0.25">
      <c r="A68" s="14" t="s">
        <v>1252</v>
      </c>
      <c r="B68" t="str">
        <f>IF(OR(LEFT(T_LOCATION[[#This Row],[ProjectID]],4)="J000",LEFT(T_LOCATION[[#This Row],[ProjectID]],4)="R000"),
LEFT(T_LOCATION[[#This Row],[ProjectID]],1)&amp;VALUE(MID(T_LOCATION[[#This Row],[ProjectID]],2,99)),
"")</f>
        <v>J290</v>
      </c>
      <c r="C68" t="s">
        <v>1253</v>
      </c>
      <c r="D68" t="str">
        <f>_xlfn.TEXTJOIN(" | ", TRUE, T_LOCATION[[#This Row],[ProjectID]], T_LOCATION[[#This Row],[ProjectID Abb]], T_LOCATION[[#This Row],[ProjectName]])</f>
        <v>J00000290 | J290 | NMDC - Lulu Island</v>
      </c>
    </row>
    <row r="69" spans="1:4" x14ac:dyDescent="0.25">
      <c r="A69" s="14" t="s">
        <v>1254</v>
      </c>
      <c r="B69" t="str">
        <f>IF(OR(LEFT(T_LOCATION[[#This Row],[ProjectID]],4)="J000",LEFT(T_LOCATION[[#This Row],[ProjectID]],4)="R000"),
LEFT(T_LOCATION[[#This Row],[ProjectID]],1)&amp;VALUE(MID(T_LOCATION[[#This Row],[ProjectID]],2,99)),
"")</f>
        <v>J291</v>
      </c>
      <c r="C69" t="s">
        <v>1255</v>
      </c>
      <c r="D69" t="str">
        <f>_xlfn.TEXTJOIN(" | ", TRUE, T_LOCATION[[#This Row],[ProjectID]], T_LOCATION[[#This Row],[ProjectID Abb]], T_LOCATION[[#This Row],[ProjectName]])</f>
        <v>J00000291 | J291 | CCE - Zirku Island</v>
      </c>
    </row>
    <row r="70" spans="1:4" x14ac:dyDescent="0.25">
      <c r="A70" s="14" t="s">
        <v>1256</v>
      </c>
      <c r="B70" t="str">
        <f>IF(OR(LEFT(T_LOCATION[[#This Row],[ProjectID]],4)="J000",LEFT(T_LOCATION[[#This Row],[ProjectID]],4)="R000"),
LEFT(T_LOCATION[[#This Row],[ProjectID]],1)&amp;VALUE(MID(T_LOCATION[[#This Row],[ProjectID]],2,99)),
"")</f>
        <v>J292</v>
      </c>
      <c r="C70" t="s">
        <v>1257</v>
      </c>
      <c r="D70" t="str">
        <f>_xlfn.TEXTJOIN(" | ", TRUE, T_LOCATION[[#This Row],[ProjectID]], T_LOCATION[[#This Row],[ProjectID Abb]], T_LOCATION[[#This Row],[ProjectName]])</f>
        <v>J00000292 | J292 | NBTC - MERAM Habshan</v>
      </c>
    </row>
    <row r="71" spans="1:4" x14ac:dyDescent="0.25">
      <c r="A71" s="14" t="s">
        <v>1258</v>
      </c>
      <c r="B71" t="str">
        <f>IF(OR(LEFT(T_LOCATION[[#This Row],[ProjectID]],4)="J000",LEFT(T_LOCATION[[#This Row],[ProjectID]],4)="R000"),
LEFT(T_LOCATION[[#This Row],[ProjectID]],1)&amp;VALUE(MID(T_LOCATION[[#This Row],[ProjectID]],2,99)),
"")</f>
        <v>J293</v>
      </c>
      <c r="C71" t="s">
        <v>1259</v>
      </c>
      <c r="D71" t="str">
        <f>_xlfn.TEXTJOIN(" | ", TRUE, T_LOCATION[[#This Row],[ProjectID]], T_LOCATION[[#This Row],[ProjectID Abb]], T_LOCATION[[#This Row],[ProjectName]])</f>
        <v>J00000293 | J293 | Motorway - Lower Zakum, Al Omairah</v>
      </c>
    </row>
    <row r="72" spans="1:4" x14ac:dyDescent="0.25">
      <c r="A72" s="14" t="s">
        <v>1260</v>
      </c>
      <c r="B72" t="str">
        <f>IF(OR(LEFT(T_LOCATION[[#This Row],[ProjectID]],4)="J000",LEFT(T_LOCATION[[#This Row],[ProjectID]],4)="R000"),
LEFT(T_LOCATION[[#This Row],[ProjectID]],1)&amp;VALUE(MID(T_LOCATION[[#This Row],[ProjectID]],2,99)),
"")</f>
        <v>J294</v>
      </c>
      <c r="C72" t="s">
        <v>1261</v>
      </c>
      <c r="D72" t="str">
        <f>_xlfn.TEXTJOIN(" | ", TRUE, T_LOCATION[[#This Row],[ProjectID]], T_LOCATION[[#This Row],[ProjectID Abb]], T_LOCATION[[#This Row],[ProjectName]])</f>
        <v>J00000294 | J294 | Al Dhafra - Offshore Projects</v>
      </c>
    </row>
    <row r="73" spans="1:4" x14ac:dyDescent="0.25">
      <c r="A73" s="14" t="s">
        <v>1262</v>
      </c>
      <c r="B73" t="str">
        <f>IF(OR(LEFT(T_LOCATION[[#This Row],[ProjectID]],4)="J000",LEFT(T_LOCATION[[#This Row],[ProjectID]],4)="R000"),
LEFT(T_LOCATION[[#This Row],[ProjectID]],1)&amp;VALUE(MID(T_LOCATION[[#This Row],[ProjectID]],2,99)),
"")</f>
        <v>J295</v>
      </c>
      <c r="C73" t="s">
        <v>1263</v>
      </c>
      <c r="D73" t="str">
        <f>_xlfn.TEXTJOIN(" | ", TRUE, T_LOCATION[[#This Row],[ProjectID]], T_LOCATION[[#This Row],[ProjectID Abb]], T_LOCATION[[#This Row],[ProjectName]])</f>
        <v>J00000295 | J295 | Al Dhafra - Onshore Projects</v>
      </c>
    </row>
    <row r="74" spans="1:4" x14ac:dyDescent="0.25">
      <c r="A74" s="14" t="s">
        <v>149</v>
      </c>
      <c r="B74" t="str">
        <f>IF(OR(LEFT(T_LOCATION[[#This Row],[ProjectID]],4)="J000",LEFT(T_LOCATION[[#This Row],[ProjectID]],4)="R000"),
LEFT(T_LOCATION[[#This Row],[ProjectID]],1)&amp;VALUE(MID(T_LOCATION[[#This Row],[ProjectID]],2,99)),
"")</f>
        <v>R28</v>
      </c>
      <c r="C74" t="s">
        <v>150</v>
      </c>
      <c r="D74" t="str">
        <f>_xlfn.TEXTJOIN(" | ", TRUE, T_LOCATION[[#This Row],[ProjectID]], T_LOCATION[[#This Row],[ProjectID Abb]], T_LOCATION[[#This Row],[ProjectName]])</f>
        <v>R00000028 | R28 | Target DGD</v>
      </c>
    </row>
    <row r="75" spans="1:4" x14ac:dyDescent="0.25">
      <c r="A75" s="14" t="s">
        <v>151</v>
      </c>
      <c r="B75" t="str">
        <f>IF(OR(LEFT(T_LOCATION[[#This Row],[ProjectID]],4)="J000",LEFT(T_LOCATION[[#This Row],[ProjectID]],4)="R000"),
LEFT(T_LOCATION[[#This Row],[ProjectID]],1)&amp;VALUE(MID(T_LOCATION[[#This Row],[ProjectID]],2,99)),
"")</f>
        <v>R43</v>
      </c>
      <c r="C75" t="s">
        <v>152</v>
      </c>
      <c r="D75" t="str">
        <f>_xlfn.TEXTJOIN(" | ", TRUE, T_LOCATION[[#This Row],[ProjectID]], T_LOCATION[[#This Row],[ProjectID Abb]], T_LOCATION[[#This Row],[ProjectName]])</f>
        <v>R00000043 | R43 | NMDC – NISI (Taweelah)</v>
      </c>
    </row>
    <row r="76" spans="1:4" x14ac:dyDescent="0.25">
      <c r="A76" s="14" t="s">
        <v>153</v>
      </c>
      <c r="B76" t="str">
        <f>IF(OR(LEFT(T_LOCATION[[#This Row],[ProjectID]],4)="J000",LEFT(T_LOCATION[[#This Row],[ProjectID]],4)="R000"),
LEFT(T_LOCATION[[#This Row],[ProjectID]],1)&amp;VALUE(MID(T_LOCATION[[#This Row],[ProjectID]],2,99)),
"")</f>
        <v>R66</v>
      </c>
      <c r="C76" t="s">
        <v>154</v>
      </c>
      <c r="D76" t="str">
        <f>_xlfn.TEXTJOIN(" | ", TRUE, T_LOCATION[[#This Row],[ProjectID]], T_LOCATION[[#This Row],[ProjectID Abb]], T_LOCATION[[#This Row],[ProjectName]])</f>
        <v>R00000066 | R66 | Dredging International Saudi Arabia - Oxagon T2</v>
      </c>
    </row>
    <row r="77" spans="1:4" x14ac:dyDescent="0.25">
      <c r="A77" s="14" t="s">
        <v>155</v>
      </c>
      <c r="B77" t="str">
        <f>IF(OR(LEFT(T_LOCATION[[#This Row],[ProjectID]],4)="J000",LEFT(T_LOCATION[[#This Row],[ProjectID]],4)="R000"),
LEFT(T_LOCATION[[#This Row],[ProjectID]],1)&amp;VALUE(MID(T_LOCATION[[#This Row],[ProjectID]],2,99)),
"")</f>
        <v>R74</v>
      </c>
      <c r="C77" t="s">
        <v>156</v>
      </c>
      <c r="D77" t="str">
        <f>_xlfn.TEXTJOIN(" | ", TRUE, T_LOCATION[[#This Row],[ProjectID]], T_LOCATION[[#This Row],[ProjectID Abb]], T_LOCATION[[#This Row],[ProjectName]])</f>
        <v>R00000074 | R74 | NPCC - Saudi Aramco KSA</v>
      </c>
    </row>
    <row r="78" spans="1:4" x14ac:dyDescent="0.25">
      <c r="A78" s="14" t="s">
        <v>157</v>
      </c>
      <c r="B78" t="str">
        <f>IF(OR(LEFT(T_LOCATION[[#This Row],[ProjectID]],4)="J000",LEFT(T_LOCATION[[#This Row],[ProjectID]],4)="R000"),
LEFT(T_LOCATION[[#This Row],[ProjectID]],1)&amp;VALUE(MID(T_LOCATION[[#This Row],[ProjectID]],2,99)),
"")</f>
        <v>R78</v>
      </c>
      <c r="C78" t="s">
        <v>158</v>
      </c>
      <c r="D78" t="str">
        <f>_xlfn.TEXTJOIN(" | ", TRUE, T_LOCATION[[#This Row],[ProjectID]], T_LOCATION[[#This Row],[ProjectID Abb]], T_LOCATION[[#This Row],[ProjectName]])</f>
        <v>R00000078 | R78 | MBL - Jeddah</v>
      </c>
    </row>
    <row r="79" spans="1:4" x14ac:dyDescent="0.25">
      <c r="A79" s="14" t="s">
        <v>1264</v>
      </c>
      <c r="B79" t="str">
        <f>IF(OR(LEFT(T_LOCATION[[#This Row],[ProjectID]],4)="J000",LEFT(T_LOCATION[[#This Row],[ProjectID]],4)="R000"),
LEFT(T_LOCATION[[#This Row],[ProjectID]],1)&amp;VALUE(MID(T_LOCATION[[#This Row],[ProjectID]],2,99)),
"")</f>
        <v>R91</v>
      </c>
      <c r="C79" t="s">
        <v>1265</v>
      </c>
      <c r="D79" t="str">
        <f>_xlfn.TEXTJOIN(" | ", TRUE, T_LOCATION[[#This Row],[ProjectID]], T_LOCATION[[#This Row],[ProjectID Abb]], T_LOCATION[[#This Row],[ProjectName]])</f>
        <v>R00000091 | R91 | WEBUILD - Trojena Dam Project</v>
      </c>
    </row>
    <row r="80" spans="1:4" x14ac:dyDescent="0.25">
      <c r="A80" s="14" t="s">
        <v>159</v>
      </c>
      <c r="B80" t="str">
        <f>IF(OR(LEFT(T_LOCATION[[#This Row],[ProjectID]],4)="J000",LEFT(T_LOCATION[[#This Row],[ProjectID]],4)="R000"),
LEFT(T_LOCATION[[#This Row],[ProjectID]],1)&amp;VALUE(MID(T_LOCATION[[#This Row],[ProjectID]],2,99)),
"")</f>
        <v>R97</v>
      </c>
      <c r="C80" t="s">
        <v>160</v>
      </c>
      <c r="D80" t="str">
        <f>_xlfn.TEXTJOIN(" | ", TRUE, T_LOCATION[[#This Row],[ProjectID]], T_LOCATION[[#This Row],[ProjectID Abb]], T_LOCATION[[#This Row],[ProjectName]])</f>
        <v>R00000097 | R97 | NMDC - H&amp;G Island</v>
      </c>
    </row>
    <row r="81" spans="1:4" x14ac:dyDescent="0.25">
      <c r="A81" s="14" t="s">
        <v>161</v>
      </c>
      <c r="B81" t="str">
        <f>IF(OR(LEFT(T_LOCATION[[#This Row],[ProjectID]],4)="J000",LEFT(T_LOCATION[[#This Row],[ProjectID]],4)="R000"),
LEFT(T_LOCATION[[#This Row],[ProjectID]],1)&amp;VALUE(MID(T_LOCATION[[#This Row],[ProjectID]],2,99)),
"")</f>
        <v>R100</v>
      </c>
      <c r="C81" t="s">
        <v>162</v>
      </c>
      <c r="D81" t="str">
        <f>_xlfn.TEXTJOIN(" | ", TRUE, T_LOCATION[[#This Row],[ProjectID]], T_LOCATION[[#This Row],[ProjectID Abb]], T_LOCATION[[#This Row],[ProjectName]])</f>
        <v>R00000100 | R100 | COWC - Port works Barbados</v>
      </c>
    </row>
    <row r="82" spans="1:4" x14ac:dyDescent="0.25">
      <c r="A82" s="14" t="s">
        <v>163</v>
      </c>
      <c r="B82" t="str">
        <f>IF(OR(LEFT(T_LOCATION[[#This Row],[ProjectID]],4)="J000",LEFT(T_LOCATION[[#This Row],[ProjectID]],4)="R000"),
LEFT(T_LOCATION[[#This Row],[ProjectID]],1)&amp;VALUE(MID(T_LOCATION[[#This Row],[ProjectID]],2,99)),
"")</f>
        <v>R109</v>
      </c>
      <c r="C82" t="s">
        <v>164</v>
      </c>
      <c r="D82" t="str">
        <f>_xlfn.TEXTJOIN(" | ", TRUE, T_LOCATION[[#This Row],[ProjectID]], T_LOCATION[[#This Row],[ProjectID Abb]], T_LOCATION[[#This Row],[ProjectName]])</f>
        <v>R00000109 | R109 | DMC - Ras Laffan</v>
      </c>
    </row>
    <row r="83" spans="1:4" x14ac:dyDescent="0.25">
      <c r="A83" s="14" t="s">
        <v>165</v>
      </c>
      <c r="B83" t="str">
        <f>IF(OR(LEFT(T_LOCATION[[#This Row],[ProjectID]],4)="J000",LEFT(T_LOCATION[[#This Row],[ProjectID]],4)="R000"),
LEFT(T_LOCATION[[#This Row],[ProjectID]],1)&amp;VALUE(MID(T_LOCATION[[#This Row],[ProjectID]],2,99)),
"")</f>
        <v>R111</v>
      </c>
      <c r="C83" t="s">
        <v>166</v>
      </c>
      <c r="D83" t="str">
        <f>_xlfn.TEXTJOIN(" | ", TRUE, T_LOCATION[[#This Row],[ProjectID]], T_LOCATION[[#This Row],[ProjectID Abb]], T_LOCATION[[#This Row],[ProjectName]])</f>
        <v>R00000111 | R111 | NMDC - TAZIZ Logistics Project / Port Package</v>
      </c>
    </row>
    <row r="84" spans="1:4" x14ac:dyDescent="0.25">
      <c r="A84" s="14" t="s">
        <v>167</v>
      </c>
      <c r="B84" t="str">
        <f>IF(OR(LEFT(T_LOCATION[[#This Row],[ProjectID]],4)="J000",LEFT(T_LOCATION[[#This Row],[ProjectID]],4)="R000"),
LEFT(T_LOCATION[[#This Row],[ProjectID]],1)&amp;VALUE(MID(T_LOCATION[[#This Row],[ProjectID]],2,99)),
"")</f>
        <v>R112</v>
      </c>
      <c r="C84" t="s">
        <v>168</v>
      </c>
      <c r="D84" t="str">
        <f>_xlfn.TEXTJOIN(" | ", TRUE, T_LOCATION[[#This Row],[ProjectID]], T_LOCATION[[#This Row],[ProjectID Abb]], T_LOCATION[[#This Row],[ProjectName]])</f>
        <v>R00000112 | R112 | Archirodon - M1 Project - Umluj</v>
      </c>
    </row>
    <row r="85" spans="1:4" x14ac:dyDescent="0.25">
      <c r="A85" s="14" t="s">
        <v>169</v>
      </c>
      <c r="B85" t="str">
        <f>IF(OR(LEFT(T_LOCATION[[#This Row],[ProjectID]],4)="J000",LEFT(T_LOCATION[[#This Row],[ProjectID]],4)="R000"),
LEFT(T_LOCATION[[#This Row],[ProjectID]],1)&amp;VALUE(MID(T_LOCATION[[#This Row],[ProjectID]],2,99)),
"")</f>
        <v>R118</v>
      </c>
      <c r="C85" t="s">
        <v>170</v>
      </c>
      <c r="D85" t="str">
        <f>_xlfn.TEXTJOIN(" | ", TRUE, T_LOCATION[[#This Row],[ProjectID]], T_LOCATION[[#This Row],[ProjectID Abb]], T_LOCATION[[#This Row],[ProjectName]])</f>
        <v>R00000118 | R118 | Target - Wave Project</v>
      </c>
    </row>
    <row r="86" spans="1:4" x14ac:dyDescent="0.25">
      <c r="A86" s="14" t="s">
        <v>171</v>
      </c>
      <c r="B86" t="str">
        <f>IF(OR(LEFT(T_LOCATION[[#This Row],[ProjectID]],4)="J000",LEFT(T_LOCATION[[#This Row],[ProjectID]],4)="R000"),
LEFT(T_LOCATION[[#This Row],[ProjectID]],1)&amp;VALUE(MID(T_LOCATION[[#This Row],[ProjectID]],2,99)),
"")</f>
        <v>R123</v>
      </c>
      <c r="C86" t="s">
        <v>172</v>
      </c>
      <c r="D86" t="str">
        <f>_xlfn.TEXTJOIN(" | ", TRUE, T_LOCATION[[#This Row],[ProjectID]], T_LOCATION[[#This Row],[ProjectID Abb]], T_LOCATION[[#This Row],[ProjectName]])</f>
        <v>R00000123 | R123 | SAIPEM - Hail &amp; Gasha</v>
      </c>
    </row>
    <row r="87" spans="1:4" x14ac:dyDescent="0.25">
      <c r="A87" s="14" t="s">
        <v>173</v>
      </c>
      <c r="B87" t="str">
        <f>IF(OR(LEFT(T_LOCATION[[#This Row],[ProjectID]],4)="J000",LEFT(T_LOCATION[[#This Row],[ProjectID]],4)="R000"),
LEFT(T_LOCATION[[#This Row],[ProjectID]],1)&amp;VALUE(MID(T_LOCATION[[#This Row],[ProjectID]],2,99)),
"")</f>
        <v>R124</v>
      </c>
      <c r="C87" t="s">
        <v>174</v>
      </c>
      <c r="D87" t="str">
        <f>_xlfn.TEXTJOIN(" | ", TRUE, T_LOCATION[[#This Row],[ProjectID]], T_LOCATION[[#This Row],[ProjectID Abb]], T_LOCATION[[#This Row],[ProjectName]])</f>
        <v>R00000124 | R124 | Target - Al Sahil Project</v>
      </c>
    </row>
    <row r="88" spans="1:4" x14ac:dyDescent="0.25">
      <c r="A88" s="14" t="s">
        <v>175</v>
      </c>
      <c r="B88" t="str">
        <f>IF(OR(LEFT(T_LOCATION[[#This Row],[ProjectID]],4)="J000",LEFT(T_LOCATION[[#This Row],[ProjectID]],4)="R000"),
LEFT(T_LOCATION[[#This Row],[ProjectID]],1)&amp;VALUE(MID(T_LOCATION[[#This Row],[ProjectID]],2,99)),
"")</f>
        <v>R128</v>
      </c>
      <c r="C88" t="s">
        <v>176</v>
      </c>
      <c r="D88" t="str">
        <f>_xlfn.TEXTJOIN(" | ", TRUE, T_LOCATION[[#This Row],[ProjectID]], T_LOCATION[[#This Row],[ProjectID Abb]], T_LOCATION[[#This Row],[ProjectName]])</f>
        <v>R00000128 | R128 | DAEWOO - Immersed Tunnel Iraq</v>
      </c>
    </row>
    <row r="89" spans="1:4" x14ac:dyDescent="0.25">
      <c r="A89" s="14" t="s">
        <v>177</v>
      </c>
      <c r="B89" t="str">
        <f>IF(OR(LEFT(T_LOCATION[[#This Row],[ProjectID]],4)="J000",LEFT(T_LOCATION[[#This Row],[ProjectID]],4)="R000"),
LEFT(T_LOCATION[[#This Row],[ProjectID]],1)&amp;VALUE(MID(T_LOCATION[[#This Row],[ProjectID]],2,99)),
"")</f>
        <v>R135</v>
      </c>
      <c r="C89" t="s">
        <v>178</v>
      </c>
      <c r="D89" t="str">
        <f>_xlfn.TEXTJOIN(" | ", TRUE, T_LOCATION[[#This Row],[ProjectID]], T_LOCATION[[#This Row],[ProjectID Abb]], T_LOCATION[[#This Row],[ProjectName]])</f>
        <v>R00000135 | R135 | Van Oord - Umm Suqeim</v>
      </c>
    </row>
    <row r="90" spans="1:4" x14ac:dyDescent="0.25">
      <c r="A90" s="14" t="s">
        <v>179</v>
      </c>
      <c r="B90" t="str">
        <f>IF(OR(LEFT(T_LOCATION[[#This Row],[ProjectID]],4)="J000",LEFT(T_LOCATION[[#This Row],[ProjectID]],4)="R000"),
LEFT(T_LOCATION[[#This Row],[ProjectID]],1)&amp;VALUE(MID(T_LOCATION[[#This Row],[ProjectID]],2,99)),
"")</f>
        <v>R136</v>
      </c>
      <c r="C90" t="s">
        <v>48</v>
      </c>
      <c r="D90" t="str">
        <f>_xlfn.TEXTJOIN(" | ", TRUE, T_LOCATION[[#This Row],[ProjectID]], T_LOCATION[[#This Row],[ProjectID Abb]], T_LOCATION[[#This Row],[ProjectName]])</f>
        <v>R00000136 | R136 | NMDC - Hudariyat</v>
      </c>
    </row>
    <row r="91" spans="1:4" x14ac:dyDescent="0.25">
      <c r="A91" s="14" t="s">
        <v>180</v>
      </c>
      <c r="B91" t="str">
        <f>IF(OR(LEFT(T_LOCATION[[#This Row],[ProjectID]],4)="J000",LEFT(T_LOCATION[[#This Row],[ProjectID]],4)="R000"),
LEFT(T_LOCATION[[#This Row],[ProjectID]],1)&amp;VALUE(MID(T_LOCATION[[#This Row],[ProjectID]],2,99)),
"")</f>
        <v>R138</v>
      </c>
      <c r="C91" t="s">
        <v>181</v>
      </c>
      <c r="D91" t="str">
        <f>_xlfn.TEXTJOIN(" | ", TRUE, T_LOCATION[[#This Row],[ProjectID]], T_LOCATION[[#This Row],[ProjectID Abb]], T_LOCATION[[#This Row],[ProjectName]])</f>
        <v>R00000138 | R138 | Masirah - LNG Sur</v>
      </c>
    </row>
    <row r="92" spans="1:4" x14ac:dyDescent="0.25">
      <c r="A92" s="14" t="s">
        <v>182</v>
      </c>
      <c r="B92" t="str">
        <f>IF(OR(LEFT(T_LOCATION[[#This Row],[ProjectID]],4)="J000",LEFT(T_LOCATION[[#This Row],[ProjectID]],4)="R000"),
LEFT(T_LOCATION[[#This Row],[ProjectID]],1)&amp;VALUE(MID(T_LOCATION[[#This Row],[ProjectID]],2,99)),
"")</f>
        <v>R147</v>
      </c>
      <c r="C92" t="s">
        <v>183</v>
      </c>
      <c r="D92" t="str">
        <f>_xlfn.TEXTJOIN(" | ", TRUE, T_LOCATION[[#This Row],[ProjectID]], T_LOCATION[[#This Row],[ProjectID Abb]], T_LOCATION[[#This Row],[ProjectName]])</f>
        <v>R00000147 | R147 | NMDC - Ruwais LNG</v>
      </c>
    </row>
    <row r="93" spans="1:4" x14ac:dyDescent="0.25">
      <c r="A93" s="14" t="s">
        <v>184</v>
      </c>
      <c r="B93" t="str">
        <f>IF(OR(LEFT(T_LOCATION[[#This Row],[ProjectID]],4)="J000",LEFT(T_LOCATION[[#This Row],[ProjectID]],4)="R000"),
LEFT(T_LOCATION[[#This Row],[ProjectID]],1)&amp;VALUE(MID(T_LOCATION[[#This Row],[ProjectID]],2,99)),
"")</f>
        <v>R148</v>
      </c>
      <c r="C93" t="s">
        <v>185</v>
      </c>
      <c r="D93" t="str">
        <f>_xlfn.TEXTJOIN(" | ", TRUE, T_LOCATION[[#This Row],[ProjectID]], T_LOCATION[[#This Row],[ProjectID Abb]], T_LOCATION[[#This Row],[ProjectName]])</f>
        <v>R00000148 | R148 | NMDC - Zirku Project</v>
      </c>
    </row>
    <row r="94" spans="1:4" x14ac:dyDescent="0.25">
      <c r="A94" s="14" t="s">
        <v>186</v>
      </c>
      <c r="B94" t="str">
        <f>IF(OR(LEFT(T_LOCATION[[#This Row],[ProjectID]],4)="J000",LEFT(T_LOCATION[[#This Row],[ProjectID]],4)="R000"),
LEFT(T_LOCATION[[#This Row],[ProjectID]],1)&amp;VALUE(MID(T_LOCATION[[#This Row],[ProjectID]],2,99)),
"")</f>
        <v>R150</v>
      </c>
      <c r="C94" t="s">
        <v>187</v>
      </c>
      <c r="D94" t="str">
        <f>_xlfn.TEXTJOIN(" | ", TRUE, T_LOCATION[[#This Row],[ProjectID]], T_LOCATION[[#This Row],[ProjectID Abb]], T_LOCATION[[#This Row],[ProjectName]])</f>
        <v>R00000150 | R150 | Van Oord - Pipavav, India</v>
      </c>
    </row>
    <row r="95" spans="1:4" x14ac:dyDescent="0.25">
      <c r="A95" s="14" t="s">
        <v>188</v>
      </c>
      <c r="B95" t="str">
        <f>IF(OR(LEFT(T_LOCATION[[#This Row],[ProjectID]],4)="J000",LEFT(T_LOCATION[[#This Row],[ProjectID]],4)="R000"),
LEFT(T_LOCATION[[#This Row],[ProjectID]],1)&amp;VALUE(MID(T_LOCATION[[#This Row],[ProjectID]],2,99)),
"")</f>
        <v>R151</v>
      </c>
      <c r="C95" t="s">
        <v>140</v>
      </c>
      <c r="D95" t="str">
        <f>_xlfn.TEXTJOIN(" | ", TRUE, T_LOCATION[[#This Row],[ProjectID]], T_LOCATION[[#This Row],[ProjectID Abb]], T_LOCATION[[#This Row],[ProjectName]])</f>
        <v>R00000151 | R151 | NPCC-SAIPEM jv - H&amp;G Package 1</v>
      </c>
    </row>
    <row r="96" spans="1:4" x14ac:dyDescent="0.25">
      <c r="A96" s="14" t="s">
        <v>189</v>
      </c>
      <c r="B96" t="str">
        <f>IF(OR(LEFT(T_LOCATION[[#This Row],[ProjectID]],4)="J000",LEFT(T_LOCATION[[#This Row],[ProjectID]],4)="R000"),
LEFT(T_LOCATION[[#This Row],[ProjectID]],1)&amp;VALUE(MID(T_LOCATION[[#This Row],[ProjectID]],2,99)),
"")</f>
        <v>R154</v>
      </c>
      <c r="C96" t="s">
        <v>190</v>
      </c>
      <c r="D96" t="str">
        <f>_xlfn.TEXTJOIN(" | ", TRUE, T_LOCATION[[#This Row],[ProjectID]], T_LOCATION[[#This Row],[ProjectID Abb]], T_LOCATION[[#This Row],[ProjectName]])</f>
        <v>R00000154 | R154 | PLC - Umm Suqeim</v>
      </c>
    </row>
    <row r="97" spans="1:4" x14ac:dyDescent="0.25">
      <c r="A97" s="14" t="s">
        <v>191</v>
      </c>
      <c r="B97" t="str">
        <f>IF(OR(LEFT(T_LOCATION[[#This Row],[ProjectID]],4)="J000",LEFT(T_LOCATION[[#This Row],[ProjectID]],4)="R000"),
LEFT(T_LOCATION[[#This Row],[ProjectID]],1)&amp;VALUE(MID(T_LOCATION[[#This Row],[ProjectID]],2,99)),
"")</f>
        <v>R155</v>
      </c>
      <c r="C97" t="s">
        <v>192</v>
      </c>
      <c r="D97" t="str">
        <f>_xlfn.TEXTJOIN(" | ", TRUE, T_LOCATION[[#This Row],[ProjectID]], T_LOCATION[[#This Row],[ProjectID Abb]], T_LOCATION[[#This Row],[ProjectName]])</f>
        <v>R00000155 | R155 | TWMA - H&amp;G GOP</v>
      </c>
    </row>
    <row r="98" spans="1:4" x14ac:dyDescent="0.25">
      <c r="A98" s="14" t="s">
        <v>193</v>
      </c>
      <c r="B98" t="str">
        <f>IF(OR(LEFT(T_LOCATION[[#This Row],[ProjectID]],4)="J000",LEFT(T_LOCATION[[#This Row],[ProjectID]],4)="R000"),
LEFT(T_LOCATION[[#This Row],[ProjectID]],1)&amp;VALUE(MID(T_LOCATION[[#This Row],[ProjectID]],2,99)),
"")</f>
        <v>R156</v>
      </c>
      <c r="C98" t="s">
        <v>194</v>
      </c>
      <c r="D98" t="str">
        <f>_xlfn.TEXTJOIN(" | ", TRUE, T_LOCATION[[#This Row],[ProjectID]], T_LOCATION[[#This Row],[ProjectID Abb]], T_LOCATION[[#This Row],[ProjectName]])</f>
        <v>R00000156 | R156 | ITD Cementation - Ruwais LNG</v>
      </c>
    </row>
    <row r="99" spans="1:4" x14ac:dyDescent="0.25">
      <c r="A99" s="14" t="s">
        <v>195</v>
      </c>
      <c r="B99" t="str">
        <f>IF(OR(LEFT(T_LOCATION[[#This Row],[ProjectID]],4)="J000",LEFT(T_LOCATION[[#This Row],[ProjectID]],4)="R000"),
LEFT(T_LOCATION[[#This Row],[ProjectID]],1)&amp;VALUE(MID(T_LOCATION[[#This Row],[ProjectID]],2,99)),
"")</f>
        <v>R159</v>
      </c>
      <c r="C99" t="s">
        <v>196</v>
      </c>
      <c r="D99" t="str">
        <f>_xlfn.TEXTJOIN(" | ", TRUE, T_LOCATION[[#This Row],[ProjectID]], T_LOCATION[[#This Row],[ProjectID Abb]], T_LOCATION[[#This Row],[ProjectName]])</f>
        <v>R00000159 | R159 | DCS - Baitha Qassem</v>
      </c>
    </row>
    <row r="100" spans="1:4" x14ac:dyDescent="0.25">
      <c r="A100" s="14" t="s">
        <v>197</v>
      </c>
      <c r="B100" t="str">
        <f>IF(OR(LEFT(T_LOCATION[[#This Row],[ProjectID]],4)="J000",LEFT(T_LOCATION[[#This Row],[ProjectID]],4)="R000"),
LEFT(T_LOCATION[[#This Row],[ProjectID]],1)&amp;VALUE(MID(T_LOCATION[[#This Row],[ProjectID]],2,99)),
"")</f>
        <v>R160</v>
      </c>
      <c r="C100" t="s">
        <v>198</v>
      </c>
      <c r="D100" t="str">
        <f>_xlfn.TEXTJOIN(" | ", TRUE, T_LOCATION[[#This Row],[ProjectID]], T_LOCATION[[#This Row],[ProjectID Abb]], T_LOCATION[[#This Row],[ProjectName]])</f>
        <v>R00000160 | R160 | AL QARYAN - Al Khobar</v>
      </c>
    </row>
    <row r="101" spans="1:4" x14ac:dyDescent="0.25">
      <c r="A101" s="14" t="s">
        <v>199</v>
      </c>
      <c r="B101" t="str">
        <f>IF(OR(LEFT(T_LOCATION[[#This Row],[ProjectID]],4)="J000",LEFT(T_LOCATION[[#This Row],[ProjectID]],4)="R000"),
LEFT(T_LOCATION[[#This Row],[ProjectID]],1)&amp;VALUE(MID(T_LOCATION[[#This Row],[ProjectID]],2,99)),
"")</f>
        <v>R161</v>
      </c>
      <c r="C101" t="s">
        <v>200</v>
      </c>
      <c r="D101" t="str">
        <f>_xlfn.TEXTJOIN(" | ", TRUE, T_LOCATION[[#This Row],[ProjectID]], T_LOCATION[[#This Row],[ProjectID Abb]], T_LOCATION[[#This Row],[ProjectName]])</f>
        <v>R00000161 | R161 | TARGET - Mina Port</v>
      </c>
    </row>
    <row r="102" spans="1:4" x14ac:dyDescent="0.25">
      <c r="A102" s="14" t="s">
        <v>201</v>
      </c>
      <c r="B102" t="str">
        <f>IF(OR(LEFT(T_LOCATION[[#This Row],[ProjectID]],4)="J000",LEFT(T_LOCATION[[#This Row],[ProjectID]],4)="R000"),
LEFT(T_LOCATION[[#This Row],[ProjectID]],1)&amp;VALUE(MID(T_LOCATION[[#This Row],[ProjectID]],2,99)),
"")</f>
        <v>R162</v>
      </c>
      <c r="C102" t="s">
        <v>202</v>
      </c>
      <c r="D102" t="str">
        <f>_xlfn.TEXTJOIN(" | ", TRUE, T_LOCATION[[#This Row],[ProjectID]], T_LOCATION[[#This Row],[ProjectID Abb]], T_LOCATION[[#This Row],[ProjectName]])</f>
        <v>R00000162 | R162 | JIATAI Contracting - Al Sila Port</v>
      </c>
    </row>
    <row r="103" spans="1:4" x14ac:dyDescent="0.25">
      <c r="A103" s="14" t="s">
        <v>203</v>
      </c>
      <c r="B103" t="str">
        <f>IF(OR(LEFT(T_LOCATION[[#This Row],[ProjectID]],4)="J000",LEFT(T_LOCATION[[#This Row],[ProjectID]],4)="R000"),
LEFT(T_LOCATION[[#This Row],[ProjectID]],1)&amp;VALUE(MID(T_LOCATION[[#This Row],[ProjectID]],2,99)),
"")</f>
        <v>R163</v>
      </c>
      <c r="C103" t="s">
        <v>204</v>
      </c>
      <c r="D103" t="str">
        <f>_xlfn.TEXTJOIN(" | ", TRUE, T_LOCATION[[#This Row],[ProjectID]], T_LOCATION[[#This Row],[ProjectID Abb]], T_LOCATION[[#This Row],[ProjectName]])</f>
        <v>R00000163 | R163 | AL QARYAN - Shuaibah</v>
      </c>
    </row>
    <row r="104" spans="1:4" x14ac:dyDescent="0.25">
      <c r="A104" s="14" t="s">
        <v>205</v>
      </c>
      <c r="B104" t="str">
        <f>IF(OR(LEFT(T_LOCATION[[#This Row],[ProjectID]],4)="J000",LEFT(T_LOCATION[[#This Row],[ProjectID]],4)="R000"),
LEFT(T_LOCATION[[#This Row],[ProjectID]],1)&amp;VALUE(MID(T_LOCATION[[#This Row],[ProjectID]],2,99)),
"")</f>
        <v>R164</v>
      </c>
      <c r="C104" t="s">
        <v>206</v>
      </c>
      <c r="D104" t="str">
        <f>_xlfn.TEXTJOIN(" | ", TRUE, T_LOCATION[[#This Row],[ProjectID]], T_LOCATION[[#This Row],[ProjectID Abb]], T_LOCATION[[#This Row],[ProjectName]])</f>
        <v>R00000164 | R164 | NMDC - Ghantoot Ora-Bayn Phase 1</v>
      </c>
    </row>
    <row r="105" spans="1:4" x14ac:dyDescent="0.25">
      <c r="A105" s="14" t="s">
        <v>207</v>
      </c>
      <c r="B105" t="str">
        <f>IF(OR(LEFT(T_LOCATION[[#This Row],[ProjectID]],4)="J000",LEFT(T_LOCATION[[#This Row],[ProjectID]],4)="R000"),
LEFT(T_LOCATION[[#This Row],[ProjectID]],1)&amp;VALUE(MID(T_LOCATION[[#This Row],[ProjectID]],2,99)),
"")</f>
        <v>R165</v>
      </c>
      <c r="C105" t="s">
        <v>208</v>
      </c>
      <c r="D105" t="str">
        <f>_xlfn.TEXTJOIN(" | ", TRUE, T_LOCATION[[#This Row],[ProjectID]], T_LOCATION[[#This Row],[ProjectID Abb]], T_LOCATION[[#This Row],[ProjectName]])</f>
        <v>R00000165 | R165 | ALEC - The Sphere</v>
      </c>
    </row>
    <row r="106" spans="1:4" x14ac:dyDescent="0.25">
      <c r="A106" s="14" t="s">
        <v>209</v>
      </c>
      <c r="B106" t="str">
        <f>IF(OR(LEFT(T_LOCATION[[#This Row],[ProjectID]],4)="J000",LEFT(T_LOCATION[[#This Row],[ProjectID]],4)="R000"),
LEFT(T_LOCATION[[#This Row],[ProjectID]],1)&amp;VALUE(MID(T_LOCATION[[#This Row],[ProjectID]],2,99)),
"")</f>
        <v>R166</v>
      </c>
      <c r="C106" t="s">
        <v>210</v>
      </c>
      <c r="D106" t="str">
        <f>_xlfn.TEXTJOIN(" | ", TRUE, T_LOCATION[[#This Row],[ProjectID]], T_LOCATION[[#This Row],[ProjectID Abb]], T_LOCATION[[#This Row],[ProjectName]])</f>
        <v>R00000166 | R166 | NMDC - Khalifa Port</v>
      </c>
    </row>
    <row r="107" spans="1:4" x14ac:dyDescent="0.25">
      <c r="A107" s="14" t="s">
        <v>1266</v>
      </c>
      <c r="B107" t="str">
        <f>IF(OR(LEFT(T_LOCATION[[#This Row],[ProjectID]],4)="J000",LEFT(T_LOCATION[[#This Row],[ProjectID]],4)="R000"),
LEFT(T_LOCATION[[#This Row],[ProjectID]],1)&amp;VALUE(MID(T_LOCATION[[#This Row],[ProjectID]],2,99)),
"")</f>
        <v>R167</v>
      </c>
      <c r="C107" t="s">
        <v>1267</v>
      </c>
      <c r="D107" t="str">
        <f>_xlfn.TEXTJOIN(" | ", TRUE, T_LOCATION[[#This Row],[ProjectID]], T_LOCATION[[#This Row],[ProjectID Abb]], T_LOCATION[[#This Row],[ProjectName]])</f>
        <v>R00000167 | R167 | ARCO - Khor Fakkan Marine Works</v>
      </c>
    </row>
    <row r="108" spans="1:4" x14ac:dyDescent="0.25">
      <c r="A108" s="14" t="s">
        <v>1268</v>
      </c>
      <c r="B108" t="str">
        <f>IF(OR(LEFT(T_LOCATION[[#This Row],[ProjectID]],4)="J000",LEFT(T_LOCATION[[#This Row],[ProjectID]],4)="R000"),
LEFT(T_LOCATION[[#This Row],[ProjectID]],1)&amp;VALUE(MID(T_LOCATION[[#This Row],[ProjectID]],2,99)),
"")</f>
        <v>R168</v>
      </c>
      <c r="C108" t="s">
        <v>1269</v>
      </c>
      <c r="D108" t="str">
        <f>_xlfn.TEXTJOIN(" | ", TRUE, T_LOCATION[[#This Row],[ProjectID]], T_LOCATION[[#This Row],[ProjectID Abb]], T_LOCATION[[#This Row],[ProjectName]])</f>
        <v>R00000168 | R168 | AMTC - Bubasala Razeen</v>
      </c>
    </row>
    <row r="109" spans="1:4" x14ac:dyDescent="0.25">
      <c r="A109" s="14" t="s">
        <v>1270</v>
      </c>
      <c r="B109" t="str">
        <f>IF(OR(LEFT(T_LOCATION[[#This Row],[ProjectID]],4)="J000",LEFT(T_LOCATION[[#This Row],[ProjectID]],4)="R000"),
LEFT(T_LOCATION[[#This Row],[ProjectID]],1)&amp;VALUE(MID(T_LOCATION[[#This Row],[ProjectID]],2,99)),
"")</f>
        <v>R169</v>
      </c>
      <c r="C109" t="s">
        <v>1271</v>
      </c>
      <c r="D109" t="str">
        <f>_xlfn.TEXTJOIN(" | ", TRUE, T_LOCATION[[#This Row],[ProjectID]], T_LOCATION[[#This Row],[ProjectID Abb]], T_LOCATION[[#This Row],[ProjectName]])</f>
        <v>R00000169 | R169 | Van Vliet - Demolition Ras Laffan</v>
      </c>
    </row>
    <row r="110" spans="1:4" x14ac:dyDescent="0.25">
      <c r="A110" s="14" t="s">
        <v>1272</v>
      </c>
      <c r="B110" t="str">
        <f>IF(OR(LEFT(T_LOCATION[[#This Row],[ProjectID]],4)="J000",LEFT(T_LOCATION[[#This Row],[ProjectID]],4)="R000"),
LEFT(T_LOCATION[[#This Row],[ProjectID]],1)&amp;VALUE(MID(T_LOCATION[[#This Row],[ProjectID]],2,99)),
"")</f>
        <v>R170</v>
      </c>
      <c r="C110" t="s">
        <v>1273</v>
      </c>
      <c r="D110" t="str">
        <f>_xlfn.TEXTJOIN(" | ", TRUE, T_LOCATION[[#This Row],[ProjectID]], T_LOCATION[[#This Row],[ProjectID Abb]], T_LOCATION[[#This Row],[ProjectName]])</f>
        <v>R00000170 | R170 | Van Oord - Naia Island</v>
      </c>
    </row>
    <row r="111" spans="1:4" x14ac:dyDescent="0.25">
      <c r="A111" s="14" t="s">
        <v>1274</v>
      </c>
      <c r="B111" t="str">
        <f>IF(OR(LEFT(T_LOCATION[[#This Row],[ProjectID]],4)="J000",LEFT(T_LOCATION[[#This Row],[ProjectID]],4)="R000"),
LEFT(T_LOCATION[[#This Row],[ProjectID]],1)&amp;VALUE(MID(T_LOCATION[[#This Row],[ProjectID]],2,99)),
"")</f>
        <v>R171</v>
      </c>
      <c r="C111" t="s">
        <v>1275</v>
      </c>
      <c r="D111" t="str">
        <f>_xlfn.TEXTJOIN(" | ", TRUE, T_LOCATION[[#This Row],[ProjectID]], T_LOCATION[[#This Row],[ProjectID Abb]], T_LOCATION[[#This Row],[ProjectName]])</f>
        <v>R00000171 | R171 | BVA Marine - Dubai Creek Harbour</v>
      </c>
    </row>
    <row r="112" spans="1:4" x14ac:dyDescent="0.25">
      <c r="A112" s="14" t="s">
        <v>1276</v>
      </c>
      <c r="B112" t="str">
        <f>IF(OR(LEFT(T_LOCATION[[#This Row],[ProjectID]],4)="J000",LEFT(T_LOCATION[[#This Row],[ProjectID]],4)="R000"),
LEFT(T_LOCATION[[#This Row],[ProjectID]],1)&amp;VALUE(MID(T_LOCATION[[#This Row],[ProjectID]],2,99)),
"")</f>
        <v>R172</v>
      </c>
      <c r="C112" t="s">
        <v>1277</v>
      </c>
      <c r="D112" t="str">
        <f>_xlfn.TEXTJOIN(" | ", TRUE, T_LOCATION[[#This Row],[ProjectID]], T_LOCATION[[#This Row],[ProjectID Abb]], T_LOCATION[[#This Row],[ProjectName]])</f>
        <v>R00000172 | R172 | BESIX - Sohar Port</v>
      </c>
    </row>
    <row r="113" spans="1:4" x14ac:dyDescent="0.25">
      <c r="A113" s="14" t="s">
        <v>1278</v>
      </c>
      <c r="B113" t="str">
        <f>IF(OR(LEFT(T_LOCATION[[#This Row],[ProjectID]],4)="J000",LEFT(T_LOCATION[[#This Row],[ProjectID]],4)="R000"),
LEFT(T_LOCATION[[#This Row],[ProjectID]],1)&amp;VALUE(MID(T_LOCATION[[#This Row],[ProjectID]],2,99)),
"")</f>
        <v>R173</v>
      </c>
      <c r="C113" t="s">
        <v>1279</v>
      </c>
      <c r="D113" t="str">
        <f>_xlfn.TEXTJOIN(" | ", TRUE, T_LOCATION[[#This Row],[ProjectID]], T_LOCATION[[#This Row],[ProjectID Abb]], T_LOCATION[[#This Row],[ProjectName]])</f>
        <v>R00000173 | R173 | Larsen &amp; Toubro - DEWA Solar Plant</v>
      </c>
    </row>
    <row r="114" spans="1:4" x14ac:dyDescent="0.25">
      <c r="A114" s="14" t="s">
        <v>1280</v>
      </c>
      <c r="B114" t="str">
        <f>IF(OR(LEFT(T_LOCATION[[#This Row],[ProjectID]],4)="J000",LEFT(T_LOCATION[[#This Row],[ProjectID]],4)="R000"),
LEFT(T_LOCATION[[#This Row],[ProjectID]],1)&amp;VALUE(MID(T_LOCATION[[#This Row],[ProjectID]],2,99)),
"")</f>
        <v>R174</v>
      </c>
      <c r="C114" t="s">
        <v>1281</v>
      </c>
      <c r="D114" t="str">
        <f>_xlfn.TEXTJOIN(" | ", TRUE, T_LOCATION[[#This Row],[ProjectID]], T_LOCATION[[#This Row],[ProjectID Abb]], T_LOCATION[[#This Row],[ProjectName]])</f>
        <v>R00000174 | R174 | RDMC - Petrosea Pakistan TSF Project</v>
      </c>
    </row>
    <row r="115" spans="1:4" x14ac:dyDescent="0.25">
      <c r="A115" s="14" t="s">
        <v>1282</v>
      </c>
      <c r="B115" t="str">
        <f>IF(OR(LEFT(T_LOCATION[[#This Row],[ProjectID]],4)="J000",LEFT(T_LOCATION[[#This Row],[ProjectID]],4)="R000"),
LEFT(T_LOCATION[[#This Row],[ProjectID]],1)&amp;VALUE(MID(T_LOCATION[[#This Row],[ProjectID]],2,99)),
"")</f>
        <v>R175</v>
      </c>
      <c r="C115" t="s">
        <v>1283</v>
      </c>
      <c r="D115" t="str">
        <f>_xlfn.TEXTJOIN(" | ", TRUE, T_LOCATION[[#This Row],[ProjectID]], T_LOCATION[[#This Row],[ProjectID Abb]], T_LOCATION[[#This Row],[ProjectName]])</f>
        <v>R00000175 | R175 | SARCO - OXT2 Quay Wall</v>
      </c>
    </row>
    <row r="116" spans="1:4" x14ac:dyDescent="0.25">
      <c r="A116" s="14" t="s">
        <v>1284</v>
      </c>
      <c r="B116" t="str">
        <f>IF(OR(LEFT(T_LOCATION[[#This Row],[ProjectID]],4)="J000",LEFT(T_LOCATION[[#This Row],[ProjectID]],4)="R000"),
LEFT(T_LOCATION[[#This Row],[ProjectID]],1)&amp;VALUE(MID(T_LOCATION[[#This Row],[ProjectID]],2,99)),
"")</f>
        <v>R176</v>
      </c>
      <c r="C116" t="s">
        <v>1285</v>
      </c>
      <c r="D116" t="str">
        <f>_xlfn.TEXTJOIN(" | ", TRUE, T_LOCATION[[#This Row],[ProjectID]], T_LOCATION[[#This Row],[ProjectID Abb]], T_LOCATION[[#This Row],[ProjectName]])</f>
        <v>R00000176 | R176 | NMDC - Jelly Fish Island</v>
      </c>
    </row>
    <row r="117" spans="1:4" x14ac:dyDescent="0.25">
      <c r="A117" s="14" t="s">
        <v>1286</v>
      </c>
      <c r="B117" t="str">
        <f>IF(OR(LEFT(T_LOCATION[[#This Row],[ProjectID]],4)="J000",LEFT(T_LOCATION[[#This Row],[ProjectID]],4)="R000"),
LEFT(T_LOCATION[[#This Row],[ProjectID]],1)&amp;VALUE(MID(T_LOCATION[[#This Row],[ProjectID]],2,99)),
"")</f>
        <v>R177</v>
      </c>
      <c r="C117" t="s">
        <v>1287</v>
      </c>
      <c r="D117" t="str">
        <f>_xlfn.TEXTJOIN(" | ", TRUE, T_LOCATION[[#This Row],[ProjectID]], T_LOCATION[[#This Row],[ProjectID Abb]], T_LOCATION[[#This Row],[ProjectName]])</f>
        <v>R00000177 | R177 | NMDC - Fujairah Navy Base</v>
      </c>
    </row>
    <row r="118" spans="1:4" x14ac:dyDescent="0.25">
      <c r="A118" s="14" t="s">
        <v>1288</v>
      </c>
      <c r="B118" t="str">
        <f>IF(OR(LEFT(T_LOCATION[[#This Row],[ProjectID]],4)="J000",LEFT(T_LOCATION[[#This Row],[ProjectID]],4)="R000"),
LEFT(T_LOCATION[[#This Row],[ProjectID]],1)&amp;VALUE(MID(T_LOCATION[[#This Row],[ProjectID]],2,99)),
"")</f>
        <v>R178</v>
      </c>
      <c r="C118" t="s">
        <v>1289</v>
      </c>
      <c r="D118" t="str">
        <f>_xlfn.TEXTJOIN(" | ", TRUE, T_LOCATION[[#This Row],[ProjectID]], T_LOCATION[[#This Row],[ProjectID Abb]], T_LOCATION[[#This Row],[ProjectName]])</f>
        <v>R00000178 | R178 | ALMUHANDIS - NMDC Yard Icad 2</v>
      </c>
    </row>
    <row r="119" spans="1:4" x14ac:dyDescent="0.25">
      <c r="A119" t="s">
        <v>211</v>
      </c>
      <c r="B119" t="s">
        <v>1290</v>
      </c>
      <c r="C119" t="s">
        <v>212</v>
      </c>
      <c r="D119" t="str">
        <f>_xlfn.TEXTJOIN(" | ", TRUE, T_LOCATION[[#This Row],[ProjectID]], T_LOCATION[[#This Row],[ProjectID Abb]], T_LOCATION[[#This Row],[ProjectName]])</f>
        <v>ICAD III | Mussafah | Abu dhabi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11BA-7C7F-490C-952D-BC98FDD4E053}">
  <sheetPr codeName="Sheet7"/>
  <dimension ref="A1:E191"/>
  <sheetViews>
    <sheetView tabSelected="1" topLeftCell="A178" workbookViewId="0">
      <selection activeCell="C201" sqref="C201"/>
    </sheetView>
  </sheetViews>
  <sheetFormatPr defaultRowHeight="15" x14ac:dyDescent="0.25"/>
  <cols>
    <col min="1" max="1" width="26" bestFit="1" customWidth="1"/>
    <col min="2" max="2" width="30.28515625" bestFit="1" customWidth="1"/>
    <col min="3" max="3" width="35.140625" bestFit="1" customWidth="1"/>
    <col min="4" max="4" width="16.140625" bestFit="1" customWidth="1"/>
    <col min="5" max="5" width="33" bestFit="1" customWidth="1"/>
  </cols>
  <sheetData>
    <row r="1" spans="1:5" x14ac:dyDescent="0.25">
      <c r="A1" t="s">
        <v>693</v>
      </c>
      <c r="B1" t="s">
        <v>694</v>
      </c>
      <c r="C1" t="s">
        <v>695</v>
      </c>
      <c r="D1" t="s">
        <v>696</v>
      </c>
      <c r="E1" t="s">
        <v>697</v>
      </c>
    </row>
    <row r="2" spans="1:5" x14ac:dyDescent="0.25">
      <c r="A2" t="s">
        <v>698</v>
      </c>
      <c r="B2" t="s">
        <v>699</v>
      </c>
      <c r="C2" t="s">
        <v>700</v>
      </c>
      <c r="D2" t="s">
        <v>701</v>
      </c>
      <c r="E2" t="s">
        <v>702</v>
      </c>
    </row>
    <row r="3" spans="1:5" x14ac:dyDescent="0.25">
      <c r="A3" t="s">
        <v>703</v>
      </c>
      <c r="B3" t="s">
        <v>704</v>
      </c>
      <c r="C3" t="s">
        <v>705</v>
      </c>
      <c r="D3" t="s">
        <v>706</v>
      </c>
      <c r="E3" t="s">
        <v>707</v>
      </c>
    </row>
    <row r="4" spans="1:5" x14ac:dyDescent="0.25">
      <c r="A4" t="s">
        <v>708</v>
      </c>
      <c r="B4" t="s">
        <v>699</v>
      </c>
      <c r="C4" t="s">
        <v>709</v>
      </c>
      <c r="D4" t="s">
        <v>701</v>
      </c>
      <c r="E4" t="s">
        <v>710</v>
      </c>
    </row>
    <row r="5" spans="1:5" x14ac:dyDescent="0.25">
      <c r="A5" t="s">
        <v>711</v>
      </c>
      <c r="B5" t="s">
        <v>699</v>
      </c>
      <c r="C5" t="s">
        <v>712</v>
      </c>
      <c r="D5" t="s">
        <v>701</v>
      </c>
      <c r="E5" t="s">
        <v>713</v>
      </c>
    </row>
    <row r="6" spans="1:5" x14ac:dyDescent="0.25">
      <c r="A6" t="s">
        <v>714</v>
      </c>
      <c r="B6" t="s">
        <v>704</v>
      </c>
      <c r="C6" t="s">
        <v>715</v>
      </c>
      <c r="D6" t="s">
        <v>706</v>
      </c>
      <c r="E6" t="s">
        <v>716</v>
      </c>
    </row>
    <row r="7" spans="1:5" x14ac:dyDescent="0.25">
      <c r="A7" t="s">
        <v>717</v>
      </c>
      <c r="B7" t="s">
        <v>699</v>
      </c>
      <c r="C7" t="s">
        <v>718</v>
      </c>
      <c r="D7" t="s">
        <v>719</v>
      </c>
      <c r="E7" t="s">
        <v>720</v>
      </c>
    </row>
    <row r="8" spans="1:5" x14ac:dyDescent="0.25">
      <c r="A8" t="s">
        <v>721</v>
      </c>
      <c r="B8" t="s">
        <v>699</v>
      </c>
      <c r="C8" t="s">
        <v>722</v>
      </c>
      <c r="D8" t="s">
        <v>701</v>
      </c>
      <c r="E8" t="s">
        <v>723</v>
      </c>
    </row>
    <row r="9" spans="1:5" x14ac:dyDescent="0.25">
      <c r="A9" t="s">
        <v>724</v>
      </c>
      <c r="B9" t="s">
        <v>699</v>
      </c>
      <c r="C9" t="s">
        <v>725</v>
      </c>
      <c r="D9" t="s">
        <v>701</v>
      </c>
      <c r="E9" t="s">
        <v>726</v>
      </c>
    </row>
    <row r="10" spans="1:5" x14ac:dyDescent="0.25">
      <c r="A10" t="s">
        <v>727</v>
      </c>
      <c r="B10" t="s">
        <v>699</v>
      </c>
      <c r="C10" t="s">
        <v>728</v>
      </c>
      <c r="D10" t="s">
        <v>701</v>
      </c>
      <c r="E10" t="s">
        <v>729</v>
      </c>
    </row>
    <row r="11" spans="1:5" x14ac:dyDescent="0.25">
      <c r="A11" t="s">
        <v>730</v>
      </c>
      <c r="B11" t="s">
        <v>699</v>
      </c>
      <c r="C11" t="s">
        <v>731</v>
      </c>
      <c r="D11" t="s">
        <v>701</v>
      </c>
      <c r="E11" t="s">
        <v>732</v>
      </c>
    </row>
    <row r="12" spans="1:5" x14ac:dyDescent="0.25">
      <c r="A12" t="s">
        <v>733</v>
      </c>
      <c r="B12" t="s">
        <v>699</v>
      </c>
      <c r="C12" t="s">
        <v>734</v>
      </c>
      <c r="D12" t="s">
        <v>701</v>
      </c>
      <c r="E12" t="s">
        <v>735</v>
      </c>
    </row>
    <row r="13" spans="1:5" x14ac:dyDescent="0.25">
      <c r="A13" t="s">
        <v>736</v>
      </c>
      <c r="B13" t="s">
        <v>699</v>
      </c>
      <c r="C13" t="s">
        <v>737</v>
      </c>
      <c r="D13" t="s">
        <v>701</v>
      </c>
      <c r="E13" t="s">
        <v>738</v>
      </c>
    </row>
    <row r="14" spans="1:5" x14ac:dyDescent="0.25">
      <c r="A14" t="s">
        <v>739</v>
      </c>
      <c r="B14" t="s">
        <v>699</v>
      </c>
      <c r="C14" t="s">
        <v>740</v>
      </c>
      <c r="D14" t="s">
        <v>701</v>
      </c>
      <c r="E14" t="s">
        <v>741</v>
      </c>
    </row>
    <row r="15" spans="1:5" x14ac:dyDescent="0.25">
      <c r="A15" t="s">
        <v>742</v>
      </c>
      <c r="B15" t="s">
        <v>699</v>
      </c>
      <c r="C15" t="s">
        <v>743</v>
      </c>
      <c r="D15" t="s">
        <v>744</v>
      </c>
      <c r="E15" t="s">
        <v>741</v>
      </c>
    </row>
    <row r="16" spans="1:5" x14ac:dyDescent="0.25">
      <c r="A16" t="s">
        <v>745</v>
      </c>
      <c r="B16" t="s">
        <v>699</v>
      </c>
      <c r="C16" t="s">
        <v>746</v>
      </c>
      <c r="D16" t="s">
        <v>701</v>
      </c>
      <c r="E16" t="s">
        <v>747</v>
      </c>
    </row>
    <row r="17" spans="1:5" x14ac:dyDescent="0.25">
      <c r="A17" t="s">
        <v>748</v>
      </c>
      <c r="B17" t="s">
        <v>699</v>
      </c>
      <c r="C17" t="s">
        <v>749</v>
      </c>
      <c r="D17" t="s">
        <v>701</v>
      </c>
      <c r="E17" t="s">
        <v>750</v>
      </c>
    </row>
    <row r="18" spans="1:5" x14ac:dyDescent="0.25">
      <c r="A18" t="s">
        <v>751</v>
      </c>
      <c r="B18" t="s">
        <v>699</v>
      </c>
      <c r="C18" t="s">
        <v>752</v>
      </c>
      <c r="D18" t="s">
        <v>701</v>
      </c>
      <c r="E18" t="s">
        <v>753</v>
      </c>
    </row>
    <row r="19" spans="1:5" x14ac:dyDescent="0.25">
      <c r="A19" t="s">
        <v>754</v>
      </c>
      <c r="B19" t="s">
        <v>699</v>
      </c>
      <c r="C19" t="s">
        <v>755</v>
      </c>
      <c r="D19" t="s">
        <v>756</v>
      </c>
      <c r="E19" t="s">
        <v>757</v>
      </c>
    </row>
    <row r="20" spans="1:5" x14ac:dyDescent="0.25">
      <c r="A20" t="s">
        <v>758</v>
      </c>
      <c r="B20" t="s">
        <v>699</v>
      </c>
      <c r="C20" t="s">
        <v>759</v>
      </c>
      <c r="D20" t="s">
        <v>719</v>
      </c>
      <c r="E20" t="s">
        <v>760</v>
      </c>
    </row>
    <row r="21" spans="1:5" x14ac:dyDescent="0.25">
      <c r="A21" t="s">
        <v>761</v>
      </c>
      <c r="B21" t="s">
        <v>699</v>
      </c>
      <c r="C21" t="s">
        <v>762</v>
      </c>
      <c r="D21" t="s">
        <v>719</v>
      </c>
      <c r="E21" t="s">
        <v>763</v>
      </c>
    </row>
    <row r="22" spans="1:5" x14ac:dyDescent="0.25">
      <c r="A22" t="s">
        <v>764</v>
      </c>
      <c r="B22" t="s">
        <v>699</v>
      </c>
      <c r="C22" t="s">
        <v>765</v>
      </c>
      <c r="D22" t="s">
        <v>701</v>
      </c>
      <c r="E22" t="s">
        <v>720</v>
      </c>
    </row>
    <row r="23" spans="1:5" x14ac:dyDescent="0.25">
      <c r="A23" t="s">
        <v>766</v>
      </c>
      <c r="B23" t="s">
        <v>699</v>
      </c>
      <c r="C23" t="s">
        <v>767</v>
      </c>
      <c r="D23" t="s">
        <v>701</v>
      </c>
      <c r="E23" t="s">
        <v>768</v>
      </c>
    </row>
    <row r="24" spans="1:5" x14ac:dyDescent="0.25">
      <c r="A24" t="s">
        <v>769</v>
      </c>
      <c r="B24" t="s">
        <v>699</v>
      </c>
      <c r="C24" t="s">
        <v>770</v>
      </c>
      <c r="D24" t="s">
        <v>701</v>
      </c>
      <c r="E24" t="s">
        <v>753</v>
      </c>
    </row>
    <row r="25" spans="1:5" x14ac:dyDescent="0.25">
      <c r="A25" t="s">
        <v>771</v>
      </c>
      <c r="B25" t="s">
        <v>699</v>
      </c>
      <c r="C25" t="s">
        <v>772</v>
      </c>
      <c r="D25" t="s">
        <v>701</v>
      </c>
      <c r="E25" t="s">
        <v>773</v>
      </c>
    </row>
    <row r="26" spans="1:5" x14ac:dyDescent="0.25">
      <c r="A26" t="s">
        <v>774</v>
      </c>
      <c r="B26" t="s">
        <v>699</v>
      </c>
      <c r="C26" t="s">
        <v>775</v>
      </c>
      <c r="D26" t="s">
        <v>701</v>
      </c>
    </row>
    <row r="27" spans="1:5" x14ac:dyDescent="0.25">
      <c r="A27" t="s">
        <v>776</v>
      </c>
      <c r="B27" t="s">
        <v>699</v>
      </c>
      <c r="C27" t="s">
        <v>777</v>
      </c>
      <c r="D27" t="s">
        <v>701</v>
      </c>
      <c r="E27" t="s">
        <v>778</v>
      </c>
    </row>
    <row r="28" spans="1:5" x14ac:dyDescent="0.25">
      <c r="A28" t="s">
        <v>779</v>
      </c>
      <c r="B28" t="s">
        <v>699</v>
      </c>
      <c r="C28" t="s">
        <v>780</v>
      </c>
      <c r="D28" t="s">
        <v>756</v>
      </c>
      <c r="E28" t="s">
        <v>757</v>
      </c>
    </row>
    <row r="29" spans="1:5" x14ac:dyDescent="0.25">
      <c r="A29" t="s">
        <v>781</v>
      </c>
      <c r="B29" t="s">
        <v>699</v>
      </c>
      <c r="C29" t="s">
        <v>782</v>
      </c>
      <c r="D29" t="s">
        <v>719</v>
      </c>
      <c r="E29" t="s">
        <v>783</v>
      </c>
    </row>
    <row r="30" spans="1:5" x14ac:dyDescent="0.25">
      <c r="A30" t="s">
        <v>784</v>
      </c>
      <c r="B30" t="s">
        <v>699</v>
      </c>
      <c r="C30" t="s">
        <v>785</v>
      </c>
      <c r="D30" t="s">
        <v>701</v>
      </c>
      <c r="E30" t="s">
        <v>720</v>
      </c>
    </row>
    <row r="31" spans="1:5" x14ac:dyDescent="0.25">
      <c r="A31" t="s">
        <v>786</v>
      </c>
      <c r="B31" t="s">
        <v>699</v>
      </c>
      <c r="C31" t="s">
        <v>787</v>
      </c>
      <c r="E31" t="s">
        <v>788</v>
      </c>
    </row>
    <row r="32" spans="1:5" x14ac:dyDescent="0.25">
      <c r="A32" t="s">
        <v>789</v>
      </c>
      <c r="B32" t="s">
        <v>699</v>
      </c>
      <c r="C32" t="s">
        <v>790</v>
      </c>
      <c r="D32" t="s">
        <v>701</v>
      </c>
      <c r="E32" t="s">
        <v>791</v>
      </c>
    </row>
    <row r="33" spans="1:5" x14ac:dyDescent="0.25">
      <c r="A33" t="s">
        <v>792</v>
      </c>
      <c r="B33" t="s">
        <v>699</v>
      </c>
      <c r="C33" t="s">
        <v>793</v>
      </c>
      <c r="D33" t="s">
        <v>701</v>
      </c>
      <c r="E33" t="s">
        <v>794</v>
      </c>
    </row>
    <row r="34" spans="1:5" x14ac:dyDescent="0.25">
      <c r="A34" t="s">
        <v>795</v>
      </c>
      <c r="B34" t="s">
        <v>699</v>
      </c>
      <c r="C34" t="s">
        <v>796</v>
      </c>
      <c r="D34" t="s">
        <v>797</v>
      </c>
      <c r="E34" t="s">
        <v>798</v>
      </c>
    </row>
    <row r="35" spans="1:5" x14ac:dyDescent="0.25">
      <c r="A35" t="s">
        <v>799</v>
      </c>
      <c r="B35" t="s">
        <v>800</v>
      </c>
      <c r="C35" t="s">
        <v>801</v>
      </c>
      <c r="D35" t="s">
        <v>802</v>
      </c>
    </row>
    <row r="36" spans="1:5" x14ac:dyDescent="0.25">
      <c r="A36" t="s">
        <v>803</v>
      </c>
      <c r="B36" t="s">
        <v>699</v>
      </c>
      <c r="C36" t="s">
        <v>804</v>
      </c>
      <c r="E36" t="s">
        <v>805</v>
      </c>
    </row>
    <row r="37" spans="1:5" x14ac:dyDescent="0.25">
      <c r="A37" t="s">
        <v>806</v>
      </c>
      <c r="B37" t="s">
        <v>800</v>
      </c>
      <c r="C37" t="s">
        <v>807</v>
      </c>
      <c r="D37" t="s">
        <v>802</v>
      </c>
      <c r="E37" t="s">
        <v>808</v>
      </c>
    </row>
    <row r="38" spans="1:5" x14ac:dyDescent="0.25">
      <c r="A38" t="s">
        <v>809</v>
      </c>
      <c r="B38" t="s">
        <v>699</v>
      </c>
      <c r="C38" t="s">
        <v>810</v>
      </c>
      <c r="D38" t="s">
        <v>701</v>
      </c>
      <c r="E38" t="s">
        <v>788</v>
      </c>
    </row>
    <row r="39" spans="1:5" x14ac:dyDescent="0.25">
      <c r="A39" t="s">
        <v>811</v>
      </c>
      <c r="B39" t="s">
        <v>699</v>
      </c>
      <c r="C39" t="s">
        <v>812</v>
      </c>
      <c r="D39" t="s">
        <v>701</v>
      </c>
      <c r="E39" t="s">
        <v>813</v>
      </c>
    </row>
    <row r="40" spans="1:5" x14ac:dyDescent="0.25">
      <c r="A40" t="s">
        <v>814</v>
      </c>
      <c r="B40" t="s">
        <v>699</v>
      </c>
      <c r="C40" t="s">
        <v>815</v>
      </c>
      <c r="D40" t="s">
        <v>701</v>
      </c>
      <c r="E40" t="s">
        <v>816</v>
      </c>
    </row>
    <row r="41" spans="1:5" x14ac:dyDescent="0.25">
      <c r="A41" t="s">
        <v>817</v>
      </c>
      <c r="B41" t="s">
        <v>699</v>
      </c>
      <c r="C41" t="s">
        <v>818</v>
      </c>
      <c r="D41" t="s">
        <v>701</v>
      </c>
      <c r="E41" t="s">
        <v>819</v>
      </c>
    </row>
    <row r="42" spans="1:5" x14ac:dyDescent="0.25">
      <c r="A42" t="s">
        <v>820</v>
      </c>
      <c r="B42" t="s">
        <v>699</v>
      </c>
      <c r="C42" t="s">
        <v>821</v>
      </c>
      <c r="D42" t="s">
        <v>822</v>
      </c>
      <c r="E42" t="s">
        <v>707</v>
      </c>
    </row>
    <row r="43" spans="1:5" x14ac:dyDescent="0.25">
      <c r="A43" t="s">
        <v>823</v>
      </c>
      <c r="B43" t="s">
        <v>699</v>
      </c>
      <c r="C43" t="s">
        <v>824</v>
      </c>
      <c r="D43" t="s">
        <v>701</v>
      </c>
      <c r="E43" t="s">
        <v>825</v>
      </c>
    </row>
    <row r="44" spans="1:5" x14ac:dyDescent="0.25">
      <c r="A44" t="s">
        <v>826</v>
      </c>
      <c r="B44" t="s">
        <v>699</v>
      </c>
      <c r="C44" t="s">
        <v>827</v>
      </c>
      <c r="D44" t="s">
        <v>719</v>
      </c>
      <c r="E44" t="s">
        <v>828</v>
      </c>
    </row>
    <row r="45" spans="1:5" x14ac:dyDescent="0.25">
      <c r="A45" t="s">
        <v>829</v>
      </c>
      <c r="B45" t="s">
        <v>699</v>
      </c>
      <c r="C45" t="s">
        <v>830</v>
      </c>
      <c r="D45" t="s">
        <v>701</v>
      </c>
      <c r="E45" t="s">
        <v>831</v>
      </c>
    </row>
    <row r="46" spans="1:5" x14ac:dyDescent="0.25">
      <c r="A46" t="s">
        <v>832</v>
      </c>
      <c r="B46" t="s">
        <v>699</v>
      </c>
      <c r="C46" t="s">
        <v>833</v>
      </c>
      <c r="D46" t="s">
        <v>701</v>
      </c>
      <c r="E46" t="s">
        <v>834</v>
      </c>
    </row>
    <row r="47" spans="1:5" x14ac:dyDescent="0.25">
      <c r="A47" t="s">
        <v>835</v>
      </c>
      <c r="B47" t="s">
        <v>699</v>
      </c>
      <c r="C47" t="s">
        <v>836</v>
      </c>
      <c r="D47" t="s">
        <v>701</v>
      </c>
      <c r="E47" t="s">
        <v>837</v>
      </c>
    </row>
    <row r="48" spans="1:5" x14ac:dyDescent="0.25">
      <c r="A48" t="s">
        <v>838</v>
      </c>
      <c r="B48" t="s">
        <v>699</v>
      </c>
      <c r="C48" t="s">
        <v>839</v>
      </c>
      <c r="D48" t="s">
        <v>701</v>
      </c>
      <c r="E48" t="s">
        <v>840</v>
      </c>
    </row>
    <row r="49" spans="1:5" x14ac:dyDescent="0.25">
      <c r="A49" t="s">
        <v>841</v>
      </c>
      <c r="B49" t="s">
        <v>699</v>
      </c>
      <c r="C49" t="s">
        <v>842</v>
      </c>
      <c r="D49" t="s">
        <v>701</v>
      </c>
      <c r="E49" t="s">
        <v>843</v>
      </c>
    </row>
    <row r="50" spans="1:5" x14ac:dyDescent="0.25">
      <c r="A50" t="s">
        <v>844</v>
      </c>
      <c r="B50" t="s">
        <v>800</v>
      </c>
      <c r="C50" t="s">
        <v>845</v>
      </c>
      <c r="D50" t="s">
        <v>802</v>
      </c>
      <c r="E50" t="s">
        <v>732</v>
      </c>
    </row>
    <row r="51" spans="1:5" x14ac:dyDescent="0.25">
      <c r="A51" t="s">
        <v>846</v>
      </c>
      <c r="B51" t="s">
        <v>699</v>
      </c>
      <c r="C51" t="s">
        <v>847</v>
      </c>
      <c r="D51" t="s">
        <v>701</v>
      </c>
      <c r="E51" t="s">
        <v>848</v>
      </c>
    </row>
    <row r="52" spans="1:5" x14ac:dyDescent="0.25">
      <c r="A52" t="s">
        <v>849</v>
      </c>
      <c r="B52" t="s">
        <v>699</v>
      </c>
      <c r="C52" t="s">
        <v>850</v>
      </c>
      <c r="D52" t="s">
        <v>701</v>
      </c>
      <c r="E52" t="s">
        <v>851</v>
      </c>
    </row>
    <row r="53" spans="1:5" x14ac:dyDescent="0.25">
      <c r="A53" t="s">
        <v>852</v>
      </c>
      <c r="B53" t="s">
        <v>699</v>
      </c>
      <c r="C53" t="s">
        <v>853</v>
      </c>
      <c r="D53" t="s">
        <v>719</v>
      </c>
      <c r="E53" t="s">
        <v>729</v>
      </c>
    </row>
    <row r="54" spans="1:5" x14ac:dyDescent="0.25">
      <c r="A54" t="s">
        <v>854</v>
      </c>
      <c r="B54" t="s">
        <v>800</v>
      </c>
      <c r="C54" t="s">
        <v>855</v>
      </c>
      <c r="D54" t="s">
        <v>802</v>
      </c>
      <c r="E54" t="s">
        <v>856</v>
      </c>
    </row>
    <row r="55" spans="1:5" x14ac:dyDescent="0.25">
      <c r="A55" t="s">
        <v>857</v>
      </c>
      <c r="B55" t="s">
        <v>699</v>
      </c>
      <c r="C55" t="s">
        <v>858</v>
      </c>
      <c r="D55" t="s">
        <v>701</v>
      </c>
      <c r="E55" t="s">
        <v>859</v>
      </c>
    </row>
    <row r="56" spans="1:5" x14ac:dyDescent="0.25">
      <c r="A56" t="s">
        <v>860</v>
      </c>
      <c r="B56" t="s">
        <v>800</v>
      </c>
      <c r="C56" t="s">
        <v>861</v>
      </c>
      <c r="D56" t="s">
        <v>802</v>
      </c>
      <c r="E56" t="s">
        <v>726</v>
      </c>
    </row>
    <row r="57" spans="1:5" x14ac:dyDescent="0.25">
      <c r="A57" t="s">
        <v>862</v>
      </c>
      <c r="B57" t="s">
        <v>699</v>
      </c>
      <c r="C57" t="s">
        <v>863</v>
      </c>
      <c r="D57" t="s">
        <v>719</v>
      </c>
      <c r="E57" t="s">
        <v>720</v>
      </c>
    </row>
    <row r="58" spans="1:5" x14ac:dyDescent="0.25">
      <c r="A58" t="s">
        <v>864</v>
      </c>
      <c r="B58" t="s">
        <v>699</v>
      </c>
      <c r="C58" t="s">
        <v>865</v>
      </c>
      <c r="D58" t="s">
        <v>701</v>
      </c>
      <c r="E58" t="s">
        <v>720</v>
      </c>
    </row>
    <row r="59" spans="1:5" x14ac:dyDescent="0.25">
      <c r="A59" t="s">
        <v>866</v>
      </c>
      <c r="B59" t="s">
        <v>699</v>
      </c>
      <c r="C59" t="s">
        <v>867</v>
      </c>
      <c r="D59" t="s">
        <v>701</v>
      </c>
      <c r="E59" t="s">
        <v>710</v>
      </c>
    </row>
    <row r="60" spans="1:5" x14ac:dyDescent="0.25">
      <c r="A60" t="s">
        <v>868</v>
      </c>
      <c r="B60" t="s">
        <v>699</v>
      </c>
      <c r="C60" t="s">
        <v>869</v>
      </c>
      <c r="D60" t="s">
        <v>744</v>
      </c>
      <c r="E60" t="s">
        <v>870</v>
      </c>
    </row>
    <row r="61" spans="1:5" x14ac:dyDescent="0.25">
      <c r="A61" t="s">
        <v>871</v>
      </c>
      <c r="B61" t="s">
        <v>699</v>
      </c>
      <c r="C61" t="s">
        <v>872</v>
      </c>
      <c r="D61" t="s">
        <v>822</v>
      </c>
      <c r="E61" t="s">
        <v>716</v>
      </c>
    </row>
    <row r="62" spans="1:5" x14ac:dyDescent="0.25">
      <c r="A62" t="s">
        <v>873</v>
      </c>
      <c r="B62" t="s">
        <v>800</v>
      </c>
      <c r="C62" t="s">
        <v>874</v>
      </c>
      <c r="D62" t="s">
        <v>802</v>
      </c>
      <c r="E62" t="s">
        <v>875</v>
      </c>
    </row>
    <row r="63" spans="1:5" x14ac:dyDescent="0.25">
      <c r="A63" t="s">
        <v>876</v>
      </c>
      <c r="B63" t="s">
        <v>800</v>
      </c>
      <c r="C63" t="s">
        <v>877</v>
      </c>
      <c r="D63" t="s">
        <v>802</v>
      </c>
      <c r="E63" t="s">
        <v>791</v>
      </c>
    </row>
    <row r="64" spans="1:5" x14ac:dyDescent="0.25">
      <c r="A64" t="s">
        <v>878</v>
      </c>
      <c r="B64" t="s">
        <v>699</v>
      </c>
      <c r="C64" t="s">
        <v>879</v>
      </c>
      <c r="D64" t="s">
        <v>701</v>
      </c>
      <c r="E64" t="s">
        <v>880</v>
      </c>
    </row>
    <row r="65" spans="1:5" x14ac:dyDescent="0.25">
      <c r="A65" t="s">
        <v>881</v>
      </c>
      <c r="B65" t="s">
        <v>800</v>
      </c>
      <c r="C65" t="s">
        <v>882</v>
      </c>
      <c r="D65" t="s">
        <v>802</v>
      </c>
      <c r="E65" t="s">
        <v>716</v>
      </c>
    </row>
    <row r="66" spans="1:5" x14ac:dyDescent="0.25">
      <c r="A66" t="s">
        <v>883</v>
      </c>
      <c r="B66" t="s">
        <v>699</v>
      </c>
      <c r="C66" t="s">
        <v>884</v>
      </c>
      <c r="D66" t="s">
        <v>701</v>
      </c>
      <c r="E66" t="s">
        <v>885</v>
      </c>
    </row>
    <row r="67" spans="1:5" x14ac:dyDescent="0.25">
      <c r="A67" t="s">
        <v>886</v>
      </c>
      <c r="B67" t="s">
        <v>699</v>
      </c>
      <c r="C67" t="s">
        <v>887</v>
      </c>
      <c r="D67" t="s">
        <v>744</v>
      </c>
      <c r="E67" t="s">
        <v>741</v>
      </c>
    </row>
    <row r="68" spans="1:5" x14ac:dyDescent="0.25">
      <c r="A68" t="s">
        <v>888</v>
      </c>
      <c r="B68" t="s">
        <v>699</v>
      </c>
      <c r="C68" t="s">
        <v>889</v>
      </c>
      <c r="D68" t="s">
        <v>701</v>
      </c>
      <c r="E68" t="s">
        <v>753</v>
      </c>
    </row>
    <row r="69" spans="1:5" x14ac:dyDescent="0.25">
      <c r="A69" t="s">
        <v>890</v>
      </c>
      <c r="B69" t="s">
        <v>699</v>
      </c>
      <c r="C69" t="s">
        <v>891</v>
      </c>
      <c r="D69" t="s">
        <v>744</v>
      </c>
      <c r="E69" t="s">
        <v>892</v>
      </c>
    </row>
    <row r="70" spans="1:5" x14ac:dyDescent="0.25">
      <c r="A70" t="s">
        <v>893</v>
      </c>
      <c r="B70" t="s">
        <v>699</v>
      </c>
      <c r="C70" t="s">
        <v>894</v>
      </c>
      <c r="D70" t="s">
        <v>701</v>
      </c>
      <c r="E70" t="s">
        <v>732</v>
      </c>
    </row>
    <row r="71" spans="1:5" x14ac:dyDescent="0.25">
      <c r="A71" t="s">
        <v>895</v>
      </c>
      <c r="B71" t="s">
        <v>699</v>
      </c>
      <c r="C71" t="s">
        <v>896</v>
      </c>
      <c r="D71" t="s">
        <v>744</v>
      </c>
      <c r="E71" t="s">
        <v>897</v>
      </c>
    </row>
    <row r="72" spans="1:5" x14ac:dyDescent="0.25">
      <c r="A72" t="s">
        <v>898</v>
      </c>
      <c r="B72" t="s">
        <v>800</v>
      </c>
      <c r="C72" t="s">
        <v>899</v>
      </c>
      <c r="D72" t="s">
        <v>802</v>
      </c>
      <c r="E72" t="s">
        <v>900</v>
      </c>
    </row>
    <row r="73" spans="1:5" x14ac:dyDescent="0.25">
      <c r="A73" t="s">
        <v>901</v>
      </c>
      <c r="B73" t="s">
        <v>699</v>
      </c>
      <c r="C73" t="s">
        <v>902</v>
      </c>
      <c r="D73" t="s">
        <v>719</v>
      </c>
      <c r="E73" t="s">
        <v>903</v>
      </c>
    </row>
    <row r="74" spans="1:5" x14ac:dyDescent="0.25">
      <c r="A74" t="s">
        <v>904</v>
      </c>
      <c r="B74" t="s">
        <v>699</v>
      </c>
      <c r="C74" t="s">
        <v>905</v>
      </c>
      <c r="D74" t="s">
        <v>744</v>
      </c>
      <c r="E74" t="s">
        <v>906</v>
      </c>
    </row>
    <row r="75" spans="1:5" x14ac:dyDescent="0.25">
      <c r="A75" t="s">
        <v>907</v>
      </c>
      <c r="B75" t="s">
        <v>699</v>
      </c>
      <c r="C75" t="s">
        <v>908</v>
      </c>
      <c r="D75" t="s">
        <v>701</v>
      </c>
      <c r="E75" t="s">
        <v>720</v>
      </c>
    </row>
    <row r="76" spans="1:5" x14ac:dyDescent="0.25">
      <c r="A76" t="s">
        <v>909</v>
      </c>
      <c r="B76" t="s">
        <v>699</v>
      </c>
      <c r="C76" t="s">
        <v>910</v>
      </c>
      <c r="D76" t="s">
        <v>701</v>
      </c>
      <c r="E76" t="s">
        <v>911</v>
      </c>
    </row>
    <row r="77" spans="1:5" x14ac:dyDescent="0.25">
      <c r="A77" t="s">
        <v>912</v>
      </c>
      <c r="B77" t="s">
        <v>699</v>
      </c>
      <c r="C77" t="s">
        <v>913</v>
      </c>
      <c r="D77" t="s">
        <v>701</v>
      </c>
      <c r="E77" t="s">
        <v>825</v>
      </c>
    </row>
    <row r="78" spans="1:5" x14ac:dyDescent="0.25">
      <c r="A78" t="s">
        <v>914</v>
      </c>
      <c r="B78" t="s">
        <v>800</v>
      </c>
      <c r="C78" t="s">
        <v>915</v>
      </c>
      <c r="D78" t="s">
        <v>802</v>
      </c>
      <c r="E78" t="s">
        <v>794</v>
      </c>
    </row>
    <row r="79" spans="1:5" x14ac:dyDescent="0.25">
      <c r="A79" t="s">
        <v>916</v>
      </c>
      <c r="B79" t="s">
        <v>699</v>
      </c>
      <c r="C79" t="s">
        <v>917</v>
      </c>
      <c r="D79" t="s">
        <v>701</v>
      </c>
      <c r="E79" t="s">
        <v>720</v>
      </c>
    </row>
    <row r="80" spans="1:5" x14ac:dyDescent="0.25">
      <c r="A80" t="s">
        <v>918</v>
      </c>
      <c r="B80" t="s">
        <v>699</v>
      </c>
      <c r="C80" t="s">
        <v>919</v>
      </c>
      <c r="D80" t="s">
        <v>701</v>
      </c>
      <c r="E80" t="s">
        <v>920</v>
      </c>
    </row>
    <row r="81" spans="1:5" x14ac:dyDescent="0.25">
      <c r="A81" t="s">
        <v>921</v>
      </c>
      <c r="B81" t="s">
        <v>699</v>
      </c>
      <c r="C81" t="s">
        <v>922</v>
      </c>
      <c r="D81" t="s">
        <v>719</v>
      </c>
      <c r="E81" t="s">
        <v>923</v>
      </c>
    </row>
    <row r="82" spans="1:5" x14ac:dyDescent="0.25">
      <c r="A82" t="s">
        <v>924</v>
      </c>
      <c r="B82" t="s">
        <v>699</v>
      </c>
      <c r="C82" t="s">
        <v>925</v>
      </c>
      <c r="D82" t="s">
        <v>701</v>
      </c>
      <c r="E82" t="s">
        <v>926</v>
      </c>
    </row>
    <row r="83" spans="1:5" x14ac:dyDescent="0.25">
      <c r="A83" t="s">
        <v>927</v>
      </c>
      <c r="B83" t="s">
        <v>699</v>
      </c>
      <c r="C83" t="s">
        <v>928</v>
      </c>
      <c r="D83" t="s">
        <v>701</v>
      </c>
      <c r="E83" t="s">
        <v>929</v>
      </c>
    </row>
    <row r="84" spans="1:5" x14ac:dyDescent="0.25">
      <c r="A84" t="s">
        <v>930</v>
      </c>
      <c r="B84" t="s">
        <v>699</v>
      </c>
      <c r="C84" t="s">
        <v>931</v>
      </c>
      <c r="D84" t="s">
        <v>701</v>
      </c>
      <c r="E84" t="s">
        <v>932</v>
      </c>
    </row>
    <row r="85" spans="1:5" x14ac:dyDescent="0.25">
      <c r="A85" t="s">
        <v>933</v>
      </c>
      <c r="B85" t="s">
        <v>699</v>
      </c>
      <c r="C85" t="s">
        <v>934</v>
      </c>
      <c r="D85" t="s">
        <v>719</v>
      </c>
      <c r="E85" t="s">
        <v>935</v>
      </c>
    </row>
    <row r="86" spans="1:5" x14ac:dyDescent="0.25">
      <c r="A86" t="s">
        <v>936</v>
      </c>
      <c r="B86" t="s">
        <v>699</v>
      </c>
      <c r="C86" t="s">
        <v>937</v>
      </c>
      <c r="D86" t="s">
        <v>701</v>
      </c>
      <c r="E86" t="s">
        <v>938</v>
      </c>
    </row>
    <row r="87" spans="1:5" x14ac:dyDescent="0.25">
      <c r="A87" t="s">
        <v>939</v>
      </c>
      <c r="B87" t="s">
        <v>699</v>
      </c>
      <c r="C87" t="s">
        <v>940</v>
      </c>
      <c r="D87" t="s">
        <v>719</v>
      </c>
      <c r="E87" t="s">
        <v>935</v>
      </c>
    </row>
    <row r="88" spans="1:5" x14ac:dyDescent="0.25">
      <c r="A88" t="s">
        <v>941</v>
      </c>
      <c r="B88" t="s">
        <v>699</v>
      </c>
      <c r="C88" t="s">
        <v>942</v>
      </c>
      <c r="D88" t="s">
        <v>943</v>
      </c>
      <c r="E88" t="s">
        <v>720</v>
      </c>
    </row>
    <row r="89" spans="1:5" x14ac:dyDescent="0.25">
      <c r="A89" t="s">
        <v>944</v>
      </c>
      <c r="B89" t="s">
        <v>800</v>
      </c>
      <c r="C89" t="s">
        <v>945</v>
      </c>
      <c r="D89" t="s">
        <v>802</v>
      </c>
      <c r="E89" t="s">
        <v>946</v>
      </c>
    </row>
    <row r="90" spans="1:5" x14ac:dyDescent="0.25">
      <c r="A90" t="s">
        <v>947</v>
      </c>
      <c r="B90" t="s">
        <v>699</v>
      </c>
      <c r="C90" t="s">
        <v>948</v>
      </c>
      <c r="D90" t="s">
        <v>797</v>
      </c>
      <c r="E90" t="s">
        <v>757</v>
      </c>
    </row>
    <row r="91" spans="1:5" x14ac:dyDescent="0.25">
      <c r="A91" t="s">
        <v>949</v>
      </c>
      <c r="B91" t="s">
        <v>699</v>
      </c>
      <c r="C91" t="s">
        <v>950</v>
      </c>
      <c r="D91" t="s">
        <v>701</v>
      </c>
      <c r="E91" t="s">
        <v>951</v>
      </c>
    </row>
    <row r="92" spans="1:5" x14ac:dyDescent="0.25">
      <c r="A92" t="s">
        <v>952</v>
      </c>
      <c r="B92" t="s">
        <v>800</v>
      </c>
      <c r="C92" t="s">
        <v>953</v>
      </c>
      <c r="D92" t="s">
        <v>802</v>
      </c>
      <c r="E92" t="s">
        <v>805</v>
      </c>
    </row>
    <row r="93" spans="1:5" x14ac:dyDescent="0.25">
      <c r="A93" t="s">
        <v>954</v>
      </c>
      <c r="B93" t="s">
        <v>699</v>
      </c>
      <c r="C93" t="s">
        <v>955</v>
      </c>
      <c r="D93" t="s">
        <v>701</v>
      </c>
      <c r="E93" t="s">
        <v>900</v>
      </c>
    </row>
    <row r="94" spans="1:5" x14ac:dyDescent="0.25">
      <c r="A94" t="s">
        <v>956</v>
      </c>
      <c r="B94" t="s">
        <v>699</v>
      </c>
      <c r="C94" t="s">
        <v>957</v>
      </c>
      <c r="D94" t="s">
        <v>701</v>
      </c>
      <c r="E94" t="s">
        <v>828</v>
      </c>
    </row>
    <row r="95" spans="1:5" x14ac:dyDescent="0.25">
      <c r="A95" t="s">
        <v>958</v>
      </c>
      <c r="B95" t="s">
        <v>699</v>
      </c>
      <c r="C95" t="s">
        <v>959</v>
      </c>
      <c r="D95" t="s">
        <v>701</v>
      </c>
      <c r="E95" t="s">
        <v>960</v>
      </c>
    </row>
    <row r="96" spans="1:5" x14ac:dyDescent="0.25">
      <c r="A96" t="s">
        <v>961</v>
      </c>
      <c r="B96" t="s">
        <v>699</v>
      </c>
      <c r="C96" t="s">
        <v>962</v>
      </c>
      <c r="D96" t="s">
        <v>701</v>
      </c>
      <c r="E96" t="s">
        <v>963</v>
      </c>
    </row>
    <row r="97" spans="1:5" x14ac:dyDescent="0.25">
      <c r="A97" t="s">
        <v>964</v>
      </c>
      <c r="B97" t="s">
        <v>699</v>
      </c>
      <c r="C97" t="s">
        <v>965</v>
      </c>
      <c r="D97" t="s">
        <v>822</v>
      </c>
      <c r="E97" t="s">
        <v>716</v>
      </c>
    </row>
    <row r="98" spans="1:5" x14ac:dyDescent="0.25">
      <c r="A98" t="s">
        <v>966</v>
      </c>
      <c r="B98" t="s">
        <v>699</v>
      </c>
      <c r="C98" t="s">
        <v>967</v>
      </c>
      <c r="D98" t="s">
        <v>701</v>
      </c>
      <c r="E98" t="s">
        <v>968</v>
      </c>
    </row>
    <row r="99" spans="1:5" x14ac:dyDescent="0.25">
      <c r="A99" t="s">
        <v>969</v>
      </c>
      <c r="B99" t="s">
        <v>699</v>
      </c>
      <c r="C99" t="s">
        <v>970</v>
      </c>
      <c r="D99" t="s">
        <v>701</v>
      </c>
      <c r="E99" t="s">
        <v>968</v>
      </c>
    </row>
    <row r="100" spans="1:5" x14ac:dyDescent="0.25">
      <c r="A100" t="s">
        <v>971</v>
      </c>
      <c r="B100" t="s">
        <v>699</v>
      </c>
      <c r="C100" t="s">
        <v>972</v>
      </c>
      <c r="D100" t="s">
        <v>701</v>
      </c>
      <c r="E100" t="s">
        <v>938</v>
      </c>
    </row>
    <row r="101" spans="1:5" x14ac:dyDescent="0.25">
      <c r="A101" t="s">
        <v>973</v>
      </c>
      <c r="B101" t="s">
        <v>699</v>
      </c>
      <c r="C101" t="s">
        <v>974</v>
      </c>
      <c r="D101" t="s">
        <v>943</v>
      </c>
      <c r="E101" t="s">
        <v>720</v>
      </c>
    </row>
    <row r="102" spans="1:5" x14ac:dyDescent="0.25">
      <c r="A102" t="s">
        <v>975</v>
      </c>
      <c r="B102" t="s">
        <v>699</v>
      </c>
      <c r="C102" t="s">
        <v>976</v>
      </c>
      <c r="D102" t="s">
        <v>701</v>
      </c>
      <c r="E102" t="s">
        <v>977</v>
      </c>
    </row>
    <row r="103" spans="1:5" x14ac:dyDescent="0.25">
      <c r="A103" t="s">
        <v>978</v>
      </c>
      <c r="B103" t="s">
        <v>699</v>
      </c>
      <c r="C103" t="s">
        <v>979</v>
      </c>
      <c r="D103" t="s">
        <v>719</v>
      </c>
      <c r="E103" t="s">
        <v>980</v>
      </c>
    </row>
    <row r="104" spans="1:5" x14ac:dyDescent="0.25">
      <c r="A104" t="s">
        <v>981</v>
      </c>
      <c r="B104" t="s">
        <v>699</v>
      </c>
      <c r="C104" t="s">
        <v>982</v>
      </c>
      <c r="D104" t="s">
        <v>701</v>
      </c>
      <c r="E104" t="s">
        <v>716</v>
      </c>
    </row>
    <row r="105" spans="1:5" x14ac:dyDescent="0.25">
      <c r="A105" t="s">
        <v>983</v>
      </c>
      <c r="B105" t="s">
        <v>699</v>
      </c>
      <c r="C105" t="s">
        <v>984</v>
      </c>
      <c r="D105" t="s">
        <v>719</v>
      </c>
      <c r="E105" t="s">
        <v>828</v>
      </c>
    </row>
    <row r="106" spans="1:5" x14ac:dyDescent="0.25">
      <c r="A106" t="s">
        <v>985</v>
      </c>
      <c r="B106" t="s">
        <v>800</v>
      </c>
      <c r="C106" t="s">
        <v>986</v>
      </c>
      <c r="D106" t="s">
        <v>802</v>
      </c>
      <c r="E106" t="s">
        <v>987</v>
      </c>
    </row>
    <row r="107" spans="1:5" x14ac:dyDescent="0.25">
      <c r="A107" t="s">
        <v>988</v>
      </c>
      <c r="B107" t="s">
        <v>699</v>
      </c>
      <c r="C107" t="s">
        <v>989</v>
      </c>
      <c r="D107" t="s">
        <v>701</v>
      </c>
      <c r="E107" t="s">
        <v>990</v>
      </c>
    </row>
    <row r="108" spans="1:5" x14ac:dyDescent="0.25">
      <c r="A108" t="s">
        <v>991</v>
      </c>
      <c r="B108" t="s">
        <v>699</v>
      </c>
      <c r="C108" t="s">
        <v>992</v>
      </c>
      <c r="D108" t="s">
        <v>701</v>
      </c>
      <c r="E108" t="s">
        <v>993</v>
      </c>
    </row>
    <row r="109" spans="1:5" x14ac:dyDescent="0.25">
      <c r="A109" t="s">
        <v>994</v>
      </c>
      <c r="B109" t="s">
        <v>699</v>
      </c>
      <c r="C109" t="s">
        <v>995</v>
      </c>
      <c r="D109" t="s">
        <v>701</v>
      </c>
      <c r="E109" t="s">
        <v>996</v>
      </c>
    </row>
    <row r="110" spans="1:5" x14ac:dyDescent="0.25">
      <c r="A110" t="s">
        <v>997</v>
      </c>
      <c r="B110" t="s">
        <v>800</v>
      </c>
      <c r="C110" t="s">
        <v>998</v>
      </c>
      <c r="D110" t="s">
        <v>802</v>
      </c>
      <c r="E110" t="s">
        <v>999</v>
      </c>
    </row>
    <row r="111" spans="1:5" x14ac:dyDescent="0.25">
      <c r="A111" t="s">
        <v>1000</v>
      </c>
      <c r="B111" t="s">
        <v>699</v>
      </c>
      <c r="C111" t="s">
        <v>1001</v>
      </c>
      <c r="D111" t="s">
        <v>701</v>
      </c>
      <c r="E111" t="s">
        <v>1002</v>
      </c>
    </row>
    <row r="112" spans="1:5" x14ac:dyDescent="0.25">
      <c r="A112" t="s">
        <v>1003</v>
      </c>
      <c r="B112" t="s">
        <v>699</v>
      </c>
      <c r="C112" t="s">
        <v>1004</v>
      </c>
      <c r="D112" t="s">
        <v>797</v>
      </c>
      <c r="E112" t="s">
        <v>1005</v>
      </c>
    </row>
    <row r="113" spans="1:5" x14ac:dyDescent="0.25">
      <c r="A113" t="s">
        <v>1006</v>
      </c>
      <c r="B113" t="s">
        <v>699</v>
      </c>
      <c r="C113" t="s">
        <v>1007</v>
      </c>
      <c r="D113" t="s">
        <v>701</v>
      </c>
      <c r="E113" t="s">
        <v>1008</v>
      </c>
    </row>
    <row r="114" spans="1:5" x14ac:dyDescent="0.25">
      <c r="A114" t="s">
        <v>1009</v>
      </c>
      <c r="B114" t="s">
        <v>699</v>
      </c>
      <c r="C114" t="s">
        <v>1010</v>
      </c>
      <c r="D114" t="s">
        <v>797</v>
      </c>
      <c r="E114" t="s">
        <v>757</v>
      </c>
    </row>
    <row r="115" spans="1:5" x14ac:dyDescent="0.25">
      <c r="A115" t="s">
        <v>1011</v>
      </c>
      <c r="B115" t="s">
        <v>699</v>
      </c>
      <c r="C115" t="s">
        <v>1012</v>
      </c>
      <c r="D115" t="s">
        <v>701</v>
      </c>
      <c r="E115" t="s">
        <v>716</v>
      </c>
    </row>
    <row r="116" spans="1:5" x14ac:dyDescent="0.25">
      <c r="A116" t="s">
        <v>1013</v>
      </c>
      <c r="B116" t="s">
        <v>699</v>
      </c>
      <c r="C116" t="s">
        <v>1014</v>
      </c>
      <c r="D116" t="s">
        <v>797</v>
      </c>
      <c r="E116" t="s">
        <v>757</v>
      </c>
    </row>
    <row r="117" spans="1:5" x14ac:dyDescent="0.25">
      <c r="A117" t="s">
        <v>1015</v>
      </c>
      <c r="B117" t="s">
        <v>699</v>
      </c>
      <c r="C117" t="s">
        <v>1016</v>
      </c>
      <c r="D117" t="s">
        <v>701</v>
      </c>
      <c r="E117" t="s">
        <v>1017</v>
      </c>
    </row>
    <row r="118" spans="1:5" x14ac:dyDescent="0.25">
      <c r="A118" t="s">
        <v>1018</v>
      </c>
      <c r="B118" t="s">
        <v>800</v>
      </c>
      <c r="C118" t="s">
        <v>1019</v>
      </c>
      <c r="D118" t="s">
        <v>802</v>
      </c>
      <c r="E118" t="s">
        <v>828</v>
      </c>
    </row>
    <row r="119" spans="1:5" x14ac:dyDescent="0.25">
      <c r="A119" t="s">
        <v>1020</v>
      </c>
      <c r="B119" t="s">
        <v>699</v>
      </c>
      <c r="C119" t="s">
        <v>1021</v>
      </c>
      <c r="D119" t="s">
        <v>701</v>
      </c>
      <c r="E119" t="s">
        <v>1022</v>
      </c>
    </row>
    <row r="120" spans="1:5" x14ac:dyDescent="0.25">
      <c r="A120" t="s">
        <v>1023</v>
      </c>
      <c r="B120" t="s">
        <v>699</v>
      </c>
      <c r="C120" t="s">
        <v>1024</v>
      </c>
      <c r="D120" t="s">
        <v>822</v>
      </c>
      <c r="E120" t="s">
        <v>1025</v>
      </c>
    </row>
    <row r="121" spans="1:5" x14ac:dyDescent="0.25">
      <c r="A121" t="s">
        <v>1026</v>
      </c>
      <c r="B121" t="s">
        <v>699</v>
      </c>
      <c r="C121" t="s">
        <v>1027</v>
      </c>
      <c r="D121" t="s">
        <v>701</v>
      </c>
      <c r="E121" t="s">
        <v>837</v>
      </c>
    </row>
    <row r="122" spans="1:5" x14ac:dyDescent="0.25">
      <c r="A122" t="s">
        <v>1028</v>
      </c>
      <c r="B122" t="s">
        <v>699</v>
      </c>
      <c r="C122" t="s">
        <v>1029</v>
      </c>
      <c r="D122" t="s">
        <v>701</v>
      </c>
      <c r="E122" t="s">
        <v>960</v>
      </c>
    </row>
    <row r="123" spans="1:5" x14ac:dyDescent="0.25">
      <c r="A123" t="s">
        <v>1030</v>
      </c>
      <c r="B123" t="s">
        <v>699</v>
      </c>
      <c r="C123" t="s">
        <v>1031</v>
      </c>
      <c r="D123" t="s">
        <v>701</v>
      </c>
      <c r="E123" t="s">
        <v>892</v>
      </c>
    </row>
    <row r="124" spans="1:5" x14ac:dyDescent="0.25">
      <c r="A124" t="s">
        <v>1032</v>
      </c>
      <c r="B124" t="s">
        <v>699</v>
      </c>
      <c r="C124" t="s">
        <v>1033</v>
      </c>
      <c r="D124" t="s">
        <v>701</v>
      </c>
      <c r="E124" t="s">
        <v>1034</v>
      </c>
    </row>
    <row r="125" spans="1:5" x14ac:dyDescent="0.25">
      <c r="A125" t="s">
        <v>1035</v>
      </c>
      <c r="B125" t="s">
        <v>699</v>
      </c>
      <c r="C125" t="s">
        <v>1036</v>
      </c>
      <c r="D125" t="s">
        <v>744</v>
      </c>
      <c r="E125" t="s">
        <v>1037</v>
      </c>
    </row>
    <row r="126" spans="1:5" x14ac:dyDescent="0.25">
      <c r="A126" t="s">
        <v>1038</v>
      </c>
      <c r="B126" t="s">
        <v>699</v>
      </c>
      <c r="C126" t="s">
        <v>1039</v>
      </c>
      <c r="D126" t="s">
        <v>943</v>
      </c>
      <c r="E126" t="s">
        <v>720</v>
      </c>
    </row>
    <row r="127" spans="1:5" x14ac:dyDescent="0.25">
      <c r="A127" t="s">
        <v>1040</v>
      </c>
      <c r="B127" t="s">
        <v>699</v>
      </c>
      <c r="C127" t="s">
        <v>1041</v>
      </c>
      <c r="D127" t="s">
        <v>701</v>
      </c>
      <c r="E127" t="s">
        <v>828</v>
      </c>
    </row>
    <row r="128" spans="1:5" x14ac:dyDescent="0.25">
      <c r="A128" t="s">
        <v>1042</v>
      </c>
      <c r="B128" t="s">
        <v>699</v>
      </c>
      <c r="C128" t="s">
        <v>1043</v>
      </c>
      <c r="D128" t="s">
        <v>701</v>
      </c>
      <c r="E128" t="s">
        <v>1044</v>
      </c>
    </row>
    <row r="129" spans="1:5" x14ac:dyDescent="0.25">
      <c r="A129" t="s">
        <v>1045</v>
      </c>
      <c r="B129" t="s">
        <v>699</v>
      </c>
      <c r="C129" t="s">
        <v>1046</v>
      </c>
      <c r="D129" t="s">
        <v>701</v>
      </c>
      <c r="E129" t="s">
        <v>1047</v>
      </c>
    </row>
    <row r="130" spans="1:5" x14ac:dyDescent="0.25">
      <c r="A130" t="s">
        <v>1048</v>
      </c>
      <c r="B130" t="s">
        <v>699</v>
      </c>
      <c r="C130" t="s">
        <v>1049</v>
      </c>
      <c r="D130" t="s">
        <v>701</v>
      </c>
      <c r="E130" t="s">
        <v>773</v>
      </c>
    </row>
    <row r="131" spans="1:5" x14ac:dyDescent="0.25">
      <c r="A131" t="s">
        <v>1050</v>
      </c>
      <c r="B131" t="s">
        <v>699</v>
      </c>
      <c r="C131" t="s">
        <v>1051</v>
      </c>
      <c r="D131" t="s">
        <v>943</v>
      </c>
      <c r="E131" t="s">
        <v>828</v>
      </c>
    </row>
    <row r="132" spans="1:5" x14ac:dyDescent="0.25">
      <c r="A132" t="s">
        <v>1052</v>
      </c>
      <c r="B132" t="s">
        <v>699</v>
      </c>
      <c r="C132" t="s">
        <v>1053</v>
      </c>
      <c r="D132" t="s">
        <v>701</v>
      </c>
      <c r="E132" t="s">
        <v>720</v>
      </c>
    </row>
    <row r="133" spans="1:5" x14ac:dyDescent="0.25">
      <c r="A133" t="s">
        <v>1054</v>
      </c>
      <c r="B133" t="s">
        <v>699</v>
      </c>
      <c r="C133" t="s">
        <v>1055</v>
      </c>
      <c r="D133" t="s">
        <v>701</v>
      </c>
      <c r="E133" t="s">
        <v>716</v>
      </c>
    </row>
    <row r="134" spans="1:5" x14ac:dyDescent="0.25">
      <c r="A134" t="s">
        <v>1056</v>
      </c>
      <c r="B134" t="s">
        <v>699</v>
      </c>
      <c r="C134" t="s">
        <v>1057</v>
      </c>
      <c r="D134" t="s">
        <v>797</v>
      </c>
      <c r="E134" t="s">
        <v>757</v>
      </c>
    </row>
    <row r="135" spans="1:5" x14ac:dyDescent="0.25">
      <c r="A135" t="s">
        <v>1058</v>
      </c>
      <c r="B135" t="s">
        <v>699</v>
      </c>
      <c r="C135" t="s">
        <v>1059</v>
      </c>
      <c r="D135" t="s">
        <v>701</v>
      </c>
      <c r="E135" t="s">
        <v>1060</v>
      </c>
    </row>
    <row r="136" spans="1:5" x14ac:dyDescent="0.25">
      <c r="A136" t="s">
        <v>1061</v>
      </c>
      <c r="B136" t="s">
        <v>699</v>
      </c>
      <c r="C136" t="s">
        <v>1062</v>
      </c>
      <c r="D136" t="s">
        <v>701</v>
      </c>
      <c r="E136" t="s">
        <v>1063</v>
      </c>
    </row>
    <row r="137" spans="1:5" x14ac:dyDescent="0.25">
      <c r="A137" t="s">
        <v>1064</v>
      </c>
      <c r="B137" t="s">
        <v>699</v>
      </c>
      <c r="C137" t="s">
        <v>1065</v>
      </c>
      <c r="D137" t="s">
        <v>701</v>
      </c>
      <c r="E137" t="s">
        <v>791</v>
      </c>
    </row>
    <row r="138" spans="1:5" x14ac:dyDescent="0.25">
      <c r="A138" t="s">
        <v>1066</v>
      </c>
      <c r="B138" t="s">
        <v>699</v>
      </c>
      <c r="C138" t="s">
        <v>1067</v>
      </c>
      <c r="D138" t="s">
        <v>719</v>
      </c>
      <c r="E138" t="s">
        <v>828</v>
      </c>
    </row>
    <row r="139" spans="1:5" x14ac:dyDescent="0.25">
      <c r="A139" t="s">
        <v>1068</v>
      </c>
      <c r="B139" t="s">
        <v>699</v>
      </c>
      <c r="C139" t="s">
        <v>1069</v>
      </c>
      <c r="D139" t="s">
        <v>943</v>
      </c>
      <c r="E139" t="s">
        <v>1070</v>
      </c>
    </row>
    <row r="140" spans="1:5" x14ac:dyDescent="0.25">
      <c r="A140" t="s">
        <v>1071</v>
      </c>
      <c r="B140" t="s">
        <v>699</v>
      </c>
      <c r="C140" t="s">
        <v>1072</v>
      </c>
      <c r="D140" t="s">
        <v>719</v>
      </c>
      <c r="E140" t="s">
        <v>720</v>
      </c>
    </row>
    <row r="141" spans="1:5" x14ac:dyDescent="0.25">
      <c r="A141" t="s">
        <v>1073</v>
      </c>
      <c r="B141" t="s">
        <v>800</v>
      </c>
      <c r="C141" t="s">
        <v>1074</v>
      </c>
      <c r="D141" t="s">
        <v>802</v>
      </c>
      <c r="E141" t="s">
        <v>843</v>
      </c>
    </row>
    <row r="142" spans="1:5" x14ac:dyDescent="0.25">
      <c r="A142" t="s">
        <v>1075</v>
      </c>
      <c r="B142" t="s">
        <v>699</v>
      </c>
      <c r="C142" t="s">
        <v>1076</v>
      </c>
      <c r="D142" t="s">
        <v>701</v>
      </c>
    </row>
    <row r="143" spans="1:5" x14ac:dyDescent="0.25">
      <c r="A143" t="s">
        <v>1077</v>
      </c>
      <c r="B143" t="s">
        <v>699</v>
      </c>
      <c r="C143" t="s">
        <v>1078</v>
      </c>
      <c r="D143" t="s">
        <v>701</v>
      </c>
      <c r="E143" t="s">
        <v>707</v>
      </c>
    </row>
    <row r="144" spans="1:5" x14ac:dyDescent="0.25">
      <c r="A144" t="s">
        <v>1079</v>
      </c>
      <c r="B144" t="s">
        <v>699</v>
      </c>
      <c r="C144" t="s">
        <v>1080</v>
      </c>
      <c r="D144" t="s">
        <v>701</v>
      </c>
      <c r="E144" t="s">
        <v>716</v>
      </c>
    </row>
    <row r="145" spans="1:5" x14ac:dyDescent="0.25">
      <c r="A145" t="s">
        <v>1081</v>
      </c>
      <c r="B145" t="s">
        <v>699</v>
      </c>
      <c r="C145" t="s">
        <v>1082</v>
      </c>
      <c r="D145" t="s">
        <v>701</v>
      </c>
      <c r="E145" t="s">
        <v>720</v>
      </c>
    </row>
    <row r="146" spans="1:5" x14ac:dyDescent="0.25">
      <c r="A146" t="s">
        <v>1083</v>
      </c>
      <c r="B146" t="s">
        <v>699</v>
      </c>
      <c r="C146" t="s">
        <v>1084</v>
      </c>
      <c r="D146" t="s">
        <v>701</v>
      </c>
      <c r="E146" t="s">
        <v>720</v>
      </c>
    </row>
    <row r="147" spans="1:5" x14ac:dyDescent="0.25">
      <c r="A147" t="s">
        <v>1085</v>
      </c>
      <c r="B147" t="s">
        <v>699</v>
      </c>
      <c r="C147" t="s">
        <v>1086</v>
      </c>
      <c r="D147" t="s">
        <v>719</v>
      </c>
      <c r="E147" t="s">
        <v>828</v>
      </c>
    </row>
    <row r="148" spans="1:5" x14ac:dyDescent="0.25">
      <c r="A148" t="s">
        <v>1087</v>
      </c>
      <c r="B148" t="s">
        <v>699</v>
      </c>
      <c r="C148" t="s">
        <v>1088</v>
      </c>
      <c r="D148" t="s">
        <v>701</v>
      </c>
      <c r="E148" t="s">
        <v>720</v>
      </c>
    </row>
    <row r="149" spans="1:5" x14ac:dyDescent="0.25">
      <c r="A149" t="s">
        <v>1089</v>
      </c>
      <c r="B149" t="s">
        <v>699</v>
      </c>
      <c r="C149" t="s">
        <v>1090</v>
      </c>
      <c r="D149" t="s">
        <v>701</v>
      </c>
      <c r="E149" t="s">
        <v>1091</v>
      </c>
    </row>
    <row r="150" spans="1:5" x14ac:dyDescent="0.25">
      <c r="A150" t="s">
        <v>1092</v>
      </c>
      <c r="B150" t="s">
        <v>699</v>
      </c>
      <c r="C150" t="s">
        <v>1093</v>
      </c>
      <c r="D150" t="s">
        <v>701</v>
      </c>
      <c r="E150" t="s">
        <v>900</v>
      </c>
    </row>
    <row r="151" spans="1:5" x14ac:dyDescent="0.25">
      <c r="A151" t="s">
        <v>1094</v>
      </c>
      <c r="B151" t="s">
        <v>699</v>
      </c>
      <c r="C151" t="s">
        <v>1095</v>
      </c>
      <c r="D151" t="s">
        <v>701</v>
      </c>
      <c r="E151" t="s">
        <v>1096</v>
      </c>
    </row>
    <row r="152" spans="1:5" x14ac:dyDescent="0.25">
      <c r="A152" t="s">
        <v>1097</v>
      </c>
      <c r="B152" t="s">
        <v>699</v>
      </c>
      <c r="C152" t="s">
        <v>1098</v>
      </c>
      <c r="D152" t="s">
        <v>719</v>
      </c>
      <c r="E152" t="s">
        <v>760</v>
      </c>
    </row>
    <row r="153" spans="1:5" x14ac:dyDescent="0.25">
      <c r="A153" t="s">
        <v>1099</v>
      </c>
      <c r="B153" t="s">
        <v>699</v>
      </c>
      <c r="C153" t="s">
        <v>1100</v>
      </c>
      <c r="D153" t="s">
        <v>719</v>
      </c>
      <c r="E153" t="s">
        <v>828</v>
      </c>
    </row>
    <row r="154" spans="1:5" x14ac:dyDescent="0.25">
      <c r="A154" t="s">
        <v>1101</v>
      </c>
      <c r="B154" t="s">
        <v>699</v>
      </c>
      <c r="C154" t="s">
        <v>1102</v>
      </c>
      <c r="D154" t="s">
        <v>701</v>
      </c>
      <c r="E154" t="s">
        <v>1103</v>
      </c>
    </row>
    <row r="155" spans="1:5" x14ac:dyDescent="0.25">
      <c r="A155" t="s">
        <v>1104</v>
      </c>
      <c r="B155" t="s">
        <v>699</v>
      </c>
      <c r="C155" t="s">
        <v>1105</v>
      </c>
      <c r="D155" t="s">
        <v>701</v>
      </c>
      <c r="E155" t="s">
        <v>1106</v>
      </c>
    </row>
    <row r="156" spans="1:5" x14ac:dyDescent="0.25">
      <c r="A156" t="s">
        <v>1107</v>
      </c>
      <c r="B156" t="s">
        <v>800</v>
      </c>
      <c r="C156" t="s">
        <v>1108</v>
      </c>
      <c r="D156" t="s">
        <v>802</v>
      </c>
      <c r="E156" t="s">
        <v>716</v>
      </c>
    </row>
    <row r="157" spans="1:5" x14ac:dyDescent="0.25">
      <c r="A157" t="s">
        <v>1109</v>
      </c>
      <c r="B157" t="s">
        <v>699</v>
      </c>
      <c r="C157" t="s">
        <v>1110</v>
      </c>
      <c r="D157" t="s">
        <v>701</v>
      </c>
      <c r="E157" t="s">
        <v>926</v>
      </c>
    </row>
    <row r="158" spans="1:5" x14ac:dyDescent="0.25">
      <c r="A158" t="s">
        <v>1111</v>
      </c>
      <c r="B158" t="s">
        <v>699</v>
      </c>
      <c r="C158" t="s">
        <v>1112</v>
      </c>
      <c r="D158" t="s">
        <v>701</v>
      </c>
      <c r="E158" t="s">
        <v>1034</v>
      </c>
    </row>
    <row r="159" spans="1:5" x14ac:dyDescent="0.25">
      <c r="A159" t="s">
        <v>1113</v>
      </c>
      <c r="B159" t="s">
        <v>800</v>
      </c>
      <c r="C159" t="s">
        <v>1114</v>
      </c>
      <c r="D159" t="s">
        <v>802</v>
      </c>
      <c r="E159" t="s">
        <v>929</v>
      </c>
    </row>
    <row r="160" spans="1:5" x14ac:dyDescent="0.25">
      <c r="A160" t="s">
        <v>1115</v>
      </c>
      <c r="B160" t="s">
        <v>699</v>
      </c>
      <c r="C160" t="s">
        <v>1116</v>
      </c>
      <c r="D160" t="s">
        <v>719</v>
      </c>
      <c r="E160" t="s">
        <v>996</v>
      </c>
    </row>
    <row r="161" spans="1:5" x14ac:dyDescent="0.25">
      <c r="A161" t="s">
        <v>1117</v>
      </c>
      <c r="B161" t="s">
        <v>699</v>
      </c>
      <c r="C161" t="s">
        <v>1118</v>
      </c>
      <c r="D161" t="s">
        <v>701</v>
      </c>
      <c r="E161" t="s">
        <v>716</v>
      </c>
    </row>
    <row r="162" spans="1:5" x14ac:dyDescent="0.25">
      <c r="A162" t="s">
        <v>1119</v>
      </c>
      <c r="B162" t="s">
        <v>699</v>
      </c>
      <c r="C162" t="s">
        <v>1120</v>
      </c>
      <c r="D162" t="s">
        <v>701</v>
      </c>
      <c r="E162" t="s">
        <v>763</v>
      </c>
    </row>
    <row r="163" spans="1:5" x14ac:dyDescent="0.25">
      <c r="A163" t="s">
        <v>1121</v>
      </c>
      <c r="B163" t="s">
        <v>699</v>
      </c>
      <c r="C163" t="s">
        <v>1122</v>
      </c>
      <c r="D163" t="s">
        <v>701</v>
      </c>
      <c r="E163" t="s">
        <v>1123</v>
      </c>
    </row>
    <row r="164" spans="1:5" x14ac:dyDescent="0.25">
      <c r="A164" t="s">
        <v>1124</v>
      </c>
      <c r="B164" t="s">
        <v>800</v>
      </c>
      <c r="C164" t="s">
        <v>1125</v>
      </c>
      <c r="D164" t="s">
        <v>802</v>
      </c>
      <c r="E164" t="s">
        <v>1126</v>
      </c>
    </row>
    <row r="165" spans="1:5" x14ac:dyDescent="0.25">
      <c r="A165" t="s">
        <v>1127</v>
      </c>
      <c r="B165" t="s">
        <v>699</v>
      </c>
      <c r="C165" t="s">
        <v>1128</v>
      </c>
      <c r="D165" t="s">
        <v>701</v>
      </c>
      <c r="E165" t="s">
        <v>837</v>
      </c>
    </row>
    <row r="166" spans="1:5" x14ac:dyDescent="0.25">
      <c r="A166" t="s">
        <v>1129</v>
      </c>
      <c r="B166" t="s">
        <v>699</v>
      </c>
      <c r="C166" t="s">
        <v>1130</v>
      </c>
      <c r="D166" t="s">
        <v>701</v>
      </c>
      <c r="E166" t="s">
        <v>968</v>
      </c>
    </row>
    <row r="167" spans="1:5" x14ac:dyDescent="0.25">
      <c r="A167" t="s">
        <v>1131</v>
      </c>
      <c r="B167" t="s">
        <v>699</v>
      </c>
      <c r="C167" t="s">
        <v>1132</v>
      </c>
      <c r="D167" t="s">
        <v>701</v>
      </c>
      <c r="E167" t="s">
        <v>1133</v>
      </c>
    </row>
    <row r="168" spans="1:5" x14ac:dyDescent="0.25">
      <c r="A168" t="s">
        <v>1134</v>
      </c>
      <c r="B168" t="s">
        <v>699</v>
      </c>
      <c r="C168" t="s">
        <v>1135</v>
      </c>
      <c r="D168" t="s">
        <v>701</v>
      </c>
      <c r="E168" t="s">
        <v>1136</v>
      </c>
    </row>
    <row r="169" spans="1:5" x14ac:dyDescent="0.25">
      <c r="A169" t="s">
        <v>1137</v>
      </c>
      <c r="B169" t="s">
        <v>699</v>
      </c>
      <c r="C169" t="s">
        <v>1138</v>
      </c>
      <c r="D169" t="s">
        <v>719</v>
      </c>
      <c r="E169" t="s">
        <v>720</v>
      </c>
    </row>
    <row r="170" spans="1:5" x14ac:dyDescent="0.25">
      <c r="A170" t="s">
        <v>1139</v>
      </c>
      <c r="B170" t="s">
        <v>699</v>
      </c>
      <c r="C170" t="s">
        <v>1140</v>
      </c>
      <c r="D170" t="s">
        <v>701</v>
      </c>
      <c r="E170" t="s">
        <v>710</v>
      </c>
    </row>
    <row r="171" spans="1:5" x14ac:dyDescent="0.25">
      <c r="A171" t="s">
        <v>1141</v>
      </c>
      <c r="B171" t="s">
        <v>699</v>
      </c>
      <c r="C171" t="s">
        <v>1142</v>
      </c>
      <c r="D171" t="s">
        <v>701</v>
      </c>
      <c r="E171" t="s">
        <v>1034</v>
      </c>
    </row>
    <row r="172" spans="1:5" x14ac:dyDescent="0.25">
      <c r="A172" t="s">
        <v>1143</v>
      </c>
      <c r="B172" t="s">
        <v>699</v>
      </c>
      <c r="C172" t="s">
        <v>1144</v>
      </c>
      <c r="D172" t="s">
        <v>719</v>
      </c>
      <c r="E172" t="s">
        <v>791</v>
      </c>
    </row>
    <row r="173" spans="1:5" x14ac:dyDescent="0.25">
      <c r="A173" t="s">
        <v>1145</v>
      </c>
      <c r="B173" t="s">
        <v>699</v>
      </c>
      <c r="C173" t="s">
        <v>1146</v>
      </c>
      <c r="D173" t="s">
        <v>797</v>
      </c>
      <c r="E173" t="s">
        <v>1005</v>
      </c>
    </row>
    <row r="174" spans="1:5" x14ac:dyDescent="0.25">
      <c r="A174" t="s">
        <v>1147</v>
      </c>
      <c r="B174" t="s">
        <v>699</v>
      </c>
      <c r="C174" t="s">
        <v>1148</v>
      </c>
      <c r="E174" t="s">
        <v>1149</v>
      </c>
    </row>
    <row r="175" spans="1:5" x14ac:dyDescent="0.25">
      <c r="A175" t="s">
        <v>1150</v>
      </c>
      <c r="B175" t="s">
        <v>800</v>
      </c>
      <c r="C175" t="s">
        <v>1151</v>
      </c>
      <c r="D175" t="s">
        <v>802</v>
      </c>
      <c r="E175" t="s">
        <v>1152</v>
      </c>
    </row>
    <row r="176" spans="1:5" x14ac:dyDescent="0.25">
      <c r="A176" t="s">
        <v>1153</v>
      </c>
      <c r="B176" t="s">
        <v>699</v>
      </c>
      <c r="C176" t="s">
        <v>1154</v>
      </c>
      <c r="D176" t="s">
        <v>701</v>
      </c>
      <c r="E176" t="s">
        <v>1155</v>
      </c>
    </row>
    <row r="177" spans="1:5" x14ac:dyDescent="0.25">
      <c r="A177" t="s">
        <v>1156</v>
      </c>
      <c r="B177" t="s">
        <v>699</v>
      </c>
      <c r="C177" t="s">
        <v>1157</v>
      </c>
      <c r="D177" t="s">
        <v>719</v>
      </c>
      <c r="E177" t="s">
        <v>720</v>
      </c>
    </row>
    <row r="178" spans="1:5" x14ac:dyDescent="0.25">
      <c r="A178" t="s">
        <v>1158</v>
      </c>
      <c r="B178" t="s">
        <v>704</v>
      </c>
      <c r="C178" t="s">
        <v>1159</v>
      </c>
      <c r="D178" t="s">
        <v>706</v>
      </c>
      <c r="E178" t="s">
        <v>968</v>
      </c>
    </row>
    <row r="179" spans="1:5" x14ac:dyDescent="0.25">
      <c r="A179" t="s">
        <v>1160</v>
      </c>
      <c r="B179" t="s">
        <v>699</v>
      </c>
      <c r="C179" t="s">
        <v>1161</v>
      </c>
    </row>
    <row r="180" spans="1:5" x14ac:dyDescent="0.25">
      <c r="A180" t="s">
        <v>1162</v>
      </c>
      <c r="B180" t="s">
        <v>699</v>
      </c>
      <c r="C180" t="s">
        <v>1163</v>
      </c>
      <c r="D180" t="s">
        <v>701</v>
      </c>
      <c r="E180" t="s">
        <v>1164</v>
      </c>
    </row>
    <row r="181" spans="1:5" x14ac:dyDescent="0.25">
      <c r="A181" t="s">
        <v>1165</v>
      </c>
      <c r="B181" t="s">
        <v>699</v>
      </c>
      <c r="C181" t="s">
        <v>1166</v>
      </c>
      <c r="D181" t="s">
        <v>719</v>
      </c>
      <c r="E181" t="s">
        <v>1167</v>
      </c>
    </row>
    <row r="182" spans="1:5" x14ac:dyDescent="0.25">
      <c r="A182" t="s">
        <v>1168</v>
      </c>
      <c r="B182" t="s">
        <v>699</v>
      </c>
      <c r="C182" t="s">
        <v>1169</v>
      </c>
      <c r="D182" t="s">
        <v>719</v>
      </c>
      <c r="E182" t="s">
        <v>1170</v>
      </c>
    </row>
    <row r="183" spans="1:5" x14ac:dyDescent="0.25">
      <c r="A183" t="s">
        <v>1171</v>
      </c>
      <c r="B183" t="s">
        <v>699</v>
      </c>
      <c r="C183" t="s">
        <v>1172</v>
      </c>
      <c r="D183" t="s">
        <v>744</v>
      </c>
      <c r="E183" t="s">
        <v>892</v>
      </c>
    </row>
    <row r="184" spans="1:5" x14ac:dyDescent="0.25">
      <c r="A184" t="s">
        <v>1173</v>
      </c>
      <c r="B184" t="s">
        <v>699</v>
      </c>
      <c r="C184" t="s">
        <v>1174</v>
      </c>
      <c r="D184" t="s">
        <v>701</v>
      </c>
      <c r="E184" t="s">
        <v>1175</v>
      </c>
    </row>
    <row r="185" spans="1:5" x14ac:dyDescent="0.25">
      <c r="A185" t="s">
        <v>1176</v>
      </c>
      <c r="B185" t="s">
        <v>699</v>
      </c>
      <c r="C185" t="s">
        <v>1177</v>
      </c>
      <c r="D185" t="s">
        <v>701</v>
      </c>
      <c r="E185" t="s">
        <v>1017</v>
      </c>
    </row>
    <row r="186" spans="1:5" x14ac:dyDescent="0.25">
      <c r="A186" t="s">
        <v>1178</v>
      </c>
      <c r="B186" t="s">
        <v>699</v>
      </c>
      <c r="C186" t="s">
        <v>1179</v>
      </c>
      <c r="D186" t="s">
        <v>701</v>
      </c>
      <c r="E186" t="s">
        <v>791</v>
      </c>
    </row>
    <row r="187" spans="1:5" x14ac:dyDescent="0.25">
      <c r="A187" t="s">
        <v>1180</v>
      </c>
      <c r="B187" t="s">
        <v>699</v>
      </c>
      <c r="C187" t="s">
        <v>1181</v>
      </c>
      <c r="D187" t="s">
        <v>719</v>
      </c>
      <c r="E187" t="s">
        <v>720</v>
      </c>
    </row>
    <row r="188" spans="1:5" x14ac:dyDescent="0.25">
      <c r="A188" t="s">
        <v>1182</v>
      </c>
      <c r="B188" t="s">
        <v>699</v>
      </c>
      <c r="C188" t="s">
        <v>1183</v>
      </c>
      <c r="D188" t="s">
        <v>701</v>
      </c>
      <c r="E188" t="s">
        <v>791</v>
      </c>
    </row>
    <row r="189" spans="1:5" x14ac:dyDescent="0.25">
      <c r="A189" t="s">
        <v>1184</v>
      </c>
      <c r="B189" t="s">
        <v>699</v>
      </c>
      <c r="C189" t="s">
        <v>1185</v>
      </c>
      <c r="D189" t="s">
        <v>701</v>
      </c>
      <c r="E189" t="s">
        <v>760</v>
      </c>
    </row>
    <row r="190" spans="1:5" x14ac:dyDescent="0.25">
      <c r="A190" t="s">
        <v>1186</v>
      </c>
      <c r="B190" t="s">
        <v>699</v>
      </c>
      <c r="C190" t="s">
        <v>1187</v>
      </c>
      <c r="D190" t="s">
        <v>1188</v>
      </c>
      <c r="E190" t="s">
        <v>738</v>
      </c>
    </row>
    <row r="191" spans="1:5" x14ac:dyDescent="0.25">
      <c r="A191" t="s">
        <v>1292</v>
      </c>
      <c r="B191" t="s">
        <v>699</v>
      </c>
      <c r="C191" s="17" t="s">
        <v>1293</v>
      </c>
      <c r="D191" t="s">
        <v>701</v>
      </c>
      <c r="E191" t="s">
        <v>1294</v>
      </c>
    </row>
  </sheetData>
  <hyperlinks>
    <hyperlink ref="C191" r:id="rId1" xr:uid="{7F86FD08-C95A-44F5-8C3E-7D4E544607F3}"/>
  </hyperlink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6A10-C502-49F2-89B9-64D2C2A03241}">
  <sheetPr codeName="Sheet8"/>
  <dimension ref="A1:E20"/>
  <sheetViews>
    <sheetView workbookViewId="0">
      <selection activeCell="C20" sqref="C20"/>
    </sheetView>
  </sheetViews>
  <sheetFormatPr defaultRowHeight="15" x14ac:dyDescent="0.25"/>
  <cols>
    <col min="1" max="1" width="19" bestFit="1" customWidth="1"/>
    <col min="2" max="2" width="30.28515625" bestFit="1" customWidth="1"/>
    <col min="3" max="3" width="30.85546875" bestFit="1" customWidth="1"/>
    <col min="4" max="4" width="16.140625" bestFit="1" customWidth="1"/>
    <col min="5" max="5" width="29.85546875" bestFit="1" customWidth="1"/>
  </cols>
  <sheetData>
    <row r="1" spans="1:5" x14ac:dyDescent="0.25">
      <c r="A1" t="s">
        <v>693</v>
      </c>
      <c r="B1" t="s">
        <v>694</v>
      </c>
      <c r="C1" t="s">
        <v>695</v>
      </c>
      <c r="D1" t="s">
        <v>696</v>
      </c>
      <c r="E1" t="s">
        <v>697</v>
      </c>
    </row>
    <row r="2" spans="1:5" x14ac:dyDescent="0.25">
      <c r="A2" t="s">
        <v>1020</v>
      </c>
      <c r="B2" t="s">
        <v>699</v>
      </c>
      <c r="C2" t="s">
        <v>1021</v>
      </c>
      <c r="D2" t="s">
        <v>701</v>
      </c>
      <c r="E2" t="s">
        <v>1022</v>
      </c>
    </row>
    <row r="3" spans="1:5" x14ac:dyDescent="0.25">
      <c r="A3" t="s">
        <v>758</v>
      </c>
      <c r="B3" t="s">
        <v>699</v>
      </c>
      <c r="C3" t="s">
        <v>759</v>
      </c>
      <c r="D3" t="s">
        <v>719</v>
      </c>
      <c r="E3" t="s">
        <v>760</v>
      </c>
    </row>
    <row r="4" spans="1:5" x14ac:dyDescent="0.25">
      <c r="A4" t="s">
        <v>1097</v>
      </c>
      <c r="B4" t="s">
        <v>699</v>
      </c>
      <c r="C4" t="s">
        <v>1098</v>
      </c>
      <c r="D4" t="s">
        <v>719</v>
      </c>
      <c r="E4" t="s">
        <v>760</v>
      </c>
    </row>
    <row r="5" spans="1:5" x14ac:dyDescent="0.25">
      <c r="A5" t="s">
        <v>1173</v>
      </c>
      <c r="B5" t="s">
        <v>699</v>
      </c>
      <c r="C5" t="s">
        <v>1174</v>
      </c>
      <c r="D5" t="s">
        <v>701</v>
      </c>
      <c r="E5" t="s">
        <v>1175</v>
      </c>
    </row>
    <row r="6" spans="1:5" x14ac:dyDescent="0.25">
      <c r="A6" t="s">
        <v>1184</v>
      </c>
      <c r="B6" t="s">
        <v>699</v>
      </c>
      <c r="C6" t="s">
        <v>1185</v>
      </c>
      <c r="D6" t="s">
        <v>701</v>
      </c>
      <c r="E6" t="s">
        <v>760</v>
      </c>
    </row>
    <row r="7" spans="1:5" x14ac:dyDescent="0.25">
      <c r="A7" t="s">
        <v>789</v>
      </c>
      <c r="B7" t="s">
        <v>699</v>
      </c>
      <c r="C7" t="s">
        <v>790</v>
      </c>
      <c r="D7" t="s">
        <v>701</v>
      </c>
      <c r="E7" t="s">
        <v>791</v>
      </c>
    </row>
    <row r="8" spans="1:5" x14ac:dyDescent="0.25">
      <c r="A8" t="s">
        <v>876</v>
      </c>
      <c r="B8" t="s">
        <v>800</v>
      </c>
      <c r="C8" t="s">
        <v>877</v>
      </c>
      <c r="D8" t="s">
        <v>802</v>
      </c>
      <c r="E8" t="s">
        <v>791</v>
      </c>
    </row>
    <row r="9" spans="1:5" x14ac:dyDescent="0.25">
      <c r="A9" t="s">
        <v>1064</v>
      </c>
      <c r="B9" t="s">
        <v>699</v>
      </c>
      <c r="C9" t="s">
        <v>1065</v>
      </c>
      <c r="D9" t="s">
        <v>701</v>
      </c>
      <c r="E9" t="s">
        <v>791</v>
      </c>
    </row>
    <row r="10" spans="1:5" x14ac:dyDescent="0.25">
      <c r="A10" t="s">
        <v>1143</v>
      </c>
      <c r="B10" t="s">
        <v>699</v>
      </c>
      <c r="C10" t="s">
        <v>1144</v>
      </c>
      <c r="D10" t="s">
        <v>719</v>
      </c>
      <c r="E10" t="s">
        <v>791</v>
      </c>
    </row>
    <row r="11" spans="1:5" x14ac:dyDescent="0.25">
      <c r="A11" t="s">
        <v>1178</v>
      </c>
      <c r="B11" t="s">
        <v>699</v>
      </c>
      <c r="C11" t="s">
        <v>1179</v>
      </c>
      <c r="D11" t="s">
        <v>701</v>
      </c>
      <c r="E11" t="s">
        <v>791</v>
      </c>
    </row>
    <row r="12" spans="1:5" x14ac:dyDescent="0.25">
      <c r="A12" t="s">
        <v>1182</v>
      </c>
      <c r="B12" t="s">
        <v>699</v>
      </c>
      <c r="C12" t="s">
        <v>1183</v>
      </c>
      <c r="D12" t="s">
        <v>701</v>
      </c>
      <c r="E12" t="s">
        <v>791</v>
      </c>
    </row>
    <row r="13" spans="1:5" x14ac:dyDescent="0.25">
      <c r="A13" t="s">
        <v>958</v>
      </c>
      <c r="B13" t="s">
        <v>699</v>
      </c>
      <c r="C13" t="s">
        <v>959</v>
      </c>
      <c r="D13" t="s">
        <v>701</v>
      </c>
      <c r="E13" t="s">
        <v>960</v>
      </c>
    </row>
    <row r="14" spans="1:5" x14ac:dyDescent="0.25">
      <c r="A14" t="s">
        <v>1028</v>
      </c>
      <c r="B14" t="s">
        <v>699</v>
      </c>
      <c r="C14" t="s">
        <v>1029</v>
      </c>
      <c r="D14" t="s">
        <v>701</v>
      </c>
      <c r="E14" t="s">
        <v>960</v>
      </c>
    </row>
    <row r="15" spans="1:5" x14ac:dyDescent="0.25">
      <c r="A15" t="s">
        <v>838</v>
      </c>
      <c r="B15" t="s">
        <v>699</v>
      </c>
      <c r="C15" t="s">
        <v>839</v>
      </c>
      <c r="D15" t="s">
        <v>701</v>
      </c>
      <c r="E15" t="s">
        <v>840</v>
      </c>
    </row>
    <row r="16" spans="1:5" x14ac:dyDescent="0.25">
      <c r="A16" t="s">
        <v>988</v>
      </c>
      <c r="B16" t="s">
        <v>699</v>
      </c>
      <c r="C16" t="s">
        <v>989</v>
      </c>
      <c r="D16" t="s">
        <v>701</v>
      </c>
      <c r="E16" t="s">
        <v>990</v>
      </c>
    </row>
    <row r="17" spans="1:5" x14ac:dyDescent="0.25">
      <c r="A17" t="s">
        <v>1089</v>
      </c>
      <c r="B17" t="s">
        <v>699</v>
      </c>
      <c r="C17" t="s">
        <v>1090</v>
      </c>
      <c r="D17" t="s">
        <v>701</v>
      </c>
      <c r="E17" t="s">
        <v>1091</v>
      </c>
    </row>
    <row r="18" spans="1:5" x14ac:dyDescent="0.25">
      <c r="A18" t="s">
        <v>781</v>
      </c>
      <c r="B18" t="s">
        <v>699</v>
      </c>
      <c r="C18" t="s">
        <v>782</v>
      </c>
      <c r="D18" t="s">
        <v>719</v>
      </c>
      <c r="E18" t="s">
        <v>783</v>
      </c>
    </row>
    <row r="19" spans="1:5" x14ac:dyDescent="0.25">
      <c r="A19" t="s">
        <v>852</v>
      </c>
      <c r="B19" t="s">
        <v>699</v>
      </c>
      <c r="C19" t="s">
        <v>853</v>
      </c>
      <c r="D19" t="s">
        <v>719</v>
      </c>
      <c r="E19" t="s">
        <v>729</v>
      </c>
    </row>
    <row r="20" spans="1:5" x14ac:dyDescent="0.25">
      <c r="A20" t="s">
        <v>1291</v>
      </c>
      <c r="C20" t="s">
        <v>1291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B5AB-337F-472F-BF9C-30079C60E6F8}">
  <sheetPr codeName="Sheet9"/>
  <dimension ref="A1:E14"/>
  <sheetViews>
    <sheetView workbookViewId="0">
      <selection activeCell="E24" sqref="E24"/>
    </sheetView>
  </sheetViews>
  <sheetFormatPr defaultRowHeight="15" x14ac:dyDescent="0.25"/>
  <cols>
    <col min="1" max="1" width="22.5703125" bestFit="1" customWidth="1"/>
    <col min="2" max="2" width="30.28515625" bestFit="1" customWidth="1"/>
    <col min="3" max="3" width="35.140625" bestFit="1" customWidth="1"/>
    <col min="4" max="4" width="16.7109375" bestFit="1" customWidth="1"/>
    <col min="5" max="5" width="30" bestFit="1" customWidth="1"/>
  </cols>
  <sheetData>
    <row r="1" spans="1:5" x14ac:dyDescent="0.25">
      <c r="A1" s="7" t="s">
        <v>693</v>
      </c>
      <c r="B1" s="7" t="s">
        <v>694</v>
      </c>
      <c r="C1" s="7" t="s">
        <v>695</v>
      </c>
      <c r="D1" s="7" t="s">
        <v>696</v>
      </c>
      <c r="E1" s="7" t="s">
        <v>697</v>
      </c>
    </row>
    <row r="2" spans="1:5" x14ac:dyDescent="0.25">
      <c r="A2" s="8" t="s">
        <v>1145</v>
      </c>
      <c r="B2" s="8" t="s">
        <v>699</v>
      </c>
      <c r="C2" s="8" t="s">
        <v>1146</v>
      </c>
      <c r="D2" s="8" t="s">
        <v>797</v>
      </c>
      <c r="E2" s="8" t="s">
        <v>1005</v>
      </c>
    </row>
    <row r="3" spans="1:5" x14ac:dyDescent="0.25">
      <c r="A3" s="8" t="s">
        <v>754</v>
      </c>
      <c r="B3" s="8" t="s">
        <v>699</v>
      </c>
      <c r="C3" s="8" t="s">
        <v>755</v>
      </c>
      <c r="D3" s="8" t="s">
        <v>756</v>
      </c>
      <c r="E3" s="8" t="s">
        <v>757</v>
      </c>
    </row>
    <row r="4" spans="1:5" x14ac:dyDescent="0.25">
      <c r="A4" s="8" t="s">
        <v>779</v>
      </c>
      <c r="B4" s="8" t="s">
        <v>699</v>
      </c>
      <c r="C4" s="8" t="s">
        <v>780</v>
      </c>
      <c r="D4" s="8" t="s">
        <v>756</v>
      </c>
      <c r="E4" s="8" t="s">
        <v>757</v>
      </c>
    </row>
    <row r="5" spans="1:5" x14ac:dyDescent="0.25">
      <c r="A5" s="8" t="s">
        <v>947</v>
      </c>
      <c r="B5" s="8" t="s">
        <v>699</v>
      </c>
      <c r="C5" s="8" t="s">
        <v>948</v>
      </c>
      <c r="D5" s="8" t="s">
        <v>797</v>
      </c>
      <c r="E5" s="8" t="s">
        <v>757</v>
      </c>
    </row>
    <row r="6" spans="1:5" x14ac:dyDescent="0.25">
      <c r="A6" s="8" t="s">
        <v>1013</v>
      </c>
      <c r="B6" s="8" t="s">
        <v>699</v>
      </c>
      <c r="C6" s="8" t="s">
        <v>1014</v>
      </c>
      <c r="D6" s="8" t="s">
        <v>797</v>
      </c>
      <c r="E6" s="8" t="s">
        <v>757</v>
      </c>
    </row>
    <row r="7" spans="1:5" x14ac:dyDescent="0.25">
      <c r="A7" s="8" t="s">
        <v>1056</v>
      </c>
      <c r="B7" s="8" t="s">
        <v>699</v>
      </c>
      <c r="C7" s="8" t="s">
        <v>1057</v>
      </c>
      <c r="D7" s="8" t="s">
        <v>797</v>
      </c>
      <c r="E7" s="8" t="s">
        <v>757</v>
      </c>
    </row>
    <row r="8" spans="1:5" x14ac:dyDescent="0.25">
      <c r="A8" s="8" t="s">
        <v>854</v>
      </c>
      <c r="B8" s="8" t="s">
        <v>800</v>
      </c>
      <c r="C8" s="8" t="s">
        <v>855</v>
      </c>
      <c r="D8" s="8" t="s">
        <v>802</v>
      </c>
      <c r="E8" s="8" t="s">
        <v>856</v>
      </c>
    </row>
    <row r="9" spans="1:5" x14ac:dyDescent="0.25">
      <c r="A9" s="8" t="s">
        <v>795</v>
      </c>
      <c r="B9" s="8" t="s">
        <v>699</v>
      </c>
      <c r="C9" s="8" t="s">
        <v>796</v>
      </c>
      <c r="D9" s="8" t="s">
        <v>797</v>
      </c>
      <c r="E9" s="8" t="s">
        <v>798</v>
      </c>
    </row>
    <row r="10" spans="1:5" x14ac:dyDescent="0.25">
      <c r="A10" s="8" t="s">
        <v>985</v>
      </c>
      <c r="B10" s="8" t="s">
        <v>800</v>
      </c>
      <c r="C10" s="8" t="s">
        <v>986</v>
      </c>
      <c r="D10" s="8" t="s">
        <v>802</v>
      </c>
      <c r="E10" s="8" t="s">
        <v>987</v>
      </c>
    </row>
    <row r="11" spans="1:5" x14ac:dyDescent="0.25">
      <c r="A11" s="8" t="s">
        <v>811</v>
      </c>
      <c r="B11" s="8" t="s">
        <v>699</v>
      </c>
      <c r="C11" s="8" t="s">
        <v>812</v>
      </c>
      <c r="D11" s="8" t="s">
        <v>701</v>
      </c>
      <c r="E11" s="8" t="s">
        <v>813</v>
      </c>
    </row>
    <row r="12" spans="1:5" x14ac:dyDescent="0.25">
      <c r="A12" s="8" t="s">
        <v>949</v>
      </c>
      <c r="B12" s="8" t="s">
        <v>699</v>
      </c>
      <c r="C12" s="8" t="s">
        <v>950</v>
      </c>
      <c r="D12" s="8" t="s">
        <v>701</v>
      </c>
      <c r="E12" s="8" t="s">
        <v>951</v>
      </c>
    </row>
    <row r="13" spans="1:5" x14ac:dyDescent="0.25">
      <c r="A13" s="8" t="s">
        <v>781</v>
      </c>
      <c r="B13" s="8" t="s">
        <v>699</v>
      </c>
      <c r="C13" s="8" t="s">
        <v>782</v>
      </c>
      <c r="D13" s="8" t="s">
        <v>719</v>
      </c>
      <c r="E13" s="8" t="s">
        <v>783</v>
      </c>
    </row>
    <row r="14" spans="1:5" x14ac:dyDescent="0.25">
      <c r="A14" s="16" t="s">
        <v>1291</v>
      </c>
      <c r="B14" s="16"/>
      <c r="C14" s="16" t="s">
        <v>1291</v>
      </c>
      <c r="D14" s="16"/>
      <c r="E14" s="1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7C17-0969-4395-8ADA-690DD7E7E656}">
  <sheetPr codeName="Sheet12"/>
  <dimension ref="A1:F3"/>
  <sheetViews>
    <sheetView workbookViewId="0">
      <selection activeCell="A13" sqref="A13"/>
    </sheetView>
  </sheetViews>
  <sheetFormatPr defaultRowHeight="15" x14ac:dyDescent="0.25"/>
  <cols>
    <col min="1" max="1" width="48.5703125" customWidth="1"/>
    <col min="2" max="2" width="11.7109375" style="9" customWidth="1"/>
    <col min="3" max="3" width="14.5703125" style="9" bestFit="1" customWidth="1"/>
    <col min="4" max="4" width="14.5703125" style="9" customWidth="1"/>
    <col min="5" max="5" width="18" style="9" bestFit="1" customWidth="1"/>
    <col min="6" max="6" width="25" style="9" customWidth="1"/>
  </cols>
  <sheetData>
    <row r="1" spans="1:6" x14ac:dyDescent="0.25">
      <c r="A1" s="11" t="s">
        <v>1189</v>
      </c>
      <c r="B1" s="10" t="s">
        <v>1190</v>
      </c>
      <c r="C1" s="10" t="s">
        <v>1192</v>
      </c>
      <c r="D1" s="10" t="s">
        <v>1194</v>
      </c>
      <c r="E1" s="10" t="s">
        <v>1198</v>
      </c>
      <c r="F1" s="10" t="s">
        <v>1191</v>
      </c>
    </row>
    <row r="2" spans="1:6" x14ac:dyDescent="0.25">
      <c r="A2" s="11" t="str">
        <f>_xlfn.TEXTJOIN(" | ",TRUE,T_INV_WAREHOUSE[[#This Row],[BU]:[WAREHOUSE NAME]])</f>
        <v>BU 135 | UAE | ABU DHABI | ICAD III | ALPHA</v>
      </c>
      <c r="B2" s="10" t="s">
        <v>7</v>
      </c>
      <c r="C2" s="10" t="s">
        <v>1193</v>
      </c>
      <c r="D2" s="10" t="s">
        <v>1195</v>
      </c>
      <c r="E2" s="10" t="s">
        <v>211</v>
      </c>
      <c r="F2" s="10" t="s">
        <v>1196</v>
      </c>
    </row>
    <row r="3" spans="1:6" x14ac:dyDescent="0.25">
      <c r="A3" s="11" t="str">
        <f>_xlfn.TEXTJOIN(" | ",TRUE,T_INV_WAREHOUSE[[#This Row],[BU]:[WAREHOUSE NAME]])</f>
        <v>BU 135 | UAE | DUBAI | R135 | REMOTE</v>
      </c>
      <c r="B3" s="10" t="s">
        <v>7</v>
      </c>
      <c r="C3" s="10" t="s">
        <v>1193</v>
      </c>
      <c r="D3" s="10" t="s">
        <v>1197</v>
      </c>
      <c r="E3" s="10" t="s">
        <v>1199</v>
      </c>
      <c r="F3" s="10" t="s">
        <v>1200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040A-EE73-4892-9967-673CA7316E94}">
  <sheetPr codeName="Sheet10"/>
  <dimension ref="A1"/>
  <sheetViews>
    <sheetView workbookViewId="0">
      <selection activeCell="F11" sqref="F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ENTITY</vt:lpstr>
      <vt:lpstr>BU</vt:lpstr>
      <vt:lpstr>REQUEST TYPE</vt:lpstr>
      <vt:lpstr>ITEM TYPE</vt:lpstr>
      <vt:lpstr>PROJECTS</vt:lpstr>
      <vt:lpstr>LOCATION</vt:lpstr>
      <vt:lpstr>REQUESTER</vt:lpstr>
      <vt:lpstr>WAREHOUSE REP</vt:lpstr>
      <vt:lpstr>BUYER</vt:lpstr>
      <vt:lpstr>WAREHOUSE</vt:lpstr>
      <vt:lpstr>SUPPLIER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Shahfeen Shamsudheen</cp:lastModifiedBy>
  <cp:revision/>
  <dcterms:created xsi:type="dcterms:W3CDTF">2025-12-20T04:33:42Z</dcterms:created>
  <dcterms:modified xsi:type="dcterms:W3CDTF">2026-03-09T08:38:24Z</dcterms:modified>
  <cp:category/>
  <cp:contentStatus/>
</cp:coreProperties>
</file>