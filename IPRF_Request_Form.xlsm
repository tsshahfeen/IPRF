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queryTables/queryTable9.xml" ContentType="application/vnd.openxmlformats-officedocument.spreadsheetml.query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hfeen.shamsudheen\Desktop\Backup\"/>
    </mc:Choice>
  </mc:AlternateContent>
  <xr:revisionPtr revIDLastSave="0" documentId="13_ncr:1_{18C7ADD1-0206-4924-8089-598F18C35221}" xr6:coauthVersionLast="47" xr6:coauthVersionMax="47" xr10:uidLastSave="{00000000-0000-0000-0000-000000000000}"/>
  <workbookProtection lockStructure="1"/>
  <bookViews>
    <workbookView xWindow="-28920" yWindow="-120" windowWidth="29040" windowHeight="15720" tabRatio="757" xr2:uid="{00000000-000D-0000-FFFF-FFFF00000000}"/>
  </bookViews>
  <sheets>
    <sheet name="New request form" sheetId="3" r:id="rId1"/>
    <sheet name="My Requests" sheetId="8" r:id="rId2"/>
    <sheet name="Set Defaults" sheetId="7" r:id="rId3"/>
    <sheet name="Request Header" sheetId="1" r:id="rId4"/>
    <sheet name="Header map" sheetId="5" r:id="rId5"/>
    <sheet name="Sheet3" sheetId="6" r:id="rId6"/>
    <sheet name="Q_DataValidation_Source_Master" sheetId="14" r:id="rId7"/>
    <sheet name="Q_DataValidation_Cache" sheetId="13" r:id="rId8"/>
    <sheet name="Data_Validation_Source" sheetId="9" r:id="rId9"/>
    <sheet name="App_Version" sheetId="15" r:id="rId10"/>
  </sheets>
  <definedNames>
    <definedName name="_xleta.IFERROR" hidden="1" xlm="1">#NAME?</definedName>
    <definedName name="App_Version">App_Version!$A$1</definedName>
    <definedName name="ExternalData_1" localSheetId="8" hidden="1">Data_Validation_Source!#REF!</definedName>
    <definedName name="ExternalData_1" localSheetId="7" hidden="1">Q_DataValidation_Cache!$A$1:$AH$2805</definedName>
    <definedName name="ExternalData_10" localSheetId="8" hidden="1">Data_Validation_Source!$AK$1:$AO$13</definedName>
    <definedName name="ExternalData_2" localSheetId="8" hidden="1">Data_Validation_Source!$A$1:$A$6</definedName>
    <definedName name="ExternalData_2" localSheetId="6" hidden="1">Q_DataValidation_Source_Master!$A$1:$AH$2805</definedName>
    <definedName name="ExternalData_3" localSheetId="8" hidden="1">Data_Validation_Source!$C$1:$C$5</definedName>
    <definedName name="ExternalData_4" localSheetId="8" hidden="1">Data_Validation_Source!$E$1:$E$3</definedName>
    <definedName name="ExternalData_5" localSheetId="8" hidden="1">Data_Validation_Source!$G$1:$I$7</definedName>
    <definedName name="ExternalData_6" localSheetId="8" hidden="1">Data_Validation_Source!$K$1:$N$104</definedName>
    <definedName name="ExternalData_7" localSheetId="8" hidden="1">Data_Validation_Source!$P$1:$W$247</definedName>
    <definedName name="ExternalData_8" localSheetId="8" hidden="1">Data_Validation_Source!$Y$1:$AC$190</definedName>
    <definedName name="ExternalData_9" localSheetId="8" hidden="1">Data_Validation_Source!$AE$1:$AI$19</definedName>
    <definedName name="Input_Asset" localSheetId="1">'My Requests'!$N$8</definedName>
    <definedName name="Input_Asset" localSheetId="0">'New request form'!$N$8</definedName>
    <definedName name="Input_Bu" localSheetId="1">'My Requests'!$C$7</definedName>
    <definedName name="Input_Bu" localSheetId="0">'New request form'!$C$7</definedName>
    <definedName name="Input_Buyer_email" localSheetId="3">'Request Header'!$X$4</definedName>
    <definedName name="Input_Entity" localSheetId="1">'My Requests'!$N$6</definedName>
    <definedName name="Input_Entity" localSheetId="0">'New request form'!$N$6</definedName>
    <definedName name="Input_Item_type" localSheetId="1">'My Requests'!$H$6</definedName>
    <definedName name="Input_item_type" localSheetId="0">'New request form'!$H$6</definedName>
    <definedName name="Input_Location" localSheetId="1">'My Requests'!$H$8</definedName>
    <definedName name="Input_Location" localSheetId="0">'New request form'!$H$8</definedName>
    <definedName name="Input_Postfactoref" localSheetId="1">'My Requests'!$M$7</definedName>
    <definedName name="Input_Postfactoref" localSheetId="0">'New request form'!$N$7</definedName>
    <definedName name="Input_ProjectID" localSheetId="1">'My Requests'!$C$10</definedName>
    <definedName name="Input_ProjectID" localSheetId="0">'New request form'!$C$10</definedName>
    <definedName name="Input_Request_Date" localSheetId="1">'My Requests'!$N$5</definedName>
    <definedName name="Input_Request_Date" localSheetId="0">'New request form'!$N$5</definedName>
    <definedName name="Input_Request_number" localSheetId="1">'My Requests'!$C$5</definedName>
    <definedName name="Input_Request_number" localSheetId="0">'New request form'!$C$5</definedName>
    <definedName name="Input_Request_type" localSheetId="1">'My Requests'!$C$6</definedName>
    <definedName name="Input_Request_type" localSheetId="0">'New request form'!$C$6</definedName>
    <definedName name="Input_Requester" localSheetId="1">'My Requests'!$N$9</definedName>
    <definedName name="Input_Requester" localSheetId="0">'New request form'!$N$9</definedName>
    <definedName name="Input_Requester_email" localSheetId="3">'Request Header'!$T$4</definedName>
    <definedName name="Input_Required_by" localSheetId="1">'My Requests'!$C$8</definedName>
    <definedName name="Input_Required_by" localSheetId="0">'New request form'!$C$8</definedName>
    <definedName name="Input_Rimsesref" localSheetId="1">'My Requests'!$I$9</definedName>
    <definedName name="Input_Rimsesref" localSheetId="0">'New request form'!$H$9:$I$9</definedName>
    <definedName name="Input_Sourcingref" localSheetId="1">'My Requests'!$H$7</definedName>
    <definedName name="Input_Sourcingref" localSheetId="0">'New request form'!$H$7:$I$7</definedName>
    <definedName name="Input_Subject" localSheetId="1">'My Requests'!$H$5</definedName>
    <definedName name="Input_Subject" localSheetId="0">'New request form'!$H$5</definedName>
    <definedName name="Input_Version" localSheetId="1">'My Requests'!$H$10</definedName>
    <definedName name="Input_Version" localSheetId="0">'New request form'!$H$10</definedName>
    <definedName name="Input_Warehouse_re_email" localSheetId="3">'Request Header'!$V$4</definedName>
    <definedName name="Input_Warehouse_rep" localSheetId="1">'My Requests'!$N$10</definedName>
    <definedName name="Input_Warehouse_rep" localSheetId="0">'New request form'!$N$10</definedName>
    <definedName name="Input_Workorderref" localSheetId="1">'My Requests'!$C$9</definedName>
    <definedName name="Input_Workorderref" localSheetId="0">'New request form'!$C$9:$D$9</definedName>
    <definedName name="R_bu">Q_BU[Business unit]</definedName>
    <definedName name="R_entity">Q_Entity[Entity]</definedName>
    <definedName name="R_item_type">Q_Item_type[Item type]</definedName>
    <definedName name="R_location">Q_Location[Location]</definedName>
    <definedName name="R_projects">Q_Projects[ProjectID_Name]</definedName>
    <definedName name="R_request_type">Q_Request_type[Request type]</definedName>
    <definedName name="R_requester_name">Q_Requester[DisplayName]</definedName>
    <definedName name="R_warehouse_rep_name">Q_Warehouse_Rep[DisplayName]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3" l="1"/>
  <c r="N513" i="8" l="1" a="1"/>
  <c r="N513" i="8" s="1"/>
  <c r="M513" i="8" a="1"/>
  <c r="M513" i="8" s="1"/>
  <c r="L513" i="8"/>
  <c r="A513" i="8"/>
  <c r="N512" i="8" a="1"/>
  <c r="N512" i="8" s="1"/>
  <c r="M512" i="8" a="1"/>
  <c r="M512" i="8" s="1"/>
  <c r="L512" i="8"/>
  <c r="A512" i="8"/>
  <c r="N511" i="8" a="1"/>
  <c r="N511" i="8" s="1"/>
  <c r="M511" i="8" a="1"/>
  <c r="M511" i="8" s="1"/>
  <c r="L511" i="8"/>
  <c r="A511" i="8"/>
  <c r="N510" i="8" a="1"/>
  <c r="N510" i="8" s="1"/>
  <c r="M510" i="8" a="1"/>
  <c r="M510" i="8" s="1"/>
  <c r="L510" i="8"/>
  <c r="A510" i="8"/>
  <c r="N509" i="8" a="1"/>
  <c r="N509" i="8" s="1"/>
  <c r="M509" i="8" a="1"/>
  <c r="M509" i="8" s="1"/>
  <c r="L509" i="8"/>
  <c r="A509" i="8"/>
  <c r="N508" i="8" a="1"/>
  <c r="N508" i="8" s="1"/>
  <c r="M508" i="8" a="1"/>
  <c r="M508" i="8" s="1"/>
  <c r="L508" i="8"/>
  <c r="A508" i="8"/>
  <c r="N507" i="8" a="1"/>
  <c r="N507" i="8" s="1"/>
  <c r="M507" i="8" a="1"/>
  <c r="M507" i="8" s="1"/>
  <c r="L507" i="8"/>
  <c r="A507" i="8"/>
  <c r="N506" i="8" a="1"/>
  <c r="N506" i="8" s="1"/>
  <c r="M506" i="8" a="1"/>
  <c r="M506" i="8" s="1"/>
  <c r="L506" i="8"/>
  <c r="A506" i="8"/>
  <c r="N505" i="8" a="1"/>
  <c r="N505" i="8" s="1"/>
  <c r="M505" i="8" a="1"/>
  <c r="M505" i="8" s="1"/>
  <c r="L505" i="8"/>
  <c r="A505" i="8"/>
  <c r="N504" i="8" a="1"/>
  <c r="N504" i="8" s="1"/>
  <c r="M504" i="8" a="1"/>
  <c r="M504" i="8" s="1"/>
  <c r="L504" i="8"/>
  <c r="A504" i="8"/>
  <c r="N503" i="8" a="1"/>
  <c r="N503" i="8" s="1"/>
  <c r="M503" i="8" a="1"/>
  <c r="M503" i="8" s="1"/>
  <c r="L503" i="8"/>
  <c r="A503" i="8"/>
  <c r="N502" i="8" a="1"/>
  <c r="N502" i="8" s="1"/>
  <c r="M502" i="8" a="1"/>
  <c r="M502" i="8" s="1"/>
  <c r="L502" i="8"/>
  <c r="A502" i="8"/>
  <c r="N501" i="8" a="1"/>
  <c r="N501" i="8" s="1"/>
  <c r="M501" i="8" a="1"/>
  <c r="M501" i="8" s="1"/>
  <c r="L501" i="8"/>
  <c r="A501" i="8"/>
  <c r="N500" i="8" a="1"/>
  <c r="N500" i="8" s="1"/>
  <c r="M500" i="8" a="1"/>
  <c r="M500" i="8" s="1"/>
  <c r="L500" i="8"/>
  <c r="A500" i="8"/>
  <c r="N499" i="8" a="1"/>
  <c r="N499" i="8" s="1"/>
  <c r="M499" i="8" a="1"/>
  <c r="M499" i="8" s="1"/>
  <c r="L499" i="8"/>
  <c r="A499" i="8"/>
  <c r="N498" i="8" a="1"/>
  <c r="N498" i="8" s="1"/>
  <c r="M498" i="8" a="1"/>
  <c r="M498" i="8" s="1"/>
  <c r="L498" i="8"/>
  <c r="A498" i="8"/>
  <c r="N497" i="8" a="1"/>
  <c r="N497" i="8" s="1"/>
  <c r="M497" i="8" a="1"/>
  <c r="M497" i="8" s="1"/>
  <c r="L497" i="8"/>
  <c r="A497" i="8"/>
  <c r="N496" i="8" a="1"/>
  <c r="N496" i="8" s="1"/>
  <c r="M496" i="8" a="1"/>
  <c r="M496" i="8" s="1"/>
  <c r="L496" i="8"/>
  <c r="A496" i="8"/>
  <c r="N495" i="8" a="1"/>
  <c r="N495" i="8" s="1"/>
  <c r="M495" i="8" a="1"/>
  <c r="M495" i="8" s="1"/>
  <c r="L495" i="8"/>
  <c r="A495" i="8"/>
  <c r="N494" i="8" a="1"/>
  <c r="N494" i="8" s="1"/>
  <c r="M494" i="8" a="1"/>
  <c r="M494" i="8" s="1"/>
  <c r="L494" i="8"/>
  <c r="A494" i="8"/>
  <c r="N493" i="8" a="1"/>
  <c r="N493" i="8" s="1"/>
  <c r="M493" i="8" a="1"/>
  <c r="M493" i="8" s="1"/>
  <c r="L493" i="8"/>
  <c r="A493" i="8"/>
  <c r="N492" i="8" a="1"/>
  <c r="N492" i="8" s="1"/>
  <c r="M492" i="8" a="1"/>
  <c r="M492" i="8" s="1"/>
  <c r="L492" i="8"/>
  <c r="A492" i="8"/>
  <c r="N491" i="8" a="1"/>
  <c r="N491" i="8" s="1"/>
  <c r="M491" i="8" a="1"/>
  <c r="M491" i="8" s="1"/>
  <c r="L491" i="8"/>
  <c r="A491" i="8"/>
  <c r="N490" i="8" a="1"/>
  <c r="N490" i="8" s="1"/>
  <c r="M490" i="8" a="1"/>
  <c r="M490" i="8" s="1"/>
  <c r="L490" i="8"/>
  <c r="A490" i="8"/>
  <c r="N489" i="8" a="1"/>
  <c r="N489" i="8" s="1"/>
  <c r="M489" i="8" a="1"/>
  <c r="M489" i="8" s="1"/>
  <c r="L489" i="8"/>
  <c r="A489" i="8"/>
  <c r="N488" i="8" a="1"/>
  <c r="N488" i="8" s="1"/>
  <c r="M488" i="8" a="1"/>
  <c r="M488" i="8" s="1"/>
  <c r="L488" i="8"/>
  <c r="A488" i="8"/>
  <c r="N487" i="8" a="1"/>
  <c r="N487" i="8" s="1"/>
  <c r="M487" i="8" a="1"/>
  <c r="M487" i="8" s="1"/>
  <c r="L487" i="8"/>
  <c r="A487" i="8"/>
  <c r="N486" i="8" a="1"/>
  <c r="N486" i="8" s="1"/>
  <c r="M486" i="8" a="1"/>
  <c r="M486" i="8" s="1"/>
  <c r="L486" i="8"/>
  <c r="A486" i="8"/>
  <c r="N485" i="8" a="1"/>
  <c r="N485" i="8" s="1"/>
  <c r="M485" i="8" a="1"/>
  <c r="M485" i="8" s="1"/>
  <c r="L485" i="8"/>
  <c r="A485" i="8"/>
  <c r="N484" i="8" a="1"/>
  <c r="N484" i="8" s="1"/>
  <c r="M484" i="8" a="1"/>
  <c r="M484" i="8" s="1"/>
  <c r="L484" i="8"/>
  <c r="A484" i="8"/>
  <c r="N483" i="8" a="1"/>
  <c r="N483" i="8" s="1"/>
  <c r="M483" i="8" a="1"/>
  <c r="M483" i="8" s="1"/>
  <c r="L483" i="8"/>
  <c r="A483" i="8"/>
  <c r="N482" i="8" a="1"/>
  <c r="N482" i="8" s="1"/>
  <c r="M482" i="8" a="1"/>
  <c r="M482" i="8" s="1"/>
  <c r="L482" i="8"/>
  <c r="A482" i="8"/>
  <c r="N481" i="8" a="1"/>
  <c r="N481" i="8" s="1"/>
  <c r="M481" i="8" a="1"/>
  <c r="M481" i="8" s="1"/>
  <c r="L481" i="8"/>
  <c r="A481" i="8"/>
  <c r="N480" i="8" a="1"/>
  <c r="N480" i="8" s="1"/>
  <c r="M480" i="8" a="1"/>
  <c r="M480" i="8" s="1"/>
  <c r="L480" i="8"/>
  <c r="A480" i="8"/>
  <c r="N479" i="8" a="1"/>
  <c r="N479" i="8" s="1"/>
  <c r="M479" i="8" a="1"/>
  <c r="M479" i="8" s="1"/>
  <c r="L479" i="8"/>
  <c r="A479" i="8"/>
  <c r="N478" i="8" a="1"/>
  <c r="N478" i="8" s="1"/>
  <c r="M478" i="8" a="1"/>
  <c r="M478" i="8" s="1"/>
  <c r="L478" i="8"/>
  <c r="A478" i="8"/>
  <c r="N477" i="8" a="1"/>
  <c r="N477" i="8" s="1"/>
  <c r="M477" i="8" a="1"/>
  <c r="M477" i="8" s="1"/>
  <c r="L477" i="8"/>
  <c r="A477" i="8"/>
  <c r="N476" i="8" a="1"/>
  <c r="N476" i="8" s="1"/>
  <c r="M476" i="8" a="1"/>
  <c r="M476" i="8" s="1"/>
  <c r="L476" i="8"/>
  <c r="A476" i="8"/>
  <c r="N475" i="8" a="1"/>
  <c r="N475" i="8" s="1"/>
  <c r="M475" i="8" a="1"/>
  <c r="M475" i="8" s="1"/>
  <c r="L475" i="8"/>
  <c r="A475" i="8"/>
  <c r="N474" i="8" a="1"/>
  <c r="N474" i="8" s="1"/>
  <c r="M474" i="8" a="1"/>
  <c r="M474" i="8" s="1"/>
  <c r="L474" i="8"/>
  <c r="A474" i="8"/>
  <c r="N473" i="8" a="1"/>
  <c r="N473" i="8" s="1"/>
  <c r="M473" i="8" a="1"/>
  <c r="M473" i="8" s="1"/>
  <c r="L473" i="8"/>
  <c r="A473" i="8"/>
  <c r="N472" i="8" a="1"/>
  <c r="N472" i="8" s="1"/>
  <c r="M472" i="8" a="1"/>
  <c r="M472" i="8" s="1"/>
  <c r="L472" i="8"/>
  <c r="A472" i="8"/>
  <c r="N471" i="8" a="1"/>
  <c r="N471" i="8" s="1"/>
  <c r="M471" i="8" a="1"/>
  <c r="M471" i="8" s="1"/>
  <c r="L471" i="8"/>
  <c r="A471" i="8"/>
  <c r="N470" i="8" a="1"/>
  <c r="N470" i="8" s="1"/>
  <c r="M470" i="8" a="1"/>
  <c r="M470" i="8" s="1"/>
  <c r="L470" i="8"/>
  <c r="A470" i="8"/>
  <c r="N469" i="8" a="1"/>
  <c r="N469" i="8" s="1"/>
  <c r="M469" i="8" a="1"/>
  <c r="M469" i="8" s="1"/>
  <c r="L469" i="8"/>
  <c r="A469" i="8"/>
  <c r="N468" i="8" a="1"/>
  <c r="N468" i="8" s="1"/>
  <c r="M468" i="8" a="1"/>
  <c r="M468" i="8" s="1"/>
  <c r="L468" i="8"/>
  <c r="A468" i="8"/>
  <c r="N467" i="8" a="1"/>
  <c r="N467" i="8" s="1"/>
  <c r="M467" i="8" a="1"/>
  <c r="M467" i="8" s="1"/>
  <c r="L467" i="8"/>
  <c r="A467" i="8"/>
  <c r="N466" i="8" a="1"/>
  <c r="N466" i="8" s="1"/>
  <c r="M466" i="8" a="1"/>
  <c r="M466" i="8" s="1"/>
  <c r="L466" i="8"/>
  <c r="A466" i="8"/>
  <c r="N465" i="8" a="1"/>
  <c r="N465" i="8" s="1"/>
  <c r="M465" i="8" a="1"/>
  <c r="M465" i="8" s="1"/>
  <c r="L465" i="8"/>
  <c r="A465" i="8"/>
  <c r="N464" i="8" a="1"/>
  <c r="N464" i="8" s="1"/>
  <c r="M464" i="8" a="1"/>
  <c r="M464" i="8" s="1"/>
  <c r="L464" i="8"/>
  <c r="A464" i="8"/>
  <c r="N463" i="8" a="1"/>
  <c r="N463" i="8" s="1"/>
  <c r="M463" i="8" a="1"/>
  <c r="M463" i="8" s="1"/>
  <c r="L463" i="8"/>
  <c r="A463" i="8"/>
  <c r="N462" i="8" a="1"/>
  <c r="N462" i="8" s="1"/>
  <c r="M462" i="8" a="1"/>
  <c r="M462" i="8" s="1"/>
  <c r="L462" i="8"/>
  <c r="A462" i="8"/>
  <c r="N461" i="8" a="1"/>
  <c r="N461" i="8" s="1"/>
  <c r="M461" i="8" a="1"/>
  <c r="M461" i="8" s="1"/>
  <c r="L461" i="8"/>
  <c r="A461" i="8"/>
  <c r="N460" i="8" a="1"/>
  <c r="N460" i="8" s="1"/>
  <c r="M460" i="8" a="1"/>
  <c r="M460" i="8" s="1"/>
  <c r="L460" i="8"/>
  <c r="A460" i="8"/>
  <c r="N459" i="8" a="1"/>
  <c r="N459" i="8" s="1"/>
  <c r="M459" i="8" a="1"/>
  <c r="M459" i="8" s="1"/>
  <c r="L459" i="8"/>
  <c r="A459" i="8"/>
  <c r="N458" i="8" a="1"/>
  <c r="N458" i="8" s="1"/>
  <c r="M458" i="8" a="1"/>
  <c r="M458" i="8" s="1"/>
  <c r="L458" i="8"/>
  <c r="A458" i="8"/>
  <c r="N457" i="8" a="1"/>
  <c r="N457" i="8" s="1"/>
  <c r="M457" i="8" a="1"/>
  <c r="M457" i="8" s="1"/>
  <c r="L457" i="8"/>
  <c r="A457" i="8"/>
  <c r="N456" i="8" a="1"/>
  <c r="N456" i="8" s="1"/>
  <c r="M456" i="8" a="1"/>
  <c r="M456" i="8" s="1"/>
  <c r="L456" i="8"/>
  <c r="A456" i="8"/>
  <c r="N455" i="8" a="1"/>
  <c r="N455" i="8" s="1"/>
  <c r="M455" i="8" a="1"/>
  <c r="M455" i="8" s="1"/>
  <c r="L455" i="8"/>
  <c r="A455" i="8"/>
  <c r="N454" i="8" a="1"/>
  <c r="N454" i="8" s="1"/>
  <c r="M454" i="8" a="1"/>
  <c r="M454" i="8" s="1"/>
  <c r="L454" i="8"/>
  <c r="A454" i="8"/>
  <c r="N453" i="8" a="1"/>
  <c r="N453" i="8" s="1"/>
  <c r="M453" i="8" a="1"/>
  <c r="M453" i="8" s="1"/>
  <c r="L453" i="8"/>
  <c r="A453" i="8"/>
  <c r="N452" i="8" a="1"/>
  <c r="N452" i="8" s="1"/>
  <c r="M452" i="8" a="1"/>
  <c r="M452" i="8" s="1"/>
  <c r="L452" i="8"/>
  <c r="A452" i="8"/>
  <c r="N451" i="8" a="1"/>
  <c r="N451" i="8" s="1"/>
  <c r="M451" i="8" a="1"/>
  <c r="M451" i="8" s="1"/>
  <c r="L451" i="8"/>
  <c r="A451" i="8"/>
  <c r="N450" i="8" a="1"/>
  <c r="N450" i="8" s="1"/>
  <c r="M450" i="8" a="1"/>
  <c r="M450" i="8" s="1"/>
  <c r="L450" i="8"/>
  <c r="A450" i="8"/>
  <c r="N449" i="8" a="1"/>
  <c r="N449" i="8" s="1"/>
  <c r="M449" i="8" a="1"/>
  <c r="M449" i="8" s="1"/>
  <c r="L449" i="8"/>
  <c r="A449" i="8"/>
  <c r="N448" i="8" a="1"/>
  <c r="N448" i="8" s="1"/>
  <c r="M448" i="8" a="1"/>
  <c r="M448" i="8" s="1"/>
  <c r="L448" i="8"/>
  <c r="A448" i="8"/>
  <c r="N447" i="8" a="1"/>
  <c r="N447" i="8" s="1"/>
  <c r="M447" i="8" a="1"/>
  <c r="M447" i="8" s="1"/>
  <c r="L447" i="8"/>
  <c r="A447" i="8"/>
  <c r="N446" i="8" a="1"/>
  <c r="N446" i="8" s="1"/>
  <c r="M446" i="8" a="1"/>
  <c r="M446" i="8" s="1"/>
  <c r="L446" i="8"/>
  <c r="A446" i="8"/>
  <c r="N445" i="8" a="1"/>
  <c r="N445" i="8" s="1"/>
  <c r="M445" i="8" a="1"/>
  <c r="M445" i="8" s="1"/>
  <c r="L445" i="8"/>
  <c r="A445" i="8"/>
  <c r="N444" i="8" a="1"/>
  <c r="N444" i="8" s="1"/>
  <c r="M444" i="8" a="1"/>
  <c r="M444" i="8" s="1"/>
  <c r="L444" i="8"/>
  <c r="A444" i="8"/>
  <c r="N443" i="8" a="1"/>
  <c r="N443" i="8" s="1"/>
  <c r="M443" i="8" a="1"/>
  <c r="M443" i="8" s="1"/>
  <c r="L443" i="8"/>
  <c r="A443" i="8"/>
  <c r="N442" i="8" a="1"/>
  <c r="N442" i="8" s="1"/>
  <c r="M442" i="8" a="1"/>
  <c r="M442" i="8" s="1"/>
  <c r="L442" i="8"/>
  <c r="A442" i="8"/>
  <c r="N441" i="8" a="1"/>
  <c r="N441" i="8" s="1"/>
  <c r="M441" i="8" a="1"/>
  <c r="M441" i="8" s="1"/>
  <c r="L441" i="8"/>
  <c r="A441" i="8"/>
  <c r="N440" i="8" a="1"/>
  <c r="N440" i="8" s="1"/>
  <c r="M440" i="8" a="1"/>
  <c r="M440" i="8" s="1"/>
  <c r="L440" i="8"/>
  <c r="A440" i="8"/>
  <c r="N439" i="8" a="1"/>
  <c r="N439" i="8" s="1"/>
  <c r="M439" i="8" a="1"/>
  <c r="M439" i="8" s="1"/>
  <c r="L439" i="8"/>
  <c r="A439" i="8"/>
  <c r="N438" i="8" a="1"/>
  <c r="N438" i="8" s="1"/>
  <c r="M438" i="8" a="1"/>
  <c r="M438" i="8" s="1"/>
  <c r="L438" i="8"/>
  <c r="A438" i="8"/>
  <c r="N437" i="8" a="1"/>
  <c r="N437" i="8" s="1"/>
  <c r="M437" i="8" a="1"/>
  <c r="M437" i="8" s="1"/>
  <c r="L437" i="8"/>
  <c r="A437" i="8"/>
  <c r="N436" i="8" a="1"/>
  <c r="N436" i="8" s="1"/>
  <c r="M436" i="8" a="1"/>
  <c r="M436" i="8" s="1"/>
  <c r="L436" i="8"/>
  <c r="A436" i="8"/>
  <c r="N435" i="8" a="1"/>
  <c r="N435" i="8" s="1"/>
  <c r="M435" i="8" a="1"/>
  <c r="M435" i="8" s="1"/>
  <c r="L435" i="8"/>
  <c r="A435" i="8"/>
  <c r="N434" i="8" a="1"/>
  <c r="N434" i="8" s="1"/>
  <c r="M434" i="8" a="1"/>
  <c r="M434" i="8" s="1"/>
  <c r="L434" i="8"/>
  <c r="A434" i="8"/>
  <c r="N433" i="8" a="1"/>
  <c r="N433" i="8" s="1"/>
  <c r="M433" i="8" a="1"/>
  <c r="M433" i="8" s="1"/>
  <c r="L433" i="8"/>
  <c r="A433" i="8"/>
  <c r="N432" i="8" a="1"/>
  <c r="N432" i="8" s="1"/>
  <c r="M432" i="8" a="1"/>
  <c r="M432" i="8" s="1"/>
  <c r="L432" i="8"/>
  <c r="A432" i="8"/>
  <c r="N431" i="8" a="1"/>
  <c r="N431" i="8" s="1"/>
  <c r="M431" i="8" a="1"/>
  <c r="M431" i="8" s="1"/>
  <c r="L431" i="8"/>
  <c r="A431" i="8"/>
  <c r="N430" i="8" a="1"/>
  <c r="N430" i="8" s="1"/>
  <c r="M430" i="8" a="1"/>
  <c r="M430" i="8" s="1"/>
  <c r="L430" i="8"/>
  <c r="A430" i="8"/>
  <c r="N429" i="8" a="1"/>
  <c r="N429" i="8" s="1"/>
  <c r="M429" i="8" a="1"/>
  <c r="M429" i="8" s="1"/>
  <c r="L429" i="8"/>
  <c r="A429" i="8"/>
  <c r="N428" i="8" a="1"/>
  <c r="N428" i="8" s="1"/>
  <c r="M428" i="8" a="1"/>
  <c r="M428" i="8" s="1"/>
  <c r="L428" i="8"/>
  <c r="A428" i="8"/>
  <c r="N427" i="8" a="1"/>
  <c r="N427" i="8" s="1"/>
  <c r="M427" i="8" a="1"/>
  <c r="M427" i="8" s="1"/>
  <c r="L427" i="8"/>
  <c r="A427" i="8"/>
  <c r="N426" i="8" a="1"/>
  <c r="N426" i="8" s="1"/>
  <c r="M426" i="8" a="1"/>
  <c r="M426" i="8" s="1"/>
  <c r="L426" i="8"/>
  <c r="A426" i="8"/>
  <c r="N425" i="8" a="1"/>
  <c r="N425" i="8" s="1"/>
  <c r="M425" i="8" a="1"/>
  <c r="M425" i="8" s="1"/>
  <c r="L425" i="8"/>
  <c r="A425" i="8"/>
  <c r="N424" i="8" a="1"/>
  <c r="N424" i="8" s="1"/>
  <c r="M424" i="8" a="1"/>
  <c r="M424" i="8" s="1"/>
  <c r="L424" i="8"/>
  <c r="A424" i="8"/>
  <c r="N423" i="8" a="1"/>
  <c r="N423" i="8" s="1"/>
  <c r="M423" i="8" a="1"/>
  <c r="M423" i="8" s="1"/>
  <c r="L423" i="8"/>
  <c r="A423" i="8"/>
  <c r="N422" i="8" a="1"/>
  <c r="N422" i="8" s="1"/>
  <c r="M422" i="8" a="1"/>
  <c r="M422" i="8" s="1"/>
  <c r="L422" i="8"/>
  <c r="A422" i="8"/>
  <c r="N421" i="8" a="1"/>
  <c r="N421" i="8" s="1"/>
  <c r="M421" i="8" a="1"/>
  <c r="M421" i="8" s="1"/>
  <c r="L421" i="8"/>
  <c r="A421" i="8"/>
  <c r="N420" i="8" a="1"/>
  <c r="N420" i="8" s="1"/>
  <c r="M420" i="8" a="1"/>
  <c r="M420" i="8" s="1"/>
  <c r="L420" i="8"/>
  <c r="A420" i="8"/>
  <c r="N419" i="8" a="1"/>
  <c r="N419" i="8" s="1"/>
  <c r="M419" i="8" a="1"/>
  <c r="M419" i="8" s="1"/>
  <c r="L419" i="8"/>
  <c r="A419" i="8"/>
  <c r="N418" i="8" a="1"/>
  <c r="N418" i="8" s="1"/>
  <c r="M418" i="8" a="1"/>
  <c r="M418" i="8" s="1"/>
  <c r="L418" i="8"/>
  <c r="A418" i="8"/>
  <c r="N417" i="8" a="1"/>
  <c r="N417" i="8" s="1"/>
  <c r="M417" i="8" a="1"/>
  <c r="M417" i="8" s="1"/>
  <c r="L417" i="8"/>
  <c r="A417" i="8"/>
  <c r="N416" i="8" a="1"/>
  <c r="N416" i="8" s="1"/>
  <c r="M416" i="8" a="1"/>
  <c r="M416" i="8" s="1"/>
  <c r="L416" i="8"/>
  <c r="A416" i="8"/>
  <c r="N415" i="8" a="1"/>
  <c r="N415" i="8" s="1"/>
  <c r="M415" i="8" a="1"/>
  <c r="M415" i="8" s="1"/>
  <c r="L415" i="8"/>
  <c r="A415" i="8"/>
  <c r="N414" i="8" a="1"/>
  <c r="N414" i="8" s="1"/>
  <c r="M414" i="8" a="1"/>
  <c r="M414" i="8" s="1"/>
  <c r="L414" i="8"/>
  <c r="A414" i="8"/>
  <c r="N413" i="8" a="1"/>
  <c r="N413" i="8" s="1"/>
  <c r="M413" i="8" a="1"/>
  <c r="M413" i="8" s="1"/>
  <c r="L413" i="8"/>
  <c r="A413" i="8"/>
  <c r="N412" i="8" a="1"/>
  <c r="N412" i="8" s="1"/>
  <c r="M412" i="8" a="1"/>
  <c r="M412" i="8" s="1"/>
  <c r="L412" i="8"/>
  <c r="A412" i="8"/>
  <c r="N411" i="8" a="1"/>
  <c r="N411" i="8" s="1"/>
  <c r="M411" i="8" a="1"/>
  <c r="M411" i="8" s="1"/>
  <c r="L411" i="8"/>
  <c r="A411" i="8"/>
  <c r="N410" i="8" a="1"/>
  <c r="N410" i="8" s="1"/>
  <c r="M410" i="8" a="1"/>
  <c r="M410" i="8" s="1"/>
  <c r="L410" i="8"/>
  <c r="A410" i="8"/>
  <c r="N409" i="8" a="1"/>
  <c r="N409" i="8" s="1"/>
  <c r="M409" i="8" a="1"/>
  <c r="M409" i="8" s="1"/>
  <c r="L409" i="8"/>
  <c r="A409" i="8"/>
  <c r="N408" i="8" a="1"/>
  <c r="N408" i="8" s="1"/>
  <c r="M408" i="8" a="1"/>
  <c r="M408" i="8" s="1"/>
  <c r="L408" i="8"/>
  <c r="A408" i="8"/>
  <c r="N407" i="8" a="1"/>
  <c r="N407" i="8" s="1"/>
  <c r="M407" i="8" a="1"/>
  <c r="M407" i="8" s="1"/>
  <c r="L407" i="8"/>
  <c r="A407" i="8"/>
  <c r="N406" i="8" a="1"/>
  <c r="N406" i="8" s="1"/>
  <c r="M406" i="8" a="1"/>
  <c r="M406" i="8" s="1"/>
  <c r="L406" i="8"/>
  <c r="A406" i="8"/>
  <c r="N405" i="8" a="1"/>
  <c r="N405" i="8" s="1"/>
  <c r="M405" i="8" a="1"/>
  <c r="M405" i="8" s="1"/>
  <c r="L405" i="8"/>
  <c r="A405" i="8"/>
  <c r="N404" i="8" a="1"/>
  <c r="N404" i="8" s="1"/>
  <c r="M404" i="8" a="1"/>
  <c r="M404" i="8" s="1"/>
  <c r="L404" i="8"/>
  <c r="A404" i="8"/>
  <c r="N403" i="8" a="1"/>
  <c r="N403" i="8" s="1"/>
  <c r="M403" i="8" a="1"/>
  <c r="M403" i="8" s="1"/>
  <c r="L403" i="8"/>
  <c r="A403" i="8"/>
  <c r="N402" i="8" a="1"/>
  <c r="N402" i="8" s="1"/>
  <c r="M402" i="8" a="1"/>
  <c r="M402" i="8" s="1"/>
  <c r="L402" i="8"/>
  <c r="A402" i="8"/>
  <c r="N401" i="8" a="1"/>
  <c r="N401" i="8" s="1"/>
  <c r="M401" i="8" a="1"/>
  <c r="M401" i="8" s="1"/>
  <c r="L401" i="8"/>
  <c r="A401" i="8"/>
  <c r="N400" i="8" a="1"/>
  <c r="N400" i="8" s="1"/>
  <c r="M400" i="8" a="1"/>
  <c r="M400" i="8" s="1"/>
  <c r="L400" i="8"/>
  <c r="A400" i="8"/>
  <c r="N399" i="8" a="1"/>
  <c r="N399" i="8" s="1"/>
  <c r="M399" i="8" a="1"/>
  <c r="M399" i="8" s="1"/>
  <c r="L399" i="8"/>
  <c r="A399" i="8"/>
  <c r="N398" i="8" a="1"/>
  <c r="N398" i="8" s="1"/>
  <c r="M398" i="8" a="1"/>
  <c r="M398" i="8" s="1"/>
  <c r="L398" i="8"/>
  <c r="A398" i="8"/>
  <c r="N397" i="8" a="1"/>
  <c r="N397" i="8" s="1"/>
  <c r="M397" i="8" a="1"/>
  <c r="M397" i="8" s="1"/>
  <c r="L397" i="8"/>
  <c r="A397" i="8"/>
  <c r="N396" i="8" a="1"/>
  <c r="N396" i="8" s="1"/>
  <c r="M396" i="8" a="1"/>
  <c r="M396" i="8" s="1"/>
  <c r="L396" i="8"/>
  <c r="A396" i="8"/>
  <c r="N395" i="8" a="1"/>
  <c r="N395" i="8" s="1"/>
  <c r="M395" i="8" a="1"/>
  <c r="M395" i="8" s="1"/>
  <c r="L395" i="8"/>
  <c r="A395" i="8"/>
  <c r="N394" i="8" a="1"/>
  <c r="N394" i="8" s="1"/>
  <c r="M394" i="8" a="1"/>
  <c r="M394" i="8" s="1"/>
  <c r="L394" i="8"/>
  <c r="A394" i="8"/>
  <c r="N393" i="8" a="1"/>
  <c r="N393" i="8" s="1"/>
  <c r="M393" i="8" a="1"/>
  <c r="M393" i="8" s="1"/>
  <c r="L393" i="8"/>
  <c r="A393" i="8"/>
  <c r="N392" i="8" a="1"/>
  <c r="N392" i="8" s="1"/>
  <c r="M392" i="8" a="1"/>
  <c r="M392" i="8" s="1"/>
  <c r="L392" i="8"/>
  <c r="A392" i="8"/>
  <c r="N391" i="8" a="1"/>
  <c r="N391" i="8" s="1"/>
  <c r="M391" i="8" a="1"/>
  <c r="M391" i="8" s="1"/>
  <c r="L391" i="8"/>
  <c r="A391" i="8"/>
  <c r="N390" i="8" a="1"/>
  <c r="N390" i="8" s="1"/>
  <c r="M390" i="8" a="1"/>
  <c r="M390" i="8" s="1"/>
  <c r="L390" i="8"/>
  <c r="A390" i="8"/>
  <c r="N389" i="8" a="1"/>
  <c r="N389" i="8" s="1"/>
  <c r="M389" i="8" a="1"/>
  <c r="M389" i="8" s="1"/>
  <c r="L389" i="8"/>
  <c r="A389" i="8"/>
  <c r="N388" i="8" a="1"/>
  <c r="N388" i="8" s="1"/>
  <c r="M388" i="8" a="1"/>
  <c r="M388" i="8" s="1"/>
  <c r="L388" i="8"/>
  <c r="A388" i="8"/>
  <c r="N387" i="8" a="1"/>
  <c r="N387" i="8" s="1"/>
  <c r="M387" i="8" a="1"/>
  <c r="M387" i="8" s="1"/>
  <c r="L387" i="8"/>
  <c r="A387" i="8"/>
  <c r="N386" i="8" a="1"/>
  <c r="N386" i="8" s="1"/>
  <c r="M386" i="8" a="1"/>
  <c r="M386" i="8" s="1"/>
  <c r="L386" i="8"/>
  <c r="A386" i="8"/>
  <c r="N385" i="8" a="1"/>
  <c r="N385" i="8" s="1"/>
  <c r="M385" i="8" a="1"/>
  <c r="M385" i="8" s="1"/>
  <c r="L385" i="8"/>
  <c r="A385" i="8"/>
  <c r="N384" i="8" a="1"/>
  <c r="N384" i="8" s="1"/>
  <c r="M384" i="8" a="1"/>
  <c r="M384" i="8" s="1"/>
  <c r="L384" i="8"/>
  <c r="A384" i="8"/>
  <c r="N383" i="8" a="1"/>
  <c r="N383" i="8" s="1"/>
  <c r="M383" i="8" a="1"/>
  <c r="M383" i="8" s="1"/>
  <c r="L383" i="8"/>
  <c r="A383" i="8"/>
  <c r="N382" i="8" a="1"/>
  <c r="N382" i="8" s="1"/>
  <c r="M382" i="8" a="1"/>
  <c r="M382" i="8" s="1"/>
  <c r="L382" i="8"/>
  <c r="A382" i="8"/>
  <c r="N381" i="8" a="1"/>
  <c r="N381" i="8" s="1"/>
  <c r="M381" i="8" a="1"/>
  <c r="M381" i="8" s="1"/>
  <c r="L381" i="8"/>
  <c r="A381" i="8"/>
  <c r="N380" i="8" a="1"/>
  <c r="N380" i="8" s="1"/>
  <c r="M380" i="8" a="1"/>
  <c r="M380" i="8" s="1"/>
  <c r="L380" i="8"/>
  <c r="A380" i="8"/>
  <c r="N379" i="8" a="1"/>
  <c r="N379" i="8" s="1"/>
  <c r="M379" i="8" a="1"/>
  <c r="M379" i="8" s="1"/>
  <c r="L379" i="8"/>
  <c r="A379" i="8"/>
  <c r="N378" i="8" a="1"/>
  <c r="N378" i="8" s="1"/>
  <c r="M378" i="8" a="1"/>
  <c r="M378" i="8" s="1"/>
  <c r="L378" i="8"/>
  <c r="A378" i="8"/>
  <c r="N377" i="8" a="1"/>
  <c r="N377" i="8" s="1"/>
  <c r="M377" i="8" a="1"/>
  <c r="M377" i="8" s="1"/>
  <c r="L377" i="8"/>
  <c r="A377" i="8"/>
  <c r="N376" i="8" a="1"/>
  <c r="N376" i="8" s="1"/>
  <c r="M376" i="8" a="1"/>
  <c r="M376" i="8" s="1"/>
  <c r="L376" i="8"/>
  <c r="A376" i="8"/>
  <c r="N375" i="8" a="1"/>
  <c r="N375" i="8" s="1"/>
  <c r="M375" i="8" a="1"/>
  <c r="M375" i="8" s="1"/>
  <c r="L375" i="8"/>
  <c r="A375" i="8"/>
  <c r="N374" i="8" a="1"/>
  <c r="N374" i="8" s="1"/>
  <c r="M374" i="8" a="1"/>
  <c r="M374" i="8" s="1"/>
  <c r="L374" i="8"/>
  <c r="A374" i="8"/>
  <c r="N373" i="8" a="1"/>
  <c r="N373" i="8" s="1"/>
  <c r="M373" i="8" a="1"/>
  <c r="M373" i="8" s="1"/>
  <c r="L373" i="8"/>
  <c r="A373" i="8"/>
  <c r="N372" i="8" a="1"/>
  <c r="N372" i="8" s="1"/>
  <c r="M372" i="8" a="1"/>
  <c r="M372" i="8" s="1"/>
  <c r="L372" i="8"/>
  <c r="A372" i="8"/>
  <c r="N371" i="8" a="1"/>
  <c r="N371" i="8" s="1"/>
  <c r="M371" i="8" a="1"/>
  <c r="M371" i="8" s="1"/>
  <c r="L371" i="8"/>
  <c r="A371" i="8"/>
  <c r="N370" i="8" a="1"/>
  <c r="N370" i="8" s="1"/>
  <c r="M370" i="8" a="1"/>
  <c r="M370" i="8" s="1"/>
  <c r="L370" i="8"/>
  <c r="A370" i="8"/>
  <c r="N369" i="8" a="1"/>
  <c r="N369" i="8" s="1"/>
  <c r="M369" i="8" a="1"/>
  <c r="M369" i="8" s="1"/>
  <c r="L369" i="8"/>
  <c r="A369" i="8"/>
  <c r="N368" i="8" a="1"/>
  <c r="N368" i="8" s="1"/>
  <c r="M368" i="8" a="1"/>
  <c r="M368" i="8" s="1"/>
  <c r="L368" i="8"/>
  <c r="A368" i="8"/>
  <c r="N367" i="8" a="1"/>
  <c r="N367" i="8" s="1"/>
  <c r="M367" i="8" a="1"/>
  <c r="M367" i="8" s="1"/>
  <c r="L367" i="8"/>
  <c r="A367" i="8"/>
  <c r="N366" i="8" a="1"/>
  <c r="N366" i="8" s="1"/>
  <c r="M366" i="8" a="1"/>
  <c r="M366" i="8" s="1"/>
  <c r="L366" i="8"/>
  <c r="A366" i="8"/>
  <c r="N365" i="8" a="1"/>
  <c r="N365" i="8" s="1"/>
  <c r="M365" i="8" a="1"/>
  <c r="M365" i="8" s="1"/>
  <c r="L365" i="8"/>
  <c r="A365" i="8"/>
  <c r="N364" i="8" a="1"/>
  <c r="N364" i="8" s="1"/>
  <c r="M364" i="8" a="1"/>
  <c r="M364" i="8" s="1"/>
  <c r="L364" i="8"/>
  <c r="A364" i="8"/>
  <c r="N363" i="8" a="1"/>
  <c r="N363" i="8" s="1"/>
  <c r="M363" i="8" a="1"/>
  <c r="M363" i="8" s="1"/>
  <c r="L363" i="8"/>
  <c r="A363" i="8"/>
  <c r="N362" i="8" a="1"/>
  <c r="N362" i="8" s="1"/>
  <c r="M362" i="8" a="1"/>
  <c r="M362" i="8" s="1"/>
  <c r="L362" i="8"/>
  <c r="A362" i="8"/>
  <c r="N361" i="8" a="1"/>
  <c r="N361" i="8" s="1"/>
  <c r="M361" i="8" a="1"/>
  <c r="M361" i="8" s="1"/>
  <c r="L361" i="8"/>
  <c r="A361" i="8"/>
  <c r="N360" i="8" a="1"/>
  <c r="N360" i="8" s="1"/>
  <c r="M360" i="8" a="1"/>
  <c r="M360" i="8" s="1"/>
  <c r="L360" i="8"/>
  <c r="A360" i="8"/>
  <c r="N359" i="8" a="1"/>
  <c r="N359" i="8" s="1"/>
  <c r="M359" i="8" a="1"/>
  <c r="M359" i="8" s="1"/>
  <c r="L359" i="8"/>
  <c r="A359" i="8"/>
  <c r="N358" i="8" a="1"/>
  <c r="N358" i="8" s="1"/>
  <c r="M358" i="8" a="1"/>
  <c r="M358" i="8" s="1"/>
  <c r="L358" i="8"/>
  <c r="A358" i="8"/>
  <c r="N357" i="8" a="1"/>
  <c r="N357" i="8" s="1"/>
  <c r="M357" i="8" a="1"/>
  <c r="M357" i="8" s="1"/>
  <c r="L357" i="8"/>
  <c r="A357" i="8"/>
  <c r="N356" i="8" a="1"/>
  <c r="N356" i="8" s="1"/>
  <c r="M356" i="8" a="1"/>
  <c r="M356" i="8" s="1"/>
  <c r="L356" i="8"/>
  <c r="A356" i="8"/>
  <c r="N355" i="8" a="1"/>
  <c r="N355" i="8" s="1"/>
  <c r="M355" i="8" a="1"/>
  <c r="M355" i="8" s="1"/>
  <c r="L355" i="8"/>
  <c r="A355" i="8"/>
  <c r="N354" i="8" a="1"/>
  <c r="N354" i="8" s="1"/>
  <c r="M354" i="8" a="1"/>
  <c r="M354" i="8" s="1"/>
  <c r="L354" i="8"/>
  <c r="A354" i="8"/>
  <c r="N353" i="8" a="1"/>
  <c r="N353" i="8" s="1"/>
  <c r="M353" i="8" a="1"/>
  <c r="M353" i="8" s="1"/>
  <c r="L353" i="8"/>
  <c r="A353" i="8"/>
  <c r="N352" i="8" a="1"/>
  <c r="N352" i="8" s="1"/>
  <c r="M352" i="8" a="1"/>
  <c r="M352" i="8" s="1"/>
  <c r="L352" i="8"/>
  <c r="A352" i="8"/>
  <c r="N351" i="8" a="1"/>
  <c r="N351" i="8" s="1"/>
  <c r="M351" i="8" a="1"/>
  <c r="M351" i="8" s="1"/>
  <c r="L351" i="8"/>
  <c r="A351" i="8"/>
  <c r="N350" i="8" a="1"/>
  <c r="N350" i="8" s="1"/>
  <c r="M350" i="8" a="1"/>
  <c r="M350" i="8" s="1"/>
  <c r="L350" i="8"/>
  <c r="A350" i="8"/>
  <c r="N349" i="8" a="1"/>
  <c r="N349" i="8" s="1"/>
  <c r="M349" i="8" a="1"/>
  <c r="M349" i="8" s="1"/>
  <c r="L349" i="8"/>
  <c r="A349" i="8"/>
  <c r="N348" i="8" a="1"/>
  <c r="N348" i="8" s="1"/>
  <c r="M348" i="8" a="1"/>
  <c r="M348" i="8" s="1"/>
  <c r="L348" i="8"/>
  <c r="A348" i="8"/>
  <c r="N347" i="8" a="1"/>
  <c r="N347" i="8" s="1"/>
  <c r="M347" i="8" a="1"/>
  <c r="M347" i="8" s="1"/>
  <c r="L347" i="8"/>
  <c r="A347" i="8"/>
  <c r="N346" i="8" a="1"/>
  <c r="N346" i="8" s="1"/>
  <c r="M346" i="8" a="1"/>
  <c r="M346" i="8" s="1"/>
  <c r="L346" i="8"/>
  <c r="A346" i="8"/>
  <c r="N345" i="8" a="1"/>
  <c r="N345" i="8" s="1"/>
  <c r="M345" i="8" a="1"/>
  <c r="M345" i="8" s="1"/>
  <c r="L345" i="8"/>
  <c r="A345" i="8"/>
  <c r="N344" i="8" a="1"/>
  <c r="N344" i="8" s="1"/>
  <c r="M344" i="8" a="1"/>
  <c r="M344" i="8" s="1"/>
  <c r="L344" i="8"/>
  <c r="A344" i="8"/>
  <c r="N343" i="8" a="1"/>
  <c r="N343" i="8" s="1"/>
  <c r="M343" i="8" a="1"/>
  <c r="M343" i="8" s="1"/>
  <c r="L343" i="8"/>
  <c r="A343" i="8"/>
  <c r="N342" i="8" a="1"/>
  <c r="N342" i="8" s="1"/>
  <c r="M342" i="8" a="1"/>
  <c r="M342" i="8" s="1"/>
  <c r="L342" i="8"/>
  <c r="A342" i="8"/>
  <c r="N341" i="8" a="1"/>
  <c r="N341" i="8" s="1"/>
  <c r="M341" i="8" a="1"/>
  <c r="M341" i="8" s="1"/>
  <c r="L341" i="8"/>
  <c r="A341" i="8"/>
  <c r="N340" i="8" a="1"/>
  <c r="N340" i="8" s="1"/>
  <c r="M340" i="8" a="1"/>
  <c r="M340" i="8" s="1"/>
  <c r="L340" i="8"/>
  <c r="A340" i="8"/>
  <c r="N339" i="8" a="1"/>
  <c r="N339" i="8" s="1"/>
  <c r="M339" i="8" a="1"/>
  <c r="M339" i="8" s="1"/>
  <c r="L339" i="8"/>
  <c r="A339" i="8"/>
  <c r="N338" i="8" a="1"/>
  <c r="N338" i="8" s="1"/>
  <c r="M338" i="8" a="1"/>
  <c r="M338" i="8" s="1"/>
  <c r="L338" i="8"/>
  <c r="A338" i="8"/>
  <c r="N337" i="8" a="1"/>
  <c r="N337" i="8" s="1"/>
  <c r="M337" i="8" a="1"/>
  <c r="M337" i="8" s="1"/>
  <c r="L337" i="8"/>
  <c r="A337" i="8"/>
  <c r="N336" i="8" a="1"/>
  <c r="N336" i="8" s="1"/>
  <c r="M336" i="8" a="1"/>
  <c r="M336" i="8" s="1"/>
  <c r="L336" i="8"/>
  <c r="A336" i="8"/>
  <c r="N335" i="8" a="1"/>
  <c r="N335" i="8" s="1"/>
  <c r="M335" i="8" a="1"/>
  <c r="M335" i="8" s="1"/>
  <c r="L335" i="8"/>
  <c r="A335" i="8"/>
  <c r="N334" i="8" a="1"/>
  <c r="N334" i="8" s="1"/>
  <c r="M334" i="8" a="1"/>
  <c r="M334" i="8" s="1"/>
  <c r="L334" i="8"/>
  <c r="A334" i="8"/>
  <c r="N333" i="8" a="1"/>
  <c r="N333" i="8" s="1"/>
  <c r="M333" i="8" a="1"/>
  <c r="M333" i="8" s="1"/>
  <c r="L333" i="8"/>
  <c r="A333" i="8"/>
  <c r="N332" i="8" a="1"/>
  <c r="N332" i="8" s="1"/>
  <c r="M332" i="8" a="1"/>
  <c r="M332" i="8" s="1"/>
  <c r="L332" i="8"/>
  <c r="A332" i="8"/>
  <c r="N331" i="8" a="1"/>
  <c r="N331" i="8" s="1"/>
  <c r="M331" i="8" a="1"/>
  <c r="M331" i="8" s="1"/>
  <c r="L331" i="8"/>
  <c r="A331" i="8"/>
  <c r="N330" i="8" a="1"/>
  <c r="N330" i="8" s="1"/>
  <c r="M330" i="8" a="1"/>
  <c r="M330" i="8" s="1"/>
  <c r="L330" i="8"/>
  <c r="A330" i="8"/>
  <c r="N329" i="8" a="1"/>
  <c r="N329" i="8" s="1"/>
  <c r="M329" i="8" a="1"/>
  <c r="M329" i="8" s="1"/>
  <c r="L329" i="8"/>
  <c r="A329" i="8"/>
  <c r="N328" i="8" a="1"/>
  <c r="N328" i="8" s="1"/>
  <c r="M328" i="8" a="1"/>
  <c r="M328" i="8" s="1"/>
  <c r="L328" i="8"/>
  <c r="A328" i="8"/>
  <c r="N327" i="8" a="1"/>
  <c r="N327" i="8" s="1"/>
  <c r="M327" i="8" a="1"/>
  <c r="M327" i="8" s="1"/>
  <c r="L327" i="8"/>
  <c r="A327" i="8"/>
  <c r="N326" i="8" a="1"/>
  <c r="N326" i="8" s="1"/>
  <c r="M326" i="8" a="1"/>
  <c r="M326" i="8" s="1"/>
  <c r="L326" i="8"/>
  <c r="A326" i="8"/>
  <c r="N325" i="8" a="1"/>
  <c r="N325" i="8" s="1"/>
  <c r="M325" i="8" a="1"/>
  <c r="M325" i="8" s="1"/>
  <c r="L325" i="8"/>
  <c r="A325" i="8"/>
  <c r="N324" i="8" a="1"/>
  <c r="N324" i="8" s="1"/>
  <c r="M324" i="8" a="1"/>
  <c r="M324" i="8" s="1"/>
  <c r="L324" i="8"/>
  <c r="A324" i="8"/>
  <c r="N323" i="8" a="1"/>
  <c r="N323" i="8" s="1"/>
  <c r="M323" i="8" a="1"/>
  <c r="M323" i="8" s="1"/>
  <c r="L323" i="8"/>
  <c r="A323" i="8"/>
  <c r="N322" i="8" a="1"/>
  <c r="N322" i="8" s="1"/>
  <c r="M322" i="8" a="1"/>
  <c r="M322" i="8" s="1"/>
  <c r="L322" i="8"/>
  <c r="A322" i="8"/>
  <c r="N321" i="8" a="1"/>
  <c r="N321" i="8" s="1"/>
  <c r="M321" i="8" a="1"/>
  <c r="M321" i="8" s="1"/>
  <c r="L321" i="8"/>
  <c r="A321" i="8"/>
  <c r="N320" i="8" a="1"/>
  <c r="N320" i="8" s="1"/>
  <c r="M320" i="8" a="1"/>
  <c r="M320" i="8" s="1"/>
  <c r="L320" i="8"/>
  <c r="A320" i="8"/>
  <c r="N319" i="8" a="1"/>
  <c r="N319" i="8" s="1"/>
  <c r="M319" i="8" a="1"/>
  <c r="M319" i="8" s="1"/>
  <c r="L319" i="8"/>
  <c r="A319" i="8"/>
  <c r="N318" i="8" a="1"/>
  <c r="N318" i="8" s="1"/>
  <c r="M318" i="8" a="1"/>
  <c r="M318" i="8" s="1"/>
  <c r="L318" i="8"/>
  <c r="A318" i="8"/>
  <c r="N317" i="8" a="1"/>
  <c r="N317" i="8" s="1"/>
  <c r="M317" i="8" a="1"/>
  <c r="M317" i="8" s="1"/>
  <c r="L317" i="8"/>
  <c r="A317" i="8"/>
  <c r="N316" i="8" a="1"/>
  <c r="N316" i="8" s="1"/>
  <c r="M316" i="8" a="1"/>
  <c r="M316" i="8" s="1"/>
  <c r="L316" i="8"/>
  <c r="A316" i="8"/>
  <c r="N315" i="8" a="1"/>
  <c r="N315" i="8" s="1"/>
  <c r="M315" i="8" a="1"/>
  <c r="M315" i="8" s="1"/>
  <c r="L315" i="8"/>
  <c r="A315" i="8"/>
  <c r="N314" i="8" a="1"/>
  <c r="N314" i="8" s="1"/>
  <c r="M314" i="8" a="1"/>
  <c r="M314" i="8" s="1"/>
  <c r="L314" i="8"/>
  <c r="A314" i="8"/>
  <c r="N313" i="8" a="1"/>
  <c r="N313" i="8" s="1"/>
  <c r="M313" i="8" a="1"/>
  <c r="M313" i="8" s="1"/>
  <c r="L313" i="8"/>
  <c r="A313" i="8"/>
  <c r="N312" i="8" a="1"/>
  <c r="N312" i="8" s="1"/>
  <c r="M312" i="8" a="1"/>
  <c r="M312" i="8" s="1"/>
  <c r="L312" i="8"/>
  <c r="A312" i="8"/>
  <c r="N311" i="8" a="1"/>
  <c r="N311" i="8" s="1"/>
  <c r="M311" i="8" a="1"/>
  <c r="M311" i="8" s="1"/>
  <c r="L311" i="8"/>
  <c r="A311" i="8"/>
  <c r="N310" i="8" a="1"/>
  <c r="N310" i="8" s="1"/>
  <c r="M310" i="8" a="1"/>
  <c r="M310" i="8" s="1"/>
  <c r="L310" i="8"/>
  <c r="A310" i="8"/>
  <c r="N309" i="8" a="1"/>
  <c r="N309" i="8" s="1"/>
  <c r="M309" i="8" a="1"/>
  <c r="M309" i="8" s="1"/>
  <c r="L309" i="8"/>
  <c r="A309" i="8"/>
  <c r="N308" i="8" a="1"/>
  <c r="N308" i="8" s="1"/>
  <c r="M308" i="8" a="1"/>
  <c r="M308" i="8" s="1"/>
  <c r="L308" i="8"/>
  <c r="A308" i="8"/>
  <c r="N307" i="8" a="1"/>
  <c r="N307" i="8" s="1"/>
  <c r="M307" i="8" a="1"/>
  <c r="M307" i="8" s="1"/>
  <c r="L307" i="8"/>
  <c r="A307" i="8"/>
  <c r="N306" i="8" a="1"/>
  <c r="N306" i="8" s="1"/>
  <c r="M306" i="8" a="1"/>
  <c r="M306" i="8" s="1"/>
  <c r="L306" i="8"/>
  <c r="A306" i="8"/>
  <c r="N305" i="8" a="1"/>
  <c r="N305" i="8" s="1"/>
  <c r="M305" i="8" a="1"/>
  <c r="M305" i="8" s="1"/>
  <c r="L305" i="8"/>
  <c r="A305" i="8"/>
  <c r="N304" i="8" a="1"/>
  <c r="N304" i="8" s="1"/>
  <c r="M304" i="8" a="1"/>
  <c r="M304" i="8" s="1"/>
  <c r="L304" i="8"/>
  <c r="A304" i="8"/>
  <c r="N303" i="8" a="1"/>
  <c r="N303" i="8" s="1"/>
  <c r="M303" i="8" a="1"/>
  <c r="M303" i="8" s="1"/>
  <c r="L303" i="8"/>
  <c r="A303" i="8"/>
  <c r="N302" i="8" a="1"/>
  <c r="N302" i="8" s="1"/>
  <c r="M302" i="8" a="1"/>
  <c r="M302" i="8" s="1"/>
  <c r="L302" i="8"/>
  <c r="A302" i="8"/>
  <c r="N301" i="8" a="1"/>
  <c r="N301" i="8" s="1"/>
  <c r="M301" i="8" a="1"/>
  <c r="M301" i="8" s="1"/>
  <c r="L301" i="8"/>
  <c r="A301" i="8"/>
  <c r="N300" i="8" a="1"/>
  <c r="N300" i="8" s="1"/>
  <c r="M300" i="8" a="1"/>
  <c r="M300" i="8" s="1"/>
  <c r="L300" i="8"/>
  <c r="A300" i="8"/>
  <c r="N299" i="8" a="1"/>
  <c r="N299" i="8" s="1"/>
  <c r="M299" i="8" a="1"/>
  <c r="M299" i="8" s="1"/>
  <c r="L299" i="8"/>
  <c r="A299" i="8"/>
  <c r="N298" i="8" a="1"/>
  <c r="N298" i="8" s="1"/>
  <c r="M298" i="8" a="1"/>
  <c r="M298" i="8" s="1"/>
  <c r="L298" i="8"/>
  <c r="A298" i="8"/>
  <c r="N297" i="8" a="1"/>
  <c r="N297" i="8" s="1"/>
  <c r="M297" i="8" a="1"/>
  <c r="M297" i="8" s="1"/>
  <c r="L297" i="8"/>
  <c r="A297" i="8"/>
  <c r="N296" i="8" a="1"/>
  <c r="N296" i="8" s="1"/>
  <c r="M296" i="8" a="1"/>
  <c r="M296" i="8" s="1"/>
  <c r="L296" i="8"/>
  <c r="A296" i="8"/>
  <c r="N295" i="8" a="1"/>
  <c r="N295" i="8" s="1"/>
  <c r="M295" i="8" a="1"/>
  <c r="M295" i="8" s="1"/>
  <c r="L295" i="8"/>
  <c r="A295" i="8"/>
  <c r="N294" i="8" a="1"/>
  <c r="N294" i="8" s="1"/>
  <c r="M294" i="8" a="1"/>
  <c r="M294" i="8" s="1"/>
  <c r="L294" i="8"/>
  <c r="A294" i="8"/>
  <c r="N293" i="8" a="1"/>
  <c r="N293" i="8" s="1"/>
  <c r="M293" i="8" a="1"/>
  <c r="M293" i="8" s="1"/>
  <c r="L293" i="8"/>
  <c r="A293" i="8"/>
  <c r="N292" i="8" a="1"/>
  <c r="N292" i="8" s="1"/>
  <c r="M292" i="8" a="1"/>
  <c r="M292" i="8" s="1"/>
  <c r="L292" i="8"/>
  <c r="A292" i="8"/>
  <c r="N291" i="8" a="1"/>
  <c r="N291" i="8" s="1"/>
  <c r="M291" i="8" a="1"/>
  <c r="M291" i="8" s="1"/>
  <c r="L291" i="8"/>
  <c r="A291" i="8"/>
  <c r="N290" i="8" a="1"/>
  <c r="N290" i="8" s="1"/>
  <c r="M290" i="8" a="1"/>
  <c r="M290" i="8" s="1"/>
  <c r="L290" i="8"/>
  <c r="A290" i="8"/>
  <c r="N289" i="8" a="1"/>
  <c r="N289" i="8" s="1"/>
  <c r="M289" i="8" a="1"/>
  <c r="M289" i="8" s="1"/>
  <c r="L289" i="8"/>
  <c r="A289" i="8"/>
  <c r="N288" i="8" a="1"/>
  <c r="N288" i="8" s="1"/>
  <c r="M288" i="8" a="1"/>
  <c r="M288" i="8" s="1"/>
  <c r="L288" i="8"/>
  <c r="A288" i="8"/>
  <c r="N287" i="8" a="1"/>
  <c r="N287" i="8" s="1"/>
  <c r="M287" i="8" a="1"/>
  <c r="M287" i="8" s="1"/>
  <c r="L287" i="8"/>
  <c r="A287" i="8"/>
  <c r="N286" i="8" a="1"/>
  <c r="N286" i="8" s="1"/>
  <c r="M286" i="8" a="1"/>
  <c r="M286" i="8" s="1"/>
  <c r="L286" i="8"/>
  <c r="A286" i="8"/>
  <c r="N285" i="8" a="1"/>
  <c r="N285" i="8" s="1"/>
  <c r="M285" i="8" a="1"/>
  <c r="M285" i="8" s="1"/>
  <c r="L285" i="8"/>
  <c r="A285" i="8"/>
  <c r="N284" i="8" a="1"/>
  <c r="N284" i="8" s="1"/>
  <c r="M284" i="8" a="1"/>
  <c r="M284" i="8" s="1"/>
  <c r="L284" i="8"/>
  <c r="A284" i="8"/>
  <c r="N283" i="8" a="1"/>
  <c r="N283" i="8" s="1"/>
  <c r="M283" i="8" a="1"/>
  <c r="M283" i="8" s="1"/>
  <c r="L283" i="8"/>
  <c r="A283" i="8"/>
  <c r="N282" i="8" a="1"/>
  <c r="N282" i="8" s="1"/>
  <c r="M282" i="8" a="1"/>
  <c r="M282" i="8" s="1"/>
  <c r="L282" i="8"/>
  <c r="A282" i="8"/>
  <c r="N281" i="8" a="1"/>
  <c r="N281" i="8" s="1"/>
  <c r="M281" i="8" a="1"/>
  <c r="M281" i="8" s="1"/>
  <c r="L281" i="8"/>
  <c r="A281" i="8"/>
  <c r="N280" i="8" a="1"/>
  <c r="N280" i="8" s="1"/>
  <c r="M280" i="8" a="1"/>
  <c r="M280" i="8" s="1"/>
  <c r="L280" i="8"/>
  <c r="A280" i="8"/>
  <c r="N279" i="8" a="1"/>
  <c r="N279" i="8" s="1"/>
  <c r="M279" i="8" a="1"/>
  <c r="M279" i="8" s="1"/>
  <c r="L279" i="8"/>
  <c r="A279" i="8"/>
  <c r="N278" i="8" a="1"/>
  <c r="N278" i="8" s="1"/>
  <c r="M278" i="8" a="1"/>
  <c r="M278" i="8" s="1"/>
  <c r="L278" i="8"/>
  <c r="A278" i="8"/>
  <c r="N277" i="8" a="1"/>
  <c r="N277" i="8" s="1"/>
  <c r="M277" i="8" a="1"/>
  <c r="M277" i="8" s="1"/>
  <c r="L277" i="8"/>
  <c r="A277" i="8"/>
  <c r="N276" i="8" a="1"/>
  <c r="N276" i="8" s="1"/>
  <c r="M276" i="8" a="1"/>
  <c r="M276" i="8" s="1"/>
  <c r="L276" i="8"/>
  <c r="A276" i="8"/>
  <c r="N275" i="8" a="1"/>
  <c r="N275" i="8" s="1"/>
  <c r="M275" i="8" a="1"/>
  <c r="M275" i="8" s="1"/>
  <c r="L275" i="8"/>
  <c r="A275" i="8"/>
  <c r="N274" i="8" a="1"/>
  <c r="N274" i="8" s="1"/>
  <c r="M274" i="8" a="1"/>
  <c r="M274" i="8" s="1"/>
  <c r="L274" i="8"/>
  <c r="A274" i="8"/>
  <c r="N273" i="8" a="1"/>
  <c r="N273" i="8" s="1"/>
  <c r="M273" i="8" a="1"/>
  <c r="M273" i="8" s="1"/>
  <c r="L273" i="8"/>
  <c r="A273" i="8"/>
  <c r="N272" i="8" a="1"/>
  <c r="N272" i="8" s="1"/>
  <c r="M272" i="8" a="1"/>
  <c r="M272" i="8" s="1"/>
  <c r="L272" i="8"/>
  <c r="A272" i="8"/>
  <c r="N271" i="8" a="1"/>
  <c r="N271" i="8" s="1"/>
  <c r="M271" i="8" a="1"/>
  <c r="M271" i="8" s="1"/>
  <c r="L271" i="8"/>
  <c r="A271" i="8"/>
  <c r="N270" i="8" a="1"/>
  <c r="N270" i="8" s="1"/>
  <c r="M270" i="8" a="1"/>
  <c r="M270" i="8" s="1"/>
  <c r="L270" i="8"/>
  <c r="A270" i="8"/>
  <c r="N269" i="8" a="1"/>
  <c r="N269" i="8" s="1"/>
  <c r="M269" i="8" a="1"/>
  <c r="M269" i="8" s="1"/>
  <c r="L269" i="8"/>
  <c r="A269" i="8"/>
  <c r="N268" i="8" a="1"/>
  <c r="N268" i="8" s="1"/>
  <c r="M268" i="8" a="1"/>
  <c r="M268" i="8" s="1"/>
  <c r="L268" i="8"/>
  <c r="A268" i="8"/>
  <c r="N267" i="8" a="1"/>
  <c r="N267" i="8" s="1"/>
  <c r="M267" i="8" a="1"/>
  <c r="M267" i="8" s="1"/>
  <c r="L267" i="8"/>
  <c r="A267" i="8"/>
  <c r="N266" i="8" a="1"/>
  <c r="N266" i="8" s="1"/>
  <c r="M266" i="8" a="1"/>
  <c r="M266" i="8" s="1"/>
  <c r="L266" i="8"/>
  <c r="A266" i="8"/>
  <c r="N265" i="8" a="1"/>
  <c r="N265" i="8" s="1"/>
  <c r="M265" i="8" a="1"/>
  <c r="M265" i="8" s="1"/>
  <c r="L265" i="8"/>
  <c r="A265" i="8"/>
  <c r="N264" i="8" a="1"/>
  <c r="N264" i="8" s="1"/>
  <c r="M264" i="8" a="1"/>
  <c r="M264" i="8" s="1"/>
  <c r="L264" i="8"/>
  <c r="A264" i="8"/>
  <c r="N263" i="8" a="1"/>
  <c r="N263" i="8" s="1"/>
  <c r="M263" i="8" a="1"/>
  <c r="M263" i="8" s="1"/>
  <c r="L263" i="8"/>
  <c r="A263" i="8"/>
  <c r="N262" i="8" a="1"/>
  <c r="N262" i="8" s="1"/>
  <c r="M262" i="8" a="1"/>
  <c r="M262" i="8" s="1"/>
  <c r="L262" i="8"/>
  <c r="A262" i="8"/>
  <c r="N261" i="8" a="1"/>
  <c r="N261" i="8" s="1"/>
  <c r="M261" i="8" a="1"/>
  <c r="M261" i="8" s="1"/>
  <c r="L261" i="8"/>
  <c r="A261" i="8"/>
  <c r="N260" i="8" a="1"/>
  <c r="N260" i="8" s="1"/>
  <c r="M260" i="8" a="1"/>
  <c r="M260" i="8" s="1"/>
  <c r="L260" i="8"/>
  <c r="A260" i="8"/>
  <c r="N259" i="8" a="1"/>
  <c r="N259" i="8" s="1"/>
  <c r="M259" i="8" a="1"/>
  <c r="M259" i="8" s="1"/>
  <c r="L259" i="8"/>
  <c r="A259" i="8"/>
  <c r="N258" i="8" a="1"/>
  <c r="N258" i="8" s="1"/>
  <c r="M258" i="8" a="1"/>
  <c r="M258" i="8" s="1"/>
  <c r="L258" i="8"/>
  <c r="A258" i="8"/>
  <c r="N257" i="8" a="1"/>
  <c r="N257" i="8" s="1"/>
  <c r="M257" i="8" a="1"/>
  <c r="M257" i="8" s="1"/>
  <c r="L257" i="8"/>
  <c r="A257" i="8"/>
  <c r="N256" i="8" a="1"/>
  <c r="N256" i="8" s="1"/>
  <c r="M256" i="8" a="1"/>
  <c r="M256" i="8" s="1"/>
  <c r="L256" i="8"/>
  <c r="A256" i="8"/>
  <c r="N255" i="8" a="1"/>
  <c r="N255" i="8" s="1"/>
  <c r="M255" i="8" a="1"/>
  <c r="M255" i="8" s="1"/>
  <c r="L255" i="8"/>
  <c r="A255" i="8"/>
  <c r="N254" i="8" a="1"/>
  <c r="N254" i="8" s="1"/>
  <c r="M254" i="8" a="1"/>
  <c r="M254" i="8" s="1"/>
  <c r="L254" i="8"/>
  <c r="A254" i="8"/>
  <c r="N253" i="8" a="1"/>
  <c r="N253" i="8" s="1"/>
  <c r="M253" i="8" a="1"/>
  <c r="M253" i="8" s="1"/>
  <c r="L253" i="8"/>
  <c r="A253" i="8"/>
  <c r="N252" i="8" a="1"/>
  <c r="N252" i="8" s="1"/>
  <c r="M252" i="8" a="1"/>
  <c r="M252" i="8" s="1"/>
  <c r="L252" i="8"/>
  <c r="A252" i="8"/>
  <c r="N251" i="8" a="1"/>
  <c r="N251" i="8" s="1"/>
  <c r="M251" i="8" a="1"/>
  <c r="M251" i="8" s="1"/>
  <c r="L251" i="8"/>
  <c r="A251" i="8"/>
  <c r="N250" i="8" a="1"/>
  <c r="N250" i="8" s="1"/>
  <c r="M250" i="8" a="1"/>
  <c r="M250" i="8" s="1"/>
  <c r="L250" i="8"/>
  <c r="A250" i="8"/>
  <c r="N249" i="8" a="1"/>
  <c r="N249" i="8" s="1"/>
  <c r="M249" i="8" a="1"/>
  <c r="M249" i="8" s="1"/>
  <c r="L249" i="8"/>
  <c r="A249" i="8"/>
  <c r="N248" i="8" a="1"/>
  <c r="N248" i="8" s="1"/>
  <c r="M248" i="8" a="1"/>
  <c r="M248" i="8" s="1"/>
  <c r="L248" i="8"/>
  <c r="A248" i="8"/>
  <c r="N247" i="8" a="1"/>
  <c r="N247" i="8" s="1"/>
  <c r="M247" i="8" a="1"/>
  <c r="M247" i="8" s="1"/>
  <c r="L247" i="8"/>
  <c r="A247" i="8"/>
  <c r="N246" i="8" a="1"/>
  <c r="N246" i="8" s="1"/>
  <c r="M246" i="8" a="1"/>
  <c r="M246" i="8" s="1"/>
  <c r="L246" i="8"/>
  <c r="A246" i="8"/>
  <c r="N245" i="8" a="1"/>
  <c r="N245" i="8" s="1"/>
  <c r="M245" i="8" a="1"/>
  <c r="M245" i="8" s="1"/>
  <c r="L245" i="8"/>
  <c r="A245" i="8"/>
  <c r="N244" i="8" a="1"/>
  <c r="N244" i="8" s="1"/>
  <c r="M244" i="8" a="1"/>
  <c r="M244" i="8" s="1"/>
  <c r="L244" i="8"/>
  <c r="A244" i="8"/>
  <c r="N243" i="8" a="1"/>
  <c r="N243" i="8" s="1"/>
  <c r="M243" i="8" a="1"/>
  <c r="M243" i="8" s="1"/>
  <c r="L243" i="8"/>
  <c r="A243" i="8"/>
  <c r="N242" i="8" a="1"/>
  <c r="N242" i="8" s="1"/>
  <c r="M242" i="8" a="1"/>
  <c r="M242" i="8" s="1"/>
  <c r="L242" i="8"/>
  <c r="A242" i="8"/>
  <c r="N241" i="8" a="1"/>
  <c r="N241" i="8" s="1"/>
  <c r="M241" i="8" a="1"/>
  <c r="M241" i="8" s="1"/>
  <c r="L241" i="8"/>
  <c r="A241" i="8"/>
  <c r="N240" i="8" a="1"/>
  <c r="N240" i="8" s="1"/>
  <c r="M240" i="8" a="1"/>
  <c r="M240" i="8" s="1"/>
  <c r="L240" i="8"/>
  <c r="A240" i="8"/>
  <c r="N239" i="8" a="1"/>
  <c r="N239" i="8" s="1"/>
  <c r="M239" i="8" a="1"/>
  <c r="M239" i="8" s="1"/>
  <c r="L239" i="8"/>
  <c r="A239" i="8"/>
  <c r="N238" i="8" a="1"/>
  <c r="N238" i="8" s="1"/>
  <c r="M238" i="8" a="1"/>
  <c r="M238" i="8" s="1"/>
  <c r="L238" i="8"/>
  <c r="A238" i="8"/>
  <c r="N237" i="8" a="1"/>
  <c r="N237" i="8" s="1"/>
  <c r="M237" i="8" a="1"/>
  <c r="M237" i="8" s="1"/>
  <c r="L237" i="8"/>
  <c r="A237" i="8"/>
  <c r="N236" i="8" a="1"/>
  <c r="N236" i="8" s="1"/>
  <c r="M236" i="8" a="1"/>
  <c r="M236" i="8" s="1"/>
  <c r="L236" i="8"/>
  <c r="A236" i="8"/>
  <c r="N235" i="8" a="1"/>
  <c r="N235" i="8" s="1"/>
  <c r="M235" i="8" a="1"/>
  <c r="M235" i="8" s="1"/>
  <c r="L235" i="8"/>
  <c r="A235" i="8"/>
  <c r="N234" i="8" a="1"/>
  <c r="N234" i="8" s="1"/>
  <c r="M234" i="8" a="1"/>
  <c r="M234" i="8" s="1"/>
  <c r="L234" i="8"/>
  <c r="A234" i="8"/>
  <c r="N233" i="8" a="1"/>
  <c r="N233" i="8" s="1"/>
  <c r="M233" i="8" a="1"/>
  <c r="M233" i="8" s="1"/>
  <c r="L233" i="8"/>
  <c r="A233" i="8"/>
  <c r="N232" i="8" a="1"/>
  <c r="N232" i="8" s="1"/>
  <c r="M232" i="8" a="1"/>
  <c r="M232" i="8" s="1"/>
  <c r="L232" i="8"/>
  <c r="A232" i="8"/>
  <c r="N231" i="8" a="1"/>
  <c r="N231" i="8" s="1"/>
  <c r="M231" i="8" a="1"/>
  <c r="M231" i="8" s="1"/>
  <c r="L231" i="8"/>
  <c r="A231" i="8"/>
  <c r="N230" i="8" a="1"/>
  <c r="N230" i="8" s="1"/>
  <c r="M230" i="8" a="1"/>
  <c r="M230" i="8" s="1"/>
  <c r="L230" i="8"/>
  <c r="A230" i="8"/>
  <c r="N229" i="8" a="1"/>
  <c r="N229" i="8" s="1"/>
  <c r="M229" i="8" a="1"/>
  <c r="M229" i="8" s="1"/>
  <c r="L229" i="8"/>
  <c r="A229" i="8"/>
  <c r="N228" i="8" a="1"/>
  <c r="N228" i="8" s="1"/>
  <c r="M228" i="8" a="1"/>
  <c r="M228" i="8" s="1"/>
  <c r="L228" i="8"/>
  <c r="A228" i="8"/>
  <c r="N227" i="8" a="1"/>
  <c r="N227" i="8" s="1"/>
  <c r="M227" i="8" a="1"/>
  <c r="M227" i="8" s="1"/>
  <c r="L227" i="8"/>
  <c r="A227" i="8"/>
  <c r="N226" i="8" a="1"/>
  <c r="N226" i="8" s="1"/>
  <c r="M226" i="8" a="1"/>
  <c r="M226" i="8" s="1"/>
  <c r="L226" i="8"/>
  <c r="A226" i="8"/>
  <c r="N225" i="8" a="1"/>
  <c r="N225" i="8" s="1"/>
  <c r="M225" i="8" a="1"/>
  <c r="M225" i="8" s="1"/>
  <c r="L225" i="8"/>
  <c r="A225" i="8"/>
  <c r="N224" i="8" a="1"/>
  <c r="N224" i="8" s="1"/>
  <c r="M224" i="8" a="1"/>
  <c r="M224" i="8" s="1"/>
  <c r="L224" i="8"/>
  <c r="A224" i="8"/>
  <c r="N223" i="8" a="1"/>
  <c r="N223" i="8" s="1"/>
  <c r="M223" i="8" a="1"/>
  <c r="M223" i="8" s="1"/>
  <c r="L223" i="8"/>
  <c r="A223" i="8"/>
  <c r="N222" i="8" a="1"/>
  <c r="N222" i="8" s="1"/>
  <c r="M222" i="8" a="1"/>
  <c r="M222" i="8" s="1"/>
  <c r="L222" i="8"/>
  <c r="A222" i="8"/>
  <c r="N221" i="8" a="1"/>
  <c r="N221" i="8" s="1"/>
  <c r="M221" i="8" a="1"/>
  <c r="M221" i="8" s="1"/>
  <c r="L221" i="8"/>
  <c r="A221" i="8"/>
  <c r="N220" i="8" a="1"/>
  <c r="N220" i="8" s="1"/>
  <c r="M220" i="8" a="1"/>
  <c r="M220" i="8" s="1"/>
  <c r="L220" i="8"/>
  <c r="A220" i="8"/>
  <c r="N219" i="8" a="1"/>
  <c r="N219" i="8" s="1"/>
  <c r="M219" i="8" a="1"/>
  <c r="M219" i="8" s="1"/>
  <c r="L219" i="8"/>
  <c r="A219" i="8"/>
  <c r="N218" i="8" a="1"/>
  <c r="N218" i="8" s="1"/>
  <c r="M218" i="8" a="1"/>
  <c r="M218" i="8" s="1"/>
  <c r="L218" i="8"/>
  <c r="A218" i="8"/>
  <c r="N217" i="8" a="1"/>
  <c r="N217" i="8" s="1"/>
  <c r="M217" i="8" a="1"/>
  <c r="M217" i="8" s="1"/>
  <c r="L217" i="8"/>
  <c r="A217" i="8"/>
  <c r="N216" i="8" a="1"/>
  <c r="N216" i="8" s="1"/>
  <c r="M216" i="8" a="1"/>
  <c r="M216" i="8" s="1"/>
  <c r="L216" i="8"/>
  <c r="A216" i="8"/>
  <c r="N215" i="8" a="1"/>
  <c r="N215" i="8" s="1"/>
  <c r="M215" i="8" a="1"/>
  <c r="M215" i="8" s="1"/>
  <c r="L215" i="8"/>
  <c r="A215" i="8"/>
  <c r="N214" i="8" a="1"/>
  <c r="N214" i="8" s="1"/>
  <c r="M214" i="8" a="1"/>
  <c r="M214" i="8" s="1"/>
  <c r="L214" i="8"/>
  <c r="A214" i="8"/>
  <c r="N213" i="8" a="1"/>
  <c r="N213" i="8" s="1"/>
  <c r="M213" i="8" a="1"/>
  <c r="M213" i="8" s="1"/>
  <c r="L213" i="8"/>
  <c r="A213" i="8"/>
  <c r="N212" i="8" a="1"/>
  <c r="N212" i="8" s="1"/>
  <c r="M212" i="8" a="1"/>
  <c r="M212" i="8" s="1"/>
  <c r="L212" i="8"/>
  <c r="A212" i="8"/>
  <c r="N211" i="8" a="1"/>
  <c r="N211" i="8" s="1"/>
  <c r="M211" i="8" a="1"/>
  <c r="M211" i="8" s="1"/>
  <c r="L211" i="8"/>
  <c r="A211" i="8"/>
  <c r="N210" i="8" a="1"/>
  <c r="N210" i="8" s="1"/>
  <c r="M210" i="8" a="1"/>
  <c r="M210" i="8" s="1"/>
  <c r="L210" i="8"/>
  <c r="A210" i="8"/>
  <c r="N209" i="8" a="1"/>
  <c r="N209" i="8" s="1"/>
  <c r="M209" i="8" a="1"/>
  <c r="M209" i="8" s="1"/>
  <c r="L209" i="8"/>
  <c r="A209" i="8"/>
  <c r="N208" i="8" a="1"/>
  <c r="N208" i="8" s="1"/>
  <c r="M208" i="8" a="1"/>
  <c r="M208" i="8" s="1"/>
  <c r="L208" i="8"/>
  <c r="A208" i="8"/>
  <c r="N207" i="8" a="1"/>
  <c r="N207" i="8" s="1"/>
  <c r="M207" i="8" a="1"/>
  <c r="M207" i="8" s="1"/>
  <c r="L207" i="8"/>
  <c r="A207" i="8"/>
  <c r="N206" i="8" a="1"/>
  <c r="N206" i="8" s="1"/>
  <c r="M206" i="8" a="1"/>
  <c r="M206" i="8" s="1"/>
  <c r="L206" i="8"/>
  <c r="A206" i="8"/>
  <c r="N205" i="8" a="1"/>
  <c r="N205" i="8" s="1"/>
  <c r="M205" i="8" a="1"/>
  <c r="M205" i="8" s="1"/>
  <c r="L205" i="8"/>
  <c r="A205" i="8"/>
  <c r="N204" i="8" a="1"/>
  <c r="N204" i="8" s="1"/>
  <c r="M204" i="8" a="1"/>
  <c r="M204" i="8" s="1"/>
  <c r="L204" i="8"/>
  <c r="A204" i="8"/>
  <c r="N203" i="8" a="1"/>
  <c r="N203" i="8" s="1"/>
  <c r="M203" i="8" a="1"/>
  <c r="M203" i="8" s="1"/>
  <c r="L203" i="8"/>
  <c r="A203" i="8"/>
  <c r="N202" i="8" a="1"/>
  <c r="N202" i="8" s="1"/>
  <c r="M202" i="8" a="1"/>
  <c r="M202" i="8" s="1"/>
  <c r="L202" i="8"/>
  <c r="A202" i="8"/>
  <c r="N201" i="8" a="1"/>
  <c r="N201" i="8" s="1"/>
  <c r="M201" i="8" a="1"/>
  <c r="M201" i="8" s="1"/>
  <c r="L201" i="8"/>
  <c r="A201" i="8"/>
  <c r="N200" i="8" a="1"/>
  <c r="N200" i="8" s="1"/>
  <c r="M200" i="8" a="1"/>
  <c r="M200" i="8" s="1"/>
  <c r="L200" i="8"/>
  <c r="A200" i="8"/>
  <c r="N199" i="8" a="1"/>
  <c r="N199" i="8" s="1"/>
  <c r="M199" i="8" a="1"/>
  <c r="M199" i="8" s="1"/>
  <c r="L199" i="8"/>
  <c r="A199" i="8"/>
  <c r="N198" i="8" a="1"/>
  <c r="N198" i="8" s="1"/>
  <c r="M198" i="8" a="1"/>
  <c r="M198" i="8" s="1"/>
  <c r="L198" i="8"/>
  <c r="A198" i="8"/>
  <c r="N197" i="8" a="1"/>
  <c r="N197" i="8" s="1"/>
  <c r="M197" i="8" a="1"/>
  <c r="M197" i="8" s="1"/>
  <c r="L197" i="8"/>
  <c r="A197" i="8"/>
  <c r="N196" i="8" a="1"/>
  <c r="N196" i="8" s="1"/>
  <c r="M196" i="8" a="1"/>
  <c r="M196" i="8" s="1"/>
  <c r="L196" i="8"/>
  <c r="A196" i="8"/>
  <c r="N195" i="8" a="1"/>
  <c r="N195" i="8" s="1"/>
  <c r="M195" i="8" a="1"/>
  <c r="M195" i="8" s="1"/>
  <c r="L195" i="8"/>
  <c r="A195" i="8"/>
  <c r="N194" i="8" a="1"/>
  <c r="N194" i="8" s="1"/>
  <c r="M194" i="8" a="1"/>
  <c r="M194" i="8" s="1"/>
  <c r="L194" i="8"/>
  <c r="A194" i="8"/>
  <c r="N193" i="8" a="1"/>
  <c r="N193" i="8" s="1"/>
  <c r="M193" i="8" a="1"/>
  <c r="M193" i="8" s="1"/>
  <c r="L193" i="8"/>
  <c r="A193" i="8"/>
  <c r="N192" i="8" a="1"/>
  <c r="N192" i="8" s="1"/>
  <c r="M192" i="8" a="1"/>
  <c r="M192" i="8" s="1"/>
  <c r="L192" i="8"/>
  <c r="A192" i="8"/>
  <c r="N191" i="8" a="1"/>
  <c r="N191" i="8" s="1"/>
  <c r="M191" i="8" a="1"/>
  <c r="M191" i="8" s="1"/>
  <c r="L191" i="8"/>
  <c r="A191" i="8"/>
  <c r="N190" i="8" a="1"/>
  <c r="N190" i="8" s="1"/>
  <c r="M190" i="8" a="1"/>
  <c r="M190" i="8" s="1"/>
  <c r="L190" i="8"/>
  <c r="A190" i="8"/>
  <c r="N189" i="8" a="1"/>
  <c r="N189" i="8" s="1"/>
  <c r="M189" i="8" a="1"/>
  <c r="M189" i="8" s="1"/>
  <c r="L189" i="8"/>
  <c r="A189" i="8"/>
  <c r="N188" i="8" a="1"/>
  <c r="N188" i="8" s="1"/>
  <c r="M188" i="8" a="1"/>
  <c r="M188" i="8" s="1"/>
  <c r="L188" i="8"/>
  <c r="A188" i="8"/>
  <c r="N187" i="8" a="1"/>
  <c r="N187" i="8" s="1"/>
  <c r="M187" i="8" a="1"/>
  <c r="M187" i="8" s="1"/>
  <c r="L187" i="8"/>
  <c r="A187" i="8"/>
  <c r="N186" i="8" a="1"/>
  <c r="N186" i="8" s="1"/>
  <c r="M186" i="8" a="1"/>
  <c r="M186" i="8" s="1"/>
  <c r="L186" i="8"/>
  <c r="A186" i="8"/>
  <c r="N185" i="8" a="1"/>
  <c r="N185" i="8" s="1"/>
  <c r="M185" i="8" a="1"/>
  <c r="M185" i="8" s="1"/>
  <c r="L185" i="8"/>
  <c r="A185" i="8"/>
  <c r="N184" i="8" a="1"/>
  <c r="N184" i="8" s="1"/>
  <c r="M184" i="8" a="1"/>
  <c r="M184" i="8" s="1"/>
  <c r="L184" i="8"/>
  <c r="A184" i="8"/>
  <c r="N183" i="8" a="1"/>
  <c r="N183" i="8" s="1"/>
  <c r="M183" i="8" a="1"/>
  <c r="M183" i="8" s="1"/>
  <c r="L183" i="8"/>
  <c r="A183" i="8"/>
  <c r="N182" i="8" a="1"/>
  <c r="N182" i="8" s="1"/>
  <c r="M182" i="8" a="1"/>
  <c r="M182" i="8" s="1"/>
  <c r="L182" i="8"/>
  <c r="A182" i="8"/>
  <c r="N181" i="8" a="1"/>
  <c r="N181" i="8" s="1"/>
  <c r="M181" i="8" a="1"/>
  <c r="M181" i="8" s="1"/>
  <c r="L181" i="8"/>
  <c r="A181" i="8"/>
  <c r="N180" i="8" a="1"/>
  <c r="N180" i="8" s="1"/>
  <c r="M180" i="8" a="1"/>
  <c r="M180" i="8" s="1"/>
  <c r="L180" i="8"/>
  <c r="A180" i="8"/>
  <c r="N179" i="8" a="1"/>
  <c r="N179" i="8" s="1"/>
  <c r="M179" i="8" a="1"/>
  <c r="M179" i="8" s="1"/>
  <c r="L179" i="8"/>
  <c r="A179" i="8"/>
  <c r="N178" i="8" a="1"/>
  <c r="N178" i="8" s="1"/>
  <c r="M178" i="8" a="1"/>
  <c r="M178" i="8" s="1"/>
  <c r="L178" i="8"/>
  <c r="A178" i="8"/>
  <c r="N177" i="8" a="1"/>
  <c r="N177" i="8" s="1"/>
  <c r="M177" i="8" a="1"/>
  <c r="M177" i="8" s="1"/>
  <c r="L177" i="8"/>
  <c r="A177" i="8"/>
  <c r="N176" i="8" a="1"/>
  <c r="N176" i="8" s="1"/>
  <c r="M176" i="8" a="1"/>
  <c r="M176" i="8" s="1"/>
  <c r="L176" i="8"/>
  <c r="A176" i="8"/>
  <c r="N175" i="8" a="1"/>
  <c r="N175" i="8" s="1"/>
  <c r="M175" i="8" a="1"/>
  <c r="M175" i="8" s="1"/>
  <c r="L175" i="8"/>
  <c r="A175" i="8"/>
  <c r="N174" i="8" a="1"/>
  <c r="N174" i="8" s="1"/>
  <c r="M174" i="8" a="1"/>
  <c r="M174" i="8" s="1"/>
  <c r="L174" i="8"/>
  <c r="A174" i="8"/>
  <c r="N173" i="8" a="1"/>
  <c r="N173" i="8" s="1"/>
  <c r="M173" i="8" a="1"/>
  <c r="M173" i="8" s="1"/>
  <c r="L173" i="8"/>
  <c r="A173" i="8"/>
  <c r="N172" i="8" a="1"/>
  <c r="N172" i="8" s="1"/>
  <c r="M172" i="8" a="1"/>
  <c r="M172" i="8" s="1"/>
  <c r="L172" i="8"/>
  <c r="A172" i="8"/>
  <c r="N171" i="8" a="1"/>
  <c r="N171" i="8" s="1"/>
  <c r="M171" i="8" a="1"/>
  <c r="M171" i="8" s="1"/>
  <c r="L171" i="8"/>
  <c r="A171" i="8"/>
  <c r="N170" i="8" a="1"/>
  <c r="N170" i="8" s="1"/>
  <c r="M170" i="8" a="1"/>
  <c r="M170" i="8" s="1"/>
  <c r="L170" i="8"/>
  <c r="A170" i="8"/>
  <c r="N169" i="8" a="1"/>
  <c r="N169" i="8" s="1"/>
  <c r="M169" i="8" a="1"/>
  <c r="M169" i="8" s="1"/>
  <c r="L169" i="8"/>
  <c r="A169" i="8"/>
  <c r="N168" i="8" a="1"/>
  <c r="N168" i="8" s="1"/>
  <c r="M168" i="8" a="1"/>
  <c r="M168" i="8" s="1"/>
  <c r="L168" i="8"/>
  <c r="A168" i="8"/>
  <c r="N167" i="8" a="1"/>
  <c r="N167" i="8" s="1"/>
  <c r="M167" i="8" a="1"/>
  <c r="M167" i="8" s="1"/>
  <c r="L167" i="8"/>
  <c r="A167" i="8"/>
  <c r="N166" i="8" a="1"/>
  <c r="N166" i="8" s="1"/>
  <c r="M166" i="8" a="1"/>
  <c r="M166" i="8" s="1"/>
  <c r="L166" i="8"/>
  <c r="A166" i="8"/>
  <c r="N165" i="8" a="1"/>
  <c r="N165" i="8" s="1"/>
  <c r="M165" i="8" a="1"/>
  <c r="M165" i="8" s="1"/>
  <c r="L165" i="8"/>
  <c r="A165" i="8"/>
  <c r="N164" i="8" a="1"/>
  <c r="N164" i="8" s="1"/>
  <c r="M164" i="8" a="1"/>
  <c r="M164" i="8" s="1"/>
  <c r="L164" i="8"/>
  <c r="A164" i="8"/>
  <c r="N163" i="8" a="1"/>
  <c r="N163" i="8" s="1"/>
  <c r="M163" i="8" a="1"/>
  <c r="M163" i="8" s="1"/>
  <c r="L163" i="8"/>
  <c r="A163" i="8"/>
  <c r="N162" i="8" a="1"/>
  <c r="N162" i="8" s="1"/>
  <c r="M162" i="8" a="1"/>
  <c r="M162" i="8" s="1"/>
  <c r="L162" i="8"/>
  <c r="A162" i="8"/>
  <c r="N161" i="8" a="1"/>
  <c r="N161" i="8" s="1"/>
  <c r="M161" i="8" a="1"/>
  <c r="M161" i="8" s="1"/>
  <c r="L161" i="8"/>
  <c r="A161" i="8"/>
  <c r="N160" i="8" a="1"/>
  <c r="N160" i="8" s="1"/>
  <c r="M160" i="8" a="1"/>
  <c r="M160" i="8" s="1"/>
  <c r="L160" i="8"/>
  <c r="A160" i="8"/>
  <c r="N159" i="8" a="1"/>
  <c r="N159" i="8" s="1"/>
  <c r="M159" i="8" a="1"/>
  <c r="M159" i="8" s="1"/>
  <c r="L159" i="8"/>
  <c r="A159" i="8"/>
  <c r="N158" i="8" a="1"/>
  <c r="N158" i="8" s="1"/>
  <c r="M158" i="8" a="1"/>
  <c r="M158" i="8" s="1"/>
  <c r="L158" i="8"/>
  <c r="A158" i="8"/>
  <c r="N157" i="8" a="1"/>
  <c r="N157" i="8" s="1"/>
  <c r="M157" i="8" a="1"/>
  <c r="M157" i="8" s="1"/>
  <c r="L157" i="8"/>
  <c r="A157" i="8"/>
  <c r="N156" i="8" a="1"/>
  <c r="N156" i="8" s="1"/>
  <c r="M156" i="8" a="1"/>
  <c r="M156" i="8" s="1"/>
  <c r="L156" i="8"/>
  <c r="A156" i="8"/>
  <c r="N155" i="8" a="1"/>
  <c r="N155" i="8" s="1"/>
  <c r="M155" i="8" a="1"/>
  <c r="M155" i="8" s="1"/>
  <c r="L155" i="8"/>
  <c r="A155" i="8"/>
  <c r="N154" i="8" a="1"/>
  <c r="N154" i="8" s="1"/>
  <c r="M154" i="8" a="1"/>
  <c r="M154" i="8" s="1"/>
  <c r="L154" i="8"/>
  <c r="A154" i="8"/>
  <c r="N153" i="8" a="1"/>
  <c r="N153" i="8" s="1"/>
  <c r="M153" i="8" a="1"/>
  <c r="M153" i="8" s="1"/>
  <c r="L153" i="8"/>
  <c r="A153" i="8"/>
  <c r="N152" i="8" a="1"/>
  <c r="N152" i="8" s="1"/>
  <c r="M152" i="8" a="1"/>
  <c r="M152" i="8" s="1"/>
  <c r="L152" i="8"/>
  <c r="A152" i="8"/>
  <c r="N151" i="8" a="1"/>
  <c r="N151" i="8" s="1"/>
  <c r="M151" i="8" a="1"/>
  <c r="M151" i="8" s="1"/>
  <c r="L151" i="8"/>
  <c r="A151" i="8"/>
  <c r="N150" i="8" a="1"/>
  <c r="N150" i="8" s="1"/>
  <c r="M150" i="8" a="1"/>
  <c r="M150" i="8" s="1"/>
  <c r="L150" i="8"/>
  <c r="A150" i="8"/>
  <c r="N149" i="8" a="1"/>
  <c r="N149" i="8" s="1"/>
  <c r="M149" i="8" a="1"/>
  <c r="M149" i="8" s="1"/>
  <c r="L149" i="8"/>
  <c r="A149" i="8"/>
  <c r="N148" i="8" a="1"/>
  <c r="N148" i="8" s="1"/>
  <c r="M148" i="8" a="1"/>
  <c r="M148" i="8" s="1"/>
  <c r="L148" i="8"/>
  <c r="A148" i="8"/>
  <c r="N147" i="8" a="1"/>
  <c r="N147" i="8" s="1"/>
  <c r="M147" i="8" a="1"/>
  <c r="M147" i="8" s="1"/>
  <c r="L147" i="8"/>
  <c r="A147" i="8"/>
  <c r="N146" i="8" a="1"/>
  <c r="N146" i="8" s="1"/>
  <c r="M146" i="8" a="1"/>
  <c r="M146" i="8" s="1"/>
  <c r="L146" i="8"/>
  <c r="A146" i="8"/>
  <c r="N145" i="8" a="1"/>
  <c r="N145" i="8" s="1"/>
  <c r="M145" i="8" a="1"/>
  <c r="M145" i="8" s="1"/>
  <c r="L145" i="8"/>
  <c r="A145" i="8"/>
  <c r="N144" i="8" a="1"/>
  <c r="N144" i="8" s="1"/>
  <c r="M144" i="8" a="1"/>
  <c r="M144" i="8" s="1"/>
  <c r="L144" i="8"/>
  <c r="A144" i="8"/>
  <c r="N143" i="8" a="1"/>
  <c r="N143" i="8" s="1"/>
  <c r="M143" i="8" a="1"/>
  <c r="M143" i="8" s="1"/>
  <c r="L143" i="8"/>
  <c r="A143" i="8"/>
  <c r="N142" i="8" a="1"/>
  <c r="N142" i="8" s="1"/>
  <c r="M142" i="8" a="1"/>
  <c r="M142" i="8" s="1"/>
  <c r="L142" i="8"/>
  <c r="A142" i="8"/>
  <c r="N141" i="8" a="1"/>
  <c r="N141" i="8" s="1"/>
  <c r="M141" i="8" a="1"/>
  <c r="M141" i="8" s="1"/>
  <c r="L141" i="8"/>
  <c r="A141" i="8"/>
  <c r="N140" i="8" a="1"/>
  <c r="N140" i="8" s="1"/>
  <c r="M140" i="8" a="1"/>
  <c r="M140" i="8" s="1"/>
  <c r="L140" i="8"/>
  <c r="A140" i="8"/>
  <c r="N139" i="8" a="1"/>
  <c r="N139" i="8" s="1"/>
  <c r="M139" i="8" a="1"/>
  <c r="M139" i="8" s="1"/>
  <c r="L139" i="8"/>
  <c r="A139" i="8"/>
  <c r="N138" i="8" a="1"/>
  <c r="N138" i="8" s="1"/>
  <c r="M138" i="8" a="1"/>
  <c r="M138" i="8" s="1"/>
  <c r="L138" i="8"/>
  <c r="A138" i="8"/>
  <c r="N137" i="8" a="1"/>
  <c r="N137" i="8" s="1"/>
  <c r="M137" i="8" a="1"/>
  <c r="M137" i="8" s="1"/>
  <c r="L137" i="8"/>
  <c r="A137" i="8"/>
  <c r="N136" i="8" a="1"/>
  <c r="N136" i="8" s="1"/>
  <c r="M136" i="8" a="1"/>
  <c r="M136" i="8" s="1"/>
  <c r="L136" i="8"/>
  <c r="A136" i="8"/>
  <c r="N135" i="8" a="1"/>
  <c r="N135" i="8" s="1"/>
  <c r="M135" i="8" a="1"/>
  <c r="M135" i="8" s="1"/>
  <c r="L135" i="8"/>
  <c r="A135" i="8"/>
  <c r="N134" i="8" a="1"/>
  <c r="N134" i="8" s="1"/>
  <c r="M134" i="8" a="1"/>
  <c r="M134" i="8" s="1"/>
  <c r="L134" i="8"/>
  <c r="A134" i="8"/>
  <c r="N133" i="8" a="1"/>
  <c r="N133" i="8" s="1"/>
  <c r="M133" i="8" a="1"/>
  <c r="M133" i="8" s="1"/>
  <c r="L133" i="8"/>
  <c r="A133" i="8"/>
  <c r="N132" i="8" a="1"/>
  <c r="N132" i="8" s="1"/>
  <c r="M132" i="8" a="1"/>
  <c r="M132" i="8" s="1"/>
  <c r="L132" i="8"/>
  <c r="A132" i="8"/>
  <c r="N131" i="8" a="1"/>
  <c r="N131" i="8" s="1"/>
  <c r="M131" i="8" a="1"/>
  <c r="M131" i="8" s="1"/>
  <c r="L131" i="8"/>
  <c r="A131" i="8"/>
  <c r="N130" i="8" a="1"/>
  <c r="N130" i="8" s="1"/>
  <c r="M130" i="8" a="1"/>
  <c r="M130" i="8" s="1"/>
  <c r="L130" i="8"/>
  <c r="A130" i="8"/>
  <c r="N129" i="8" a="1"/>
  <c r="N129" i="8" s="1"/>
  <c r="M129" i="8" a="1"/>
  <c r="M129" i="8" s="1"/>
  <c r="L129" i="8"/>
  <c r="A129" i="8"/>
  <c r="N128" i="8" a="1"/>
  <c r="N128" i="8" s="1"/>
  <c r="M128" i="8" a="1"/>
  <c r="M128" i="8" s="1"/>
  <c r="L128" i="8"/>
  <c r="A128" i="8"/>
  <c r="N127" i="8" a="1"/>
  <c r="N127" i="8" s="1"/>
  <c r="M127" i="8" a="1"/>
  <c r="M127" i="8" s="1"/>
  <c r="L127" i="8"/>
  <c r="A127" i="8"/>
  <c r="N126" i="8" a="1"/>
  <c r="N126" i="8" s="1"/>
  <c r="M126" i="8" a="1"/>
  <c r="M126" i="8" s="1"/>
  <c r="L126" i="8"/>
  <c r="A126" i="8"/>
  <c r="N125" i="8" a="1"/>
  <c r="N125" i="8" s="1"/>
  <c r="M125" i="8" a="1"/>
  <c r="M125" i="8" s="1"/>
  <c r="L125" i="8"/>
  <c r="A125" i="8"/>
  <c r="N124" i="8" a="1"/>
  <c r="N124" i="8" s="1"/>
  <c r="M124" i="8" a="1"/>
  <c r="M124" i="8" s="1"/>
  <c r="L124" i="8"/>
  <c r="A124" i="8"/>
  <c r="N123" i="8" a="1"/>
  <c r="N123" i="8" s="1"/>
  <c r="M123" i="8" a="1"/>
  <c r="M123" i="8" s="1"/>
  <c r="L123" i="8"/>
  <c r="A123" i="8"/>
  <c r="N122" i="8" a="1"/>
  <c r="N122" i="8" s="1"/>
  <c r="M122" i="8" a="1"/>
  <c r="M122" i="8" s="1"/>
  <c r="L122" i="8"/>
  <c r="A122" i="8"/>
  <c r="N121" i="8" a="1"/>
  <c r="N121" i="8" s="1"/>
  <c r="M121" i="8" a="1"/>
  <c r="M121" i="8" s="1"/>
  <c r="L121" i="8"/>
  <c r="A121" i="8"/>
  <c r="N120" i="8" a="1"/>
  <c r="N120" i="8" s="1"/>
  <c r="M120" i="8" a="1"/>
  <c r="M120" i="8" s="1"/>
  <c r="L120" i="8"/>
  <c r="A120" i="8"/>
  <c r="N119" i="8" a="1"/>
  <c r="N119" i="8" s="1"/>
  <c r="M119" i="8" a="1"/>
  <c r="M119" i="8" s="1"/>
  <c r="L119" i="8"/>
  <c r="A119" i="8"/>
  <c r="N118" i="8" a="1"/>
  <c r="N118" i="8" s="1"/>
  <c r="M118" i="8" a="1"/>
  <c r="M118" i="8" s="1"/>
  <c r="L118" i="8"/>
  <c r="A118" i="8"/>
  <c r="N117" i="8" a="1"/>
  <c r="N117" i="8" s="1"/>
  <c r="M117" i="8" a="1"/>
  <c r="M117" i="8" s="1"/>
  <c r="L117" i="8"/>
  <c r="A117" i="8"/>
  <c r="N116" i="8" a="1"/>
  <c r="N116" i="8" s="1"/>
  <c r="M116" i="8" a="1"/>
  <c r="M116" i="8" s="1"/>
  <c r="L116" i="8"/>
  <c r="A116" i="8"/>
  <c r="N115" i="8" a="1"/>
  <c r="N115" i="8" s="1"/>
  <c r="M115" i="8" a="1"/>
  <c r="M115" i="8" s="1"/>
  <c r="L115" i="8"/>
  <c r="A115" i="8"/>
  <c r="N114" i="8" a="1"/>
  <c r="N114" i="8" s="1"/>
  <c r="M114" i="8" a="1"/>
  <c r="M114" i="8" s="1"/>
  <c r="L114" i="8"/>
  <c r="A114" i="8"/>
  <c r="N113" i="8" a="1"/>
  <c r="N113" i="8" s="1"/>
  <c r="M113" i="8" a="1"/>
  <c r="M113" i="8" s="1"/>
  <c r="L113" i="8"/>
  <c r="A113" i="8"/>
  <c r="N112" i="8" a="1"/>
  <c r="N112" i="8" s="1"/>
  <c r="M112" i="8" a="1"/>
  <c r="M112" i="8" s="1"/>
  <c r="L112" i="8"/>
  <c r="A112" i="8"/>
  <c r="N111" i="8" a="1"/>
  <c r="N111" i="8" s="1"/>
  <c r="M111" i="8" a="1"/>
  <c r="M111" i="8" s="1"/>
  <c r="L111" i="8"/>
  <c r="A111" i="8"/>
  <c r="N110" i="8" a="1"/>
  <c r="N110" i="8" s="1"/>
  <c r="M110" i="8" a="1"/>
  <c r="M110" i="8" s="1"/>
  <c r="L110" i="8"/>
  <c r="A110" i="8"/>
  <c r="N109" i="8" a="1"/>
  <c r="N109" i="8" s="1"/>
  <c r="M109" i="8" a="1"/>
  <c r="M109" i="8" s="1"/>
  <c r="L109" i="8"/>
  <c r="A109" i="8"/>
  <c r="N108" i="8" a="1"/>
  <c r="N108" i="8" s="1"/>
  <c r="M108" i="8" a="1"/>
  <c r="M108" i="8" s="1"/>
  <c r="L108" i="8"/>
  <c r="A108" i="8"/>
  <c r="N107" i="8" a="1"/>
  <c r="N107" i="8" s="1"/>
  <c r="M107" i="8" a="1"/>
  <c r="M107" i="8" s="1"/>
  <c r="L107" i="8"/>
  <c r="A107" i="8"/>
  <c r="N106" i="8" a="1"/>
  <c r="N106" i="8" s="1"/>
  <c r="M106" i="8" a="1"/>
  <c r="M106" i="8" s="1"/>
  <c r="L106" i="8"/>
  <c r="A106" i="8"/>
  <c r="N105" i="8" a="1"/>
  <c r="N105" i="8" s="1"/>
  <c r="M105" i="8" a="1"/>
  <c r="M105" i="8" s="1"/>
  <c r="L105" i="8"/>
  <c r="A105" i="8"/>
  <c r="N104" i="8" a="1"/>
  <c r="N104" i="8" s="1"/>
  <c r="M104" i="8" a="1"/>
  <c r="M104" i="8" s="1"/>
  <c r="L104" i="8"/>
  <c r="A104" i="8"/>
  <c r="N103" i="8" a="1"/>
  <c r="N103" i="8" s="1"/>
  <c r="M103" i="8" a="1"/>
  <c r="M103" i="8" s="1"/>
  <c r="L103" i="8"/>
  <c r="A103" i="8"/>
  <c r="N102" i="8" a="1"/>
  <c r="N102" i="8" s="1"/>
  <c r="M102" i="8" a="1"/>
  <c r="M102" i="8" s="1"/>
  <c r="L102" i="8"/>
  <c r="A102" i="8"/>
  <c r="N101" i="8" a="1"/>
  <c r="N101" i="8" s="1"/>
  <c r="M101" i="8" a="1"/>
  <c r="M101" i="8" s="1"/>
  <c r="L101" i="8"/>
  <c r="A101" i="8"/>
  <c r="N100" i="8" a="1"/>
  <c r="N100" i="8" s="1"/>
  <c r="M100" i="8" a="1"/>
  <c r="M100" i="8" s="1"/>
  <c r="L100" i="8"/>
  <c r="A100" i="8"/>
  <c r="N99" i="8" a="1"/>
  <c r="N99" i="8" s="1"/>
  <c r="M99" i="8" a="1"/>
  <c r="M99" i="8" s="1"/>
  <c r="L99" i="8"/>
  <c r="A99" i="8"/>
  <c r="N98" i="8" a="1"/>
  <c r="N98" i="8" s="1"/>
  <c r="M98" i="8" a="1"/>
  <c r="M98" i="8" s="1"/>
  <c r="L98" i="8"/>
  <c r="A98" i="8"/>
  <c r="N97" i="8" a="1"/>
  <c r="N97" i="8" s="1"/>
  <c r="M97" i="8" a="1"/>
  <c r="M97" i="8" s="1"/>
  <c r="L97" i="8"/>
  <c r="A97" i="8"/>
  <c r="N96" i="8" a="1"/>
  <c r="N96" i="8" s="1"/>
  <c r="M96" i="8" a="1"/>
  <c r="M96" i="8" s="1"/>
  <c r="L96" i="8"/>
  <c r="A96" i="8"/>
  <c r="N95" i="8" a="1"/>
  <c r="N95" i="8" s="1"/>
  <c r="M95" i="8" a="1"/>
  <c r="M95" i="8" s="1"/>
  <c r="L95" i="8"/>
  <c r="A95" i="8"/>
  <c r="N94" i="8" a="1"/>
  <c r="N94" i="8" s="1"/>
  <c r="M94" i="8" a="1"/>
  <c r="M94" i="8" s="1"/>
  <c r="L94" i="8"/>
  <c r="A94" i="8"/>
  <c r="N93" i="8" a="1"/>
  <c r="N93" i="8" s="1"/>
  <c r="M93" i="8" a="1"/>
  <c r="M93" i="8" s="1"/>
  <c r="L93" i="8"/>
  <c r="A93" i="8"/>
  <c r="N92" i="8" a="1"/>
  <c r="N92" i="8" s="1"/>
  <c r="M92" i="8" a="1"/>
  <c r="M92" i="8" s="1"/>
  <c r="L92" i="8"/>
  <c r="A92" i="8"/>
  <c r="N91" i="8" a="1"/>
  <c r="N91" i="8" s="1"/>
  <c r="M91" i="8" a="1"/>
  <c r="M91" i="8" s="1"/>
  <c r="L91" i="8"/>
  <c r="A91" i="8"/>
  <c r="N90" i="8" a="1"/>
  <c r="N90" i="8" s="1"/>
  <c r="M90" i="8" a="1"/>
  <c r="M90" i="8" s="1"/>
  <c r="L90" i="8"/>
  <c r="A90" i="8"/>
  <c r="N89" i="8" a="1"/>
  <c r="N89" i="8" s="1"/>
  <c r="M89" i="8" a="1"/>
  <c r="M89" i="8" s="1"/>
  <c r="L89" i="8"/>
  <c r="A89" i="8"/>
  <c r="N88" i="8" a="1"/>
  <c r="N88" i="8" s="1"/>
  <c r="M88" i="8" a="1"/>
  <c r="M88" i="8" s="1"/>
  <c r="L88" i="8"/>
  <c r="A88" i="8"/>
  <c r="N87" i="8" a="1"/>
  <c r="N87" i="8" s="1"/>
  <c r="M87" i="8" a="1"/>
  <c r="M87" i="8" s="1"/>
  <c r="L87" i="8"/>
  <c r="A87" i="8"/>
  <c r="N86" i="8" a="1"/>
  <c r="N86" i="8" s="1"/>
  <c r="M86" i="8" a="1"/>
  <c r="M86" i="8" s="1"/>
  <c r="L86" i="8"/>
  <c r="A86" i="8"/>
  <c r="N85" i="8" a="1"/>
  <c r="N85" i="8" s="1"/>
  <c r="M85" i="8" a="1"/>
  <c r="M85" i="8" s="1"/>
  <c r="L85" i="8"/>
  <c r="A85" i="8"/>
  <c r="N84" i="8" a="1"/>
  <c r="N84" i="8" s="1"/>
  <c r="M84" i="8" a="1"/>
  <c r="M84" i="8" s="1"/>
  <c r="L84" i="8"/>
  <c r="A84" i="8"/>
  <c r="N83" i="8" a="1"/>
  <c r="N83" i="8" s="1"/>
  <c r="M83" i="8" a="1"/>
  <c r="M83" i="8" s="1"/>
  <c r="L83" i="8"/>
  <c r="A83" i="8"/>
  <c r="N82" i="8" a="1"/>
  <c r="N82" i="8" s="1"/>
  <c r="M82" i="8" a="1"/>
  <c r="M82" i="8" s="1"/>
  <c r="L82" i="8"/>
  <c r="A82" i="8"/>
  <c r="N81" i="8" a="1"/>
  <c r="N81" i="8" s="1"/>
  <c r="M81" i="8" a="1"/>
  <c r="M81" i="8" s="1"/>
  <c r="L81" i="8"/>
  <c r="A81" i="8"/>
  <c r="N80" i="8" a="1"/>
  <c r="N80" i="8" s="1"/>
  <c r="M80" i="8" a="1"/>
  <c r="M80" i="8" s="1"/>
  <c r="L80" i="8"/>
  <c r="A80" i="8"/>
  <c r="N79" i="8" a="1"/>
  <c r="N79" i="8" s="1"/>
  <c r="M79" i="8" a="1"/>
  <c r="M79" i="8" s="1"/>
  <c r="L79" i="8"/>
  <c r="A79" i="8"/>
  <c r="N78" i="8" a="1"/>
  <c r="N78" i="8" s="1"/>
  <c r="M78" i="8" a="1"/>
  <c r="M78" i="8" s="1"/>
  <c r="L78" i="8"/>
  <c r="A78" i="8"/>
  <c r="N77" i="8" a="1"/>
  <c r="N77" i="8" s="1"/>
  <c r="M77" i="8" a="1"/>
  <c r="M77" i="8" s="1"/>
  <c r="L77" i="8"/>
  <c r="A77" i="8"/>
  <c r="N76" i="8" a="1"/>
  <c r="N76" i="8" s="1"/>
  <c r="M76" i="8" a="1"/>
  <c r="M76" i="8" s="1"/>
  <c r="L76" i="8"/>
  <c r="A76" i="8"/>
  <c r="N75" i="8" a="1"/>
  <c r="N75" i="8" s="1"/>
  <c r="M75" i="8" a="1"/>
  <c r="M75" i="8" s="1"/>
  <c r="L75" i="8"/>
  <c r="A75" i="8"/>
  <c r="N74" i="8" a="1"/>
  <c r="N74" i="8" s="1"/>
  <c r="M74" i="8" a="1"/>
  <c r="M74" i="8" s="1"/>
  <c r="L74" i="8"/>
  <c r="A74" i="8"/>
  <c r="N73" i="8" a="1"/>
  <c r="N73" i="8" s="1"/>
  <c r="M73" i="8" a="1"/>
  <c r="M73" i="8" s="1"/>
  <c r="L73" i="8"/>
  <c r="A73" i="8"/>
  <c r="N72" i="8" a="1"/>
  <c r="N72" i="8" s="1"/>
  <c r="M72" i="8" a="1"/>
  <c r="M72" i="8" s="1"/>
  <c r="L72" i="8"/>
  <c r="A72" i="8"/>
  <c r="N71" i="8" a="1"/>
  <c r="N71" i="8" s="1"/>
  <c r="M71" i="8" a="1"/>
  <c r="M71" i="8" s="1"/>
  <c r="L71" i="8"/>
  <c r="A71" i="8"/>
  <c r="N70" i="8" a="1"/>
  <c r="N70" i="8" s="1"/>
  <c r="M70" i="8" a="1"/>
  <c r="M70" i="8" s="1"/>
  <c r="L70" i="8"/>
  <c r="A70" i="8"/>
  <c r="N69" i="8" a="1"/>
  <c r="N69" i="8" s="1"/>
  <c r="M69" i="8" a="1"/>
  <c r="M69" i="8" s="1"/>
  <c r="L69" i="8"/>
  <c r="A69" i="8"/>
  <c r="N68" i="8" a="1"/>
  <c r="N68" i="8" s="1"/>
  <c r="M68" i="8" a="1"/>
  <c r="M68" i="8" s="1"/>
  <c r="L68" i="8"/>
  <c r="A68" i="8"/>
  <c r="N67" i="8" a="1"/>
  <c r="N67" i="8" s="1"/>
  <c r="M67" i="8" a="1"/>
  <c r="M67" i="8" s="1"/>
  <c r="L67" i="8"/>
  <c r="A67" i="8"/>
  <c r="N66" i="8" a="1"/>
  <c r="N66" i="8" s="1"/>
  <c r="M66" i="8" a="1"/>
  <c r="M66" i="8" s="1"/>
  <c r="L66" i="8"/>
  <c r="A66" i="8"/>
  <c r="N65" i="8" a="1"/>
  <c r="N65" i="8" s="1"/>
  <c r="M65" i="8" a="1"/>
  <c r="M65" i="8" s="1"/>
  <c r="L65" i="8"/>
  <c r="A65" i="8"/>
  <c r="N64" i="8" a="1"/>
  <c r="N64" i="8" s="1"/>
  <c r="M64" i="8" a="1"/>
  <c r="M64" i="8" s="1"/>
  <c r="L64" i="8"/>
  <c r="A64" i="8"/>
  <c r="N63" i="8" a="1"/>
  <c r="N63" i="8" s="1"/>
  <c r="M63" i="8" a="1"/>
  <c r="M63" i="8" s="1"/>
  <c r="L63" i="8"/>
  <c r="A63" i="8"/>
  <c r="N62" i="8" a="1"/>
  <c r="N62" i="8" s="1"/>
  <c r="M62" i="8" a="1"/>
  <c r="M62" i="8" s="1"/>
  <c r="L62" i="8"/>
  <c r="A62" i="8"/>
  <c r="N61" i="8" a="1"/>
  <c r="N61" i="8" s="1"/>
  <c r="M61" i="8" a="1"/>
  <c r="M61" i="8" s="1"/>
  <c r="L61" i="8"/>
  <c r="A61" i="8"/>
  <c r="N60" i="8" a="1"/>
  <c r="N60" i="8" s="1"/>
  <c r="M60" i="8" a="1"/>
  <c r="M60" i="8" s="1"/>
  <c r="L60" i="8"/>
  <c r="A60" i="8"/>
  <c r="N59" i="8" a="1"/>
  <c r="N59" i="8" s="1"/>
  <c r="M59" i="8" a="1"/>
  <c r="M59" i="8" s="1"/>
  <c r="L59" i="8"/>
  <c r="A59" i="8"/>
  <c r="N58" i="8" a="1"/>
  <c r="N58" i="8" s="1"/>
  <c r="M58" i="8" a="1"/>
  <c r="M58" i="8" s="1"/>
  <c r="L58" i="8"/>
  <c r="A58" i="8"/>
  <c r="N57" i="8" a="1"/>
  <c r="N57" i="8" s="1"/>
  <c r="M57" i="8" a="1"/>
  <c r="M57" i="8" s="1"/>
  <c r="L57" i="8"/>
  <c r="A57" i="8"/>
  <c r="N56" i="8" a="1"/>
  <c r="N56" i="8" s="1"/>
  <c r="M56" i="8" a="1"/>
  <c r="M56" i="8" s="1"/>
  <c r="L56" i="8"/>
  <c r="A56" i="8"/>
  <c r="N55" i="8" a="1"/>
  <c r="N55" i="8" s="1"/>
  <c r="M55" i="8" a="1"/>
  <c r="M55" i="8" s="1"/>
  <c r="L55" i="8"/>
  <c r="A55" i="8"/>
  <c r="N54" i="8" a="1"/>
  <c r="N54" i="8" s="1"/>
  <c r="M54" i="8" a="1"/>
  <c r="M54" i="8" s="1"/>
  <c r="L54" i="8"/>
  <c r="A54" i="8"/>
  <c r="N53" i="8" a="1"/>
  <c r="N53" i="8" s="1"/>
  <c r="M53" i="8" a="1"/>
  <c r="M53" i="8" s="1"/>
  <c r="L53" i="8"/>
  <c r="A53" i="8"/>
  <c r="N52" i="8" a="1"/>
  <c r="N52" i="8" s="1"/>
  <c r="M52" i="8" a="1"/>
  <c r="M52" i="8" s="1"/>
  <c r="L52" i="8"/>
  <c r="A52" i="8"/>
  <c r="N51" i="8" a="1"/>
  <c r="N51" i="8" s="1"/>
  <c r="M51" i="8" a="1"/>
  <c r="M51" i="8" s="1"/>
  <c r="L51" i="8"/>
  <c r="A51" i="8"/>
  <c r="N50" i="8" a="1"/>
  <c r="N50" i="8" s="1"/>
  <c r="M50" i="8" a="1"/>
  <c r="M50" i="8" s="1"/>
  <c r="L50" i="8"/>
  <c r="A50" i="8"/>
  <c r="N49" i="8" a="1"/>
  <c r="N49" i="8" s="1"/>
  <c r="M49" i="8" a="1"/>
  <c r="M49" i="8" s="1"/>
  <c r="L49" i="8"/>
  <c r="A49" i="8"/>
  <c r="N48" i="8" a="1"/>
  <c r="N48" i="8" s="1"/>
  <c r="M48" i="8" a="1"/>
  <c r="M48" i="8" s="1"/>
  <c r="L48" i="8"/>
  <c r="A48" i="8"/>
  <c r="N47" i="8" a="1"/>
  <c r="N47" i="8" s="1"/>
  <c r="M47" i="8" a="1"/>
  <c r="M47" i="8" s="1"/>
  <c r="L47" i="8"/>
  <c r="A47" i="8"/>
  <c r="N46" i="8" a="1"/>
  <c r="N46" i="8" s="1"/>
  <c r="M46" i="8" a="1"/>
  <c r="M46" i="8" s="1"/>
  <c r="L46" i="8"/>
  <c r="A46" i="8"/>
  <c r="N45" i="8" a="1"/>
  <c r="N45" i="8" s="1"/>
  <c r="M45" i="8" a="1"/>
  <c r="M45" i="8" s="1"/>
  <c r="L45" i="8"/>
  <c r="A45" i="8"/>
  <c r="N44" i="8" a="1"/>
  <c r="N44" i="8" s="1"/>
  <c r="M44" i="8" a="1"/>
  <c r="M44" i="8" s="1"/>
  <c r="L44" i="8"/>
  <c r="A44" i="8"/>
  <c r="N43" i="8" a="1"/>
  <c r="N43" i="8" s="1"/>
  <c r="M43" i="8" a="1"/>
  <c r="M43" i="8" s="1"/>
  <c r="L43" i="8"/>
  <c r="A43" i="8"/>
  <c r="N42" i="8" a="1"/>
  <c r="N42" i="8" s="1"/>
  <c r="M42" i="8" a="1"/>
  <c r="M42" i="8" s="1"/>
  <c r="L42" i="8"/>
  <c r="A42" i="8"/>
  <c r="N41" i="8" a="1"/>
  <c r="N41" i="8" s="1"/>
  <c r="M41" i="8" a="1"/>
  <c r="M41" i="8" s="1"/>
  <c r="L41" i="8"/>
  <c r="A41" i="8"/>
  <c r="N40" i="8" a="1"/>
  <c r="N40" i="8" s="1"/>
  <c r="M40" i="8" a="1"/>
  <c r="M40" i="8" s="1"/>
  <c r="L40" i="8"/>
  <c r="A40" i="8"/>
  <c r="N39" i="8" a="1"/>
  <c r="N39" i="8" s="1"/>
  <c r="M39" i="8" a="1"/>
  <c r="M39" i="8" s="1"/>
  <c r="L39" i="8"/>
  <c r="A39" i="8"/>
  <c r="N38" i="8" a="1"/>
  <c r="N38" i="8" s="1"/>
  <c r="M38" i="8" a="1"/>
  <c r="M38" i="8" s="1"/>
  <c r="L38" i="8"/>
  <c r="A38" i="8"/>
  <c r="N37" i="8" a="1"/>
  <c r="N37" i="8" s="1"/>
  <c r="M37" i="8" a="1"/>
  <c r="M37" i="8" s="1"/>
  <c r="L37" i="8"/>
  <c r="A37" i="8"/>
  <c r="N36" i="8" a="1"/>
  <c r="N36" i="8" s="1"/>
  <c r="M36" i="8" a="1"/>
  <c r="M36" i="8" s="1"/>
  <c r="L36" i="8"/>
  <c r="A36" i="8"/>
  <c r="N35" i="8" a="1"/>
  <c r="N35" i="8" s="1"/>
  <c r="M35" i="8" a="1"/>
  <c r="M35" i="8" s="1"/>
  <c r="L35" i="8"/>
  <c r="A35" i="8"/>
  <c r="N34" i="8" a="1"/>
  <c r="N34" i="8" s="1"/>
  <c r="M34" i="8" a="1"/>
  <c r="M34" i="8" s="1"/>
  <c r="L34" i="8"/>
  <c r="A34" i="8"/>
  <c r="N33" i="8" a="1"/>
  <c r="N33" i="8" s="1"/>
  <c r="M33" i="8" a="1"/>
  <c r="M33" i="8" s="1"/>
  <c r="L33" i="8"/>
  <c r="A33" i="8"/>
  <c r="N32" i="8" a="1"/>
  <c r="N32" i="8" s="1"/>
  <c r="M32" i="8" a="1"/>
  <c r="M32" i="8" s="1"/>
  <c r="L32" i="8"/>
  <c r="A32" i="8"/>
  <c r="N31" i="8" a="1"/>
  <c r="N31" i="8" s="1"/>
  <c r="M31" i="8" a="1"/>
  <c r="M31" i="8" s="1"/>
  <c r="L31" i="8"/>
  <c r="A31" i="8"/>
  <c r="N30" i="8" a="1"/>
  <c r="N30" i="8" s="1"/>
  <c r="M30" i="8" a="1"/>
  <c r="M30" i="8" s="1"/>
  <c r="L30" i="8"/>
  <c r="A30" i="8"/>
  <c r="N29" i="8" a="1"/>
  <c r="N29" i="8" s="1"/>
  <c r="M29" i="8" a="1"/>
  <c r="M29" i="8" s="1"/>
  <c r="L29" i="8"/>
  <c r="A29" i="8"/>
  <c r="N28" i="8" a="1"/>
  <c r="N28" i="8" s="1"/>
  <c r="M28" i="8" a="1"/>
  <c r="M28" i="8" s="1"/>
  <c r="L28" i="8"/>
  <c r="A28" i="8"/>
  <c r="N27" i="8" a="1"/>
  <c r="N27" i="8" s="1"/>
  <c r="M27" i="8" a="1"/>
  <c r="M27" i="8" s="1"/>
  <c r="L27" i="8"/>
  <c r="A27" i="8"/>
  <c r="N26" i="8" a="1"/>
  <c r="N26" i="8" s="1"/>
  <c r="M26" i="8" a="1"/>
  <c r="M26" i="8" s="1"/>
  <c r="L26" i="8"/>
  <c r="A26" i="8"/>
  <c r="N25" i="8" a="1"/>
  <c r="N25" i="8" s="1"/>
  <c r="M25" i="8" a="1"/>
  <c r="M25" i="8" s="1"/>
  <c r="L25" i="8"/>
  <c r="A25" i="8"/>
  <c r="N24" i="8" a="1"/>
  <c r="N24" i="8" s="1"/>
  <c r="M24" i="8" a="1"/>
  <c r="M24" i="8" s="1"/>
  <c r="L24" i="8"/>
  <c r="A24" i="8"/>
  <c r="N23" i="8" a="1"/>
  <c r="N23" i="8" s="1"/>
  <c r="M23" i="8" a="1"/>
  <c r="M23" i="8" s="1"/>
  <c r="L23" i="8"/>
  <c r="A23" i="8"/>
  <c r="N22" i="8" a="1"/>
  <c r="N22" i="8" s="1"/>
  <c r="M22" i="8" a="1"/>
  <c r="M22" i="8" s="1"/>
  <c r="L22" i="8"/>
  <c r="A22" i="8"/>
  <c r="N21" i="8" a="1"/>
  <c r="N21" i="8" s="1"/>
  <c r="M21" i="8" a="1"/>
  <c r="M21" i="8" s="1"/>
  <c r="L21" i="8"/>
  <c r="A21" i="8"/>
  <c r="N20" i="8" a="1"/>
  <c r="N20" i="8" s="1"/>
  <c r="M20" i="8" a="1"/>
  <c r="M20" i="8" s="1"/>
  <c r="L20" i="8"/>
  <c r="A20" i="8"/>
  <c r="N19" i="8" a="1"/>
  <c r="N19" i="8" s="1"/>
  <c r="M19" i="8" a="1"/>
  <c r="M19" i="8" s="1"/>
  <c r="L19" i="8"/>
  <c r="A19" i="8"/>
  <c r="N18" i="8" a="1"/>
  <c r="N18" i="8" s="1"/>
  <c r="M18" i="8" a="1"/>
  <c r="M18" i="8" s="1"/>
  <c r="L18" i="8"/>
  <c r="A18" i="8"/>
  <c r="L17" i="8"/>
  <c r="A17" i="8"/>
  <c r="N17" i="8" s="1" a="1"/>
  <c r="N17" i="8" s="1"/>
  <c r="N16" i="8" a="1"/>
  <c r="N16" i="8" s="1"/>
  <c r="M16" i="8" a="1"/>
  <c r="M16" i="8" s="1"/>
  <c r="L16" i="8"/>
  <c r="A16" i="8"/>
  <c r="L16" i="3"/>
  <c r="L17" i="3"/>
  <c r="N18" i="3" a="1"/>
  <c r="N18" i="3" s="1"/>
  <c r="N19" i="3" a="1"/>
  <c r="N19" i="3" s="1"/>
  <c r="N20" i="3" a="1"/>
  <c r="N20" i="3" s="1"/>
  <c r="N21" i="3" a="1"/>
  <c r="N21" i="3" s="1"/>
  <c r="N22" i="3" a="1"/>
  <c r="N22" i="3" s="1"/>
  <c r="N23" i="3" a="1"/>
  <c r="N23" i="3" s="1"/>
  <c r="N24" i="3" a="1"/>
  <c r="N24" i="3" s="1"/>
  <c r="N25" i="3" a="1"/>
  <c r="N25" i="3" s="1"/>
  <c r="N26" i="3" a="1"/>
  <c r="N26" i="3" s="1"/>
  <c r="N27" i="3" a="1"/>
  <c r="N27" i="3" s="1"/>
  <c r="N28" i="3" a="1"/>
  <c r="N28" i="3" s="1"/>
  <c r="N29" i="3" a="1"/>
  <c r="N29" i="3" s="1"/>
  <c r="N30" i="3" a="1"/>
  <c r="N30" i="3" s="1"/>
  <c r="N31" i="3" a="1"/>
  <c r="N31" i="3" s="1"/>
  <c r="N32" i="3" a="1"/>
  <c r="N32" i="3" s="1"/>
  <c r="N33" i="3" a="1"/>
  <c r="N33" i="3" s="1"/>
  <c r="N34" i="3" a="1"/>
  <c r="N34" i="3" s="1"/>
  <c r="N35" i="3" a="1"/>
  <c r="N35" i="3" s="1"/>
  <c r="N36" i="3" a="1"/>
  <c r="N36" i="3" s="1"/>
  <c r="N37" i="3" a="1"/>
  <c r="N37" i="3" s="1"/>
  <c r="N38" i="3" a="1"/>
  <c r="N38" i="3" s="1"/>
  <c r="N39" i="3" a="1"/>
  <c r="N39" i="3" s="1"/>
  <c r="N40" i="3" a="1"/>
  <c r="N40" i="3" s="1"/>
  <c r="N41" i="3" a="1"/>
  <c r="N41" i="3" s="1"/>
  <c r="N42" i="3" a="1"/>
  <c r="N42" i="3" s="1"/>
  <c r="N43" i="3" a="1"/>
  <c r="N43" i="3" s="1"/>
  <c r="N44" i="3" a="1"/>
  <c r="N44" i="3" s="1"/>
  <c r="N45" i="3" a="1"/>
  <c r="N45" i="3" s="1"/>
  <c r="N46" i="3" a="1"/>
  <c r="N46" i="3" s="1"/>
  <c r="N47" i="3" a="1"/>
  <c r="N47" i="3" s="1"/>
  <c r="N48" i="3" a="1"/>
  <c r="N48" i="3" s="1"/>
  <c r="N49" i="3" a="1"/>
  <c r="N49" i="3" s="1"/>
  <c r="N50" i="3" a="1"/>
  <c r="N50" i="3" s="1"/>
  <c r="N51" i="3" a="1"/>
  <c r="N51" i="3" s="1"/>
  <c r="N52" i="3" a="1"/>
  <c r="N52" i="3" s="1"/>
  <c r="N53" i="3" a="1"/>
  <c r="N53" i="3" s="1"/>
  <c r="N54" i="3" a="1"/>
  <c r="N54" i="3" s="1"/>
  <c r="N55" i="3" a="1"/>
  <c r="N55" i="3" s="1"/>
  <c r="N56" i="3" a="1"/>
  <c r="N56" i="3" s="1"/>
  <c r="N57" i="3" a="1"/>
  <c r="N57" i="3" s="1"/>
  <c r="N58" i="3" a="1"/>
  <c r="N58" i="3" s="1"/>
  <c r="N59" i="3" a="1"/>
  <c r="N59" i="3" s="1"/>
  <c r="N60" i="3" a="1"/>
  <c r="N60" i="3" s="1"/>
  <c r="N61" i="3" a="1"/>
  <c r="N61" i="3" s="1"/>
  <c r="N62" i="3" a="1"/>
  <c r="N62" i="3" s="1"/>
  <c r="N63" i="3" a="1"/>
  <c r="N63" i="3" s="1"/>
  <c r="N64" i="3" a="1"/>
  <c r="N64" i="3" s="1"/>
  <c r="N65" i="3" a="1"/>
  <c r="N65" i="3" s="1"/>
  <c r="N66" i="3" a="1"/>
  <c r="N66" i="3" s="1"/>
  <c r="N67" i="3" a="1"/>
  <c r="N67" i="3" s="1"/>
  <c r="N68" i="3" a="1"/>
  <c r="N68" i="3" s="1"/>
  <c r="N69" i="3" a="1"/>
  <c r="N69" i="3" s="1"/>
  <c r="N70" i="3" a="1"/>
  <c r="N70" i="3" s="1"/>
  <c r="N71" i="3" a="1"/>
  <c r="N71" i="3" s="1"/>
  <c r="N72" i="3" a="1"/>
  <c r="N72" i="3" s="1"/>
  <c r="N73" i="3" a="1"/>
  <c r="N73" i="3" s="1"/>
  <c r="N74" i="3" a="1"/>
  <c r="N74" i="3" s="1"/>
  <c r="N75" i="3" a="1"/>
  <c r="N75" i="3" s="1"/>
  <c r="N76" i="3" a="1"/>
  <c r="N76" i="3" s="1"/>
  <c r="N77" i="3" a="1"/>
  <c r="N77" i="3" s="1"/>
  <c r="N78" i="3" a="1"/>
  <c r="N78" i="3" s="1"/>
  <c r="N79" i="3" a="1"/>
  <c r="N79" i="3" s="1"/>
  <c r="N80" i="3" a="1"/>
  <c r="N80" i="3" s="1"/>
  <c r="N81" i="3" a="1"/>
  <c r="N81" i="3" s="1"/>
  <c r="N82" i="3" a="1"/>
  <c r="N82" i="3" s="1"/>
  <c r="N83" i="3" a="1"/>
  <c r="N83" i="3" s="1"/>
  <c r="N84" i="3" a="1"/>
  <c r="N84" i="3" s="1"/>
  <c r="N85" i="3" a="1"/>
  <c r="N85" i="3" s="1"/>
  <c r="N86" i="3" a="1"/>
  <c r="N86" i="3" s="1"/>
  <c r="N87" i="3" a="1"/>
  <c r="N87" i="3" s="1"/>
  <c r="N88" i="3" a="1"/>
  <c r="N88" i="3" s="1"/>
  <c r="N89" i="3" a="1"/>
  <c r="N89" i="3" s="1"/>
  <c r="N90" i="3" a="1"/>
  <c r="N90" i="3" s="1"/>
  <c r="N91" i="3" a="1"/>
  <c r="N91" i="3" s="1"/>
  <c r="N92" i="3" a="1"/>
  <c r="N92" i="3" s="1"/>
  <c r="N93" i="3" a="1"/>
  <c r="N93" i="3" s="1"/>
  <c r="N94" i="3" a="1"/>
  <c r="N94" i="3" s="1"/>
  <c r="N95" i="3" a="1"/>
  <c r="N95" i="3" s="1"/>
  <c r="N96" i="3" a="1"/>
  <c r="N96" i="3" s="1"/>
  <c r="N97" i="3" a="1"/>
  <c r="N97" i="3" s="1"/>
  <c r="N98" i="3" a="1"/>
  <c r="N98" i="3" s="1"/>
  <c r="N99" i="3" a="1"/>
  <c r="N99" i="3" s="1"/>
  <c r="N100" i="3" a="1"/>
  <c r="N100" i="3" s="1"/>
  <c r="N101" i="3" a="1"/>
  <c r="N101" i="3" s="1"/>
  <c r="N102" i="3" a="1"/>
  <c r="N102" i="3" s="1"/>
  <c r="N103" i="3" a="1"/>
  <c r="N103" i="3" s="1"/>
  <c r="N104" i="3" a="1"/>
  <c r="N104" i="3" s="1"/>
  <c r="N105" i="3" a="1"/>
  <c r="N105" i="3" s="1"/>
  <c r="N106" i="3" a="1"/>
  <c r="N106" i="3" s="1"/>
  <c r="N107" i="3" a="1"/>
  <c r="N107" i="3" s="1"/>
  <c r="N108" i="3" a="1"/>
  <c r="N108" i="3" s="1"/>
  <c r="N109" i="3" a="1"/>
  <c r="N109" i="3" s="1"/>
  <c r="N110" i="3" a="1"/>
  <c r="N110" i="3" s="1"/>
  <c r="N111" i="3" a="1"/>
  <c r="N111" i="3" s="1"/>
  <c r="N112" i="3" a="1"/>
  <c r="N112" i="3" s="1"/>
  <c r="N113" i="3" a="1"/>
  <c r="N113" i="3" s="1"/>
  <c r="N114" i="3" a="1"/>
  <c r="N114" i="3" s="1"/>
  <c r="N115" i="3" a="1"/>
  <c r="N115" i="3" s="1"/>
  <c r="N116" i="3" a="1"/>
  <c r="N116" i="3" s="1"/>
  <c r="N117" i="3" a="1"/>
  <c r="N117" i="3" s="1"/>
  <c r="N118" i="3" a="1"/>
  <c r="N118" i="3" s="1"/>
  <c r="N119" i="3" a="1"/>
  <c r="N119" i="3" s="1"/>
  <c r="N120" i="3" a="1"/>
  <c r="N120" i="3" s="1"/>
  <c r="N121" i="3" a="1"/>
  <c r="N121" i="3" s="1"/>
  <c r="N122" i="3" a="1"/>
  <c r="N122" i="3" s="1"/>
  <c r="N123" i="3" a="1"/>
  <c r="N123" i="3" s="1"/>
  <c r="N124" i="3" a="1"/>
  <c r="N124" i="3" s="1"/>
  <c r="N125" i="3" a="1"/>
  <c r="N125" i="3" s="1"/>
  <c r="N126" i="3" a="1"/>
  <c r="N126" i="3" s="1"/>
  <c r="N127" i="3" a="1"/>
  <c r="N127" i="3" s="1"/>
  <c r="N128" i="3" a="1"/>
  <c r="N128" i="3" s="1"/>
  <c r="N129" i="3" a="1"/>
  <c r="N129" i="3" s="1"/>
  <c r="N130" i="3" a="1"/>
  <c r="N130" i="3" s="1"/>
  <c r="N131" i="3" a="1"/>
  <c r="N131" i="3" s="1"/>
  <c r="N132" i="3" a="1"/>
  <c r="N132" i="3" s="1"/>
  <c r="N133" i="3" a="1"/>
  <c r="N133" i="3" s="1"/>
  <c r="N134" i="3" a="1"/>
  <c r="N134" i="3" s="1"/>
  <c r="N135" i="3" a="1"/>
  <c r="N135" i="3" s="1"/>
  <c r="N136" i="3" a="1"/>
  <c r="N136" i="3" s="1"/>
  <c r="N137" i="3" a="1"/>
  <c r="N137" i="3" s="1"/>
  <c r="N138" i="3" a="1"/>
  <c r="N138" i="3" s="1"/>
  <c r="N139" i="3" a="1"/>
  <c r="N139" i="3" s="1"/>
  <c r="N140" i="3" a="1"/>
  <c r="N140" i="3" s="1"/>
  <c r="N141" i="3" a="1"/>
  <c r="N141" i="3" s="1"/>
  <c r="N142" i="3" a="1"/>
  <c r="N142" i="3" s="1"/>
  <c r="N143" i="3" a="1"/>
  <c r="N143" i="3" s="1"/>
  <c r="N144" i="3" a="1"/>
  <c r="N144" i="3" s="1"/>
  <c r="N145" i="3" a="1"/>
  <c r="N145" i="3" s="1"/>
  <c r="N146" i="3" a="1"/>
  <c r="N146" i="3" s="1"/>
  <c r="N147" i="3" a="1"/>
  <c r="N147" i="3" s="1"/>
  <c r="N148" i="3" a="1"/>
  <c r="N148" i="3" s="1"/>
  <c r="N149" i="3" a="1"/>
  <c r="N149" i="3" s="1"/>
  <c r="N150" i="3" a="1"/>
  <c r="N150" i="3" s="1"/>
  <c r="N151" i="3" a="1"/>
  <c r="N151" i="3" s="1"/>
  <c r="N152" i="3" a="1"/>
  <c r="N152" i="3" s="1"/>
  <c r="N153" i="3" a="1"/>
  <c r="N153" i="3" s="1"/>
  <c r="N154" i="3" a="1"/>
  <c r="N154" i="3" s="1"/>
  <c r="N155" i="3" a="1"/>
  <c r="N155" i="3" s="1"/>
  <c r="N156" i="3" a="1"/>
  <c r="N156" i="3" s="1"/>
  <c r="N157" i="3" a="1"/>
  <c r="N157" i="3" s="1"/>
  <c r="N158" i="3" a="1"/>
  <c r="N158" i="3" s="1"/>
  <c r="N159" i="3" a="1"/>
  <c r="N159" i="3" s="1"/>
  <c r="N160" i="3" a="1"/>
  <c r="N160" i="3" s="1"/>
  <c r="N161" i="3" a="1"/>
  <c r="N161" i="3" s="1"/>
  <c r="N162" i="3" a="1"/>
  <c r="N162" i="3" s="1"/>
  <c r="N163" i="3" a="1"/>
  <c r="N163" i="3" s="1"/>
  <c r="N164" i="3" a="1"/>
  <c r="N164" i="3" s="1"/>
  <c r="N165" i="3" a="1"/>
  <c r="N165" i="3" s="1"/>
  <c r="N166" i="3" a="1"/>
  <c r="N166" i="3" s="1"/>
  <c r="N167" i="3" a="1"/>
  <c r="N167" i="3" s="1"/>
  <c r="N168" i="3" a="1"/>
  <c r="N168" i="3" s="1"/>
  <c r="N169" i="3" a="1"/>
  <c r="N169" i="3" s="1"/>
  <c r="N170" i="3" a="1"/>
  <c r="N170" i="3" s="1"/>
  <c r="N171" i="3" a="1"/>
  <c r="N171" i="3" s="1"/>
  <c r="N172" i="3" a="1"/>
  <c r="N172" i="3" s="1"/>
  <c r="N173" i="3" a="1"/>
  <c r="N173" i="3" s="1"/>
  <c r="N174" i="3" a="1"/>
  <c r="N174" i="3" s="1"/>
  <c r="N175" i="3" a="1"/>
  <c r="N175" i="3" s="1"/>
  <c r="N176" i="3" a="1"/>
  <c r="N176" i="3" s="1"/>
  <c r="N177" i="3" a="1"/>
  <c r="N177" i="3" s="1"/>
  <c r="N178" i="3" a="1"/>
  <c r="N178" i="3" s="1"/>
  <c r="N179" i="3" a="1"/>
  <c r="N179" i="3" s="1"/>
  <c r="N180" i="3" a="1"/>
  <c r="N180" i="3" s="1"/>
  <c r="N181" i="3" a="1"/>
  <c r="N181" i="3" s="1"/>
  <c r="N182" i="3" a="1"/>
  <c r="N182" i="3" s="1"/>
  <c r="N183" i="3" a="1"/>
  <c r="N183" i="3" s="1"/>
  <c r="N184" i="3" a="1"/>
  <c r="N184" i="3" s="1"/>
  <c r="N185" i="3" a="1"/>
  <c r="N185" i="3" s="1"/>
  <c r="N186" i="3" a="1"/>
  <c r="N186" i="3" s="1"/>
  <c r="N187" i="3" a="1"/>
  <c r="N187" i="3" s="1"/>
  <c r="N188" i="3" a="1"/>
  <c r="N188" i="3" s="1"/>
  <c r="N189" i="3" a="1"/>
  <c r="N189" i="3" s="1"/>
  <c r="N190" i="3" a="1"/>
  <c r="N190" i="3" s="1"/>
  <c r="N191" i="3" a="1"/>
  <c r="N191" i="3" s="1"/>
  <c r="N192" i="3" a="1"/>
  <c r="N192" i="3" s="1"/>
  <c r="N193" i="3" a="1"/>
  <c r="N193" i="3" s="1"/>
  <c r="N194" i="3" a="1"/>
  <c r="N194" i="3" s="1"/>
  <c r="N195" i="3" a="1"/>
  <c r="N195" i="3" s="1"/>
  <c r="N196" i="3" a="1"/>
  <c r="N196" i="3" s="1"/>
  <c r="N197" i="3" a="1"/>
  <c r="N197" i="3" s="1"/>
  <c r="N198" i="3" a="1"/>
  <c r="N198" i="3" s="1"/>
  <c r="N199" i="3" a="1"/>
  <c r="N199" i="3" s="1"/>
  <c r="N200" i="3" a="1"/>
  <c r="N200" i="3" s="1"/>
  <c r="N201" i="3" a="1"/>
  <c r="N201" i="3" s="1"/>
  <c r="N202" i="3" a="1"/>
  <c r="N202" i="3" s="1"/>
  <c r="N203" i="3" a="1"/>
  <c r="N203" i="3" s="1"/>
  <c r="N204" i="3" a="1"/>
  <c r="N204" i="3" s="1"/>
  <c r="N205" i="3" a="1"/>
  <c r="N205" i="3" s="1"/>
  <c r="N206" i="3" a="1"/>
  <c r="N206" i="3" s="1"/>
  <c r="N207" i="3" a="1"/>
  <c r="N207" i="3" s="1"/>
  <c r="N208" i="3" a="1"/>
  <c r="N208" i="3" s="1"/>
  <c r="N209" i="3" a="1"/>
  <c r="N209" i="3" s="1"/>
  <c r="N210" i="3" a="1"/>
  <c r="N210" i="3" s="1"/>
  <c r="N211" i="3" a="1"/>
  <c r="N211" i="3" s="1"/>
  <c r="N212" i="3" a="1"/>
  <c r="N212" i="3" s="1"/>
  <c r="N213" i="3" a="1"/>
  <c r="N213" i="3" s="1"/>
  <c r="N214" i="3" a="1"/>
  <c r="N214" i="3" s="1"/>
  <c r="N215" i="3" a="1"/>
  <c r="N215" i="3" s="1"/>
  <c r="N216" i="3" a="1"/>
  <c r="N216" i="3" s="1"/>
  <c r="N217" i="3" a="1"/>
  <c r="N217" i="3" s="1"/>
  <c r="N218" i="3" a="1"/>
  <c r="N218" i="3" s="1"/>
  <c r="N219" i="3" a="1"/>
  <c r="N219" i="3" s="1"/>
  <c r="N220" i="3" a="1"/>
  <c r="N220" i="3" s="1"/>
  <c r="N221" i="3" a="1"/>
  <c r="N221" i="3" s="1"/>
  <c r="N222" i="3" a="1"/>
  <c r="N222" i="3" s="1"/>
  <c r="N223" i="3" a="1"/>
  <c r="N223" i="3" s="1"/>
  <c r="N224" i="3" a="1"/>
  <c r="N224" i="3" s="1"/>
  <c r="N225" i="3" a="1"/>
  <c r="N225" i="3" s="1"/>
  <c r="N226" i="3" a="1"/>
  <c r="N226" i="3" s="1"/>
  <c r="N227" i="3" a="1"/>
  <c r="N227" i="3" s="1"/>
  <c r="N228" i="3" a="1"/>
  <c r="N228" i="3" s="1"/>
  <c r="N229" i="3" a="1"/>
  <c r="N229" i="3" s="1"/>
  <c r="N230" i="3" a="1"/>
  <c r="N230" i="3" s="1"/>
  <c r="N231" i="3" a="1"/>
  <c r="N231" i="3" s="1"/>
  <c r="N232" i="3" a="1"/>
  <c r="N232" i="3" s="1"/>
  <c r="N233" i="3" a="1"/>
  <c r="N233" i="3" s="1"/>
  <c r="N234" i="3" a="1"/>
  <c r="N234" i="3" s="1"/>
  <c r="N235" i="3" a="1"/>
  <c r="N235" i="3" s="1"/>
  <c r="N236" i="3" a="1"/>
  <c r="N236" i="3" s="1"/>
  <c r="N237" i="3" a="1"/>
  <c r="N237" i="3" s="1"/>
  <c r="N238" i="3" a="1"/>
  <c r="N238" i="3" s="1"/>
  <c r="N239" i="3" a="1"/>
  <c r="N239" i="3" s="1"/>
  <c r="N240" i="3" a="1"/>
  <c r="N240" i="3" s="1"/>
  <c r="N241" i="3" a="1"/>
  <c r="N241" i="3" s="1"/>
  <c r="N242" i="3" a="1"/>
  <c r="N242" i="3" s="1"/>
  <c r="N243" i="3" a="1"/>
  <c r="N243" i="3" s="1"/>
  <c r="N244" i="3" a="1"/>
  <c r="N244" i="3" s="1"/>
  <c r="N245" i="3" a="1"/>
  <c r="N245" i="3" s="1"/>
  <c r="N246" i="3" a="1"/>
  <c r="N246" i="3" s="1"/>
  <c r="N247" i="3" a="1"/>
  <c r="N247" i="3" s="1"/>
  <c r="N248" i="3" a="1"/>
  <c r="N248" i="3" s="1"/>
  <c r="N249" i="3" a="1"/>
  <c r="N249" i="3" s="1"/>
  <c r="N250" i="3" a="1"/>
  <c r="N250" i="3" s="1"/>
  <c r="N251" i="3" a="1"/>
  <c r="N251" i="3" s="1"/>
  <c r="N252" i="3" a="1"/>
  <c r="N252" i="3" s="1"/>
  <c r="N253" i="3" a="1"/>
  <c r="N253" i="3" s="1"/>
  <c r="N254" i="3" a="1"/>
  <c r="N254" i="3" s="1"/>
  <c r="N255" i="3" a="1"/>
  <c r="N255" i="3" s="1"/>
  <c r="N256" i="3" a="1"/>
  <c r="N256" i="3" s="1"/>
  <c r="N257" i="3" a="1"/>
  <c r="N257" i="3" s="1"/>
  <c r="N258" i="3" a="1"/>
  <c r="N258" i="3" s="1"/>
  <c r="N259" i="3" a="1"/>
  <c r="N259" i="3" s="1"/>
  <c r="N260" i="3" a="1"/>
  <c r="N260" i="3" s="1"/>
  <c r="N261" i="3" a="1"/>
  <c r="N261" i="3" s="1"/>
  <c r="N262" i="3" a="1"/>
  <c r="N262" i="3" s="1"/>
  <c r="N263" i="3" a="1"/>
  <c r="N263" i="3" s="1"/>
  <c r="N264" i="3" a="1"/>
  <c r="N264" i="3" s="1"/>
  <c r="N265" i="3" a="1"/>
  <c r="N265" i="3" s="1"/>
  <c r="N266" i="3" a="1"/>
  <c r="N266" i="3" s="1"/>
  <c r="N267" i="3" a="1"/>
  <c r="N267" i="3" s="1"/>
  <c r="N268" i="3" a="1"/>
  <c r="N268" i="3" s="1"/>
  <c r="N269" i="3" a="1"/>
  <c r="N269" i="3" s="1"/>
  <c r="N270" i="3" a="1"/>
  <c r="N270" i="3" s="1"/>
  <c r="N271" i="3" a="1"/>
  <c r="N271" i="3" s="1"/>
  <c r="N272" i="3" a="1"/>
  <c r="N272" i="3" s="1"/>
  <c r="N273" i="3" a="1"/>
  <c r="N273" i="3" s="1"/>
  <c r="N274" i="3" a="1"/>
  <c r="N274" i="3" s="1"/>
  <c r="N275" i="3" a="1"/>
  <c r="N275" i="3" s="1"/>
  <c r="N276" i="3" a="1"/>
  <c r="N276" i="3" s="1"/>
  <c r="N277" i="3" a="1"/>
  <c r="N277" i="3" s="1"/>
  <c r="N278" i="3" a="1"/>
  <c r="N278" i="3" s="1"/>
  <c r="N279" i="3" a="1"/>
  <c r="N279" i="3" s="1"/>
  <c r="N280" i="3" a="1"/>
  <c r="N280" i="3" s="1"/>
  <c r="N281" i="3" a="1"/>
  <c r="N281" i="3" s="1"/>
  <c r="N282" i="3" a="1"/>
  <c r="N282" i="3" s="1"/>
  <c r="N283" i="3" a="1"/>
  <c r="N283" i="3" s="1"/>
  <c r="N284" i="3" a="1"/>
  <c r="N284" i="3" s="1"/>
  <c r="N285" i="3" a="1"/>
  <c r="N285" i="3" s="1"/>
  <c r="N286" i="3" a="1"/>
  <c r="N286" i="3" s="1"/>
  <c r="N287" i="3" a="1"/>
  <c r="N287" i="3" s="1"/>
  <c r="N288" i="3" a="1"/>
  <c r="N288" i="3" s="1"/>
  <c r="N289" i="3" a="1"/>
  <c r="N289" i="3" s="1"/>
  <c r="N290" i="3" a="1"/>
  <c r="N290" i="3" s="1"/>
  <c r="N291" i="3" a="1"/>
  <c r="N291" i="3" s="1"/>
  <c r="N292" i="3" a="1"/>
  <c r="N292" i="3" s="1"/>
  <c r="N293" i="3" a="1"/>
  <c r="N293" i="3" s="1"/>
  <c r="N294" i="3" a="1"/>
  <c r="N294" i="3" s="1"/>
  <c r="N295" i="3" a="1"/>
  <c r="N295" i="3" s="1"/>
  <c r="N296" i="3" a="1"/>
  <c r="N296" i="3" s="1"/>
  <c r="N297" i="3" a="1"/>
  <c r="N297" i="3" s="1"/>
  <c r="N298" i="3" a="1"/>
  <c r="N298" i="3" s="1"/>
  <c r="N299" i="3" a="1"/>
  <c r="N299" i="3" s="1"/>
  <c r="N300" i="3" a="1"/>
  <c r="N300" i="3" s="1"/>
  <c r="N301" i="3" a="1"/>
  <c r="N301" i="3" s="1"/>
  <c r="N302" i="3" a="1"/>
  <c r="N302" i="3" s="1"/>
  <c r="N303" i="3" a="1"/>
  <c r="N303" i="3" s="1"/>
  <c r="N304" i="3" a="1"/>
  <c r="N304" i="3" s="1"/>
  <c r="N305" i="3" a="1"/>
  <c r="N305" i="3" s="1"/>
  <c r="N306" i="3" a="1"/>
  <c r="N306" i="3" s="1"/>
  <c r="N307" i="3" a="1"/>
  <c r="N307" i="3" s="1"/>
  <c r="N308" i="3" a="1"/>
  <c r="N308" i="3" s="1"/>
  <c r="N309" i="3" a="1"/>
  <c r="N309" i="3" s="1"/>
  <c r="N310" i="3" a="1"/>
  <c r="N310" i="3" s="1"/>
  <c r="N311" i="3" a="1"/>
  <c r="N311" i="3" s="1"/>
  <c r="N312" i="3" a="1"/>
  <c r="N312" i="3" s="1"/>
  <c r="N313" i="3" a="1"/>
  <c r="N313" i="3" s="1"/>
  <c r="N314" i="3" a="1"/>
  <c r="N314" i="3" s="1"/>
  <c r="N315" i="3" a="1"/>
  <c r="N315" i="3" s="1"/>
  <c r="N316" i="3" a="1"/>
  <c r="N316" i="3" s="1"/>
  <c r="N317" i="3" a="1"/>
  <c r="N317" i="3" s="1"/>
  <c r="N318" i="3" a="1"/>
  <c r="N318" i="3" s="1"/>
  <c r="N319" i="3" a="1"/>
  <c r="N319" i="3" s="1"/>
  <c r="N320" i="3" a="1"/>
  <c r="N320" i="3" s="1"/>
  <c r="N321" i="3" a="1"/>
  <c r="N321" i="3" s="1"/>
  <c r="N322" i="3" a="1"/>
  <c r="N322" i="3" s="1"/>
  <c r="N323" i="3" a="1"/>
  <c r="N323" i="3" s="1"/>
  <c r="N324" i="3" a="1"/>
  <c r="N324" i="3" s="1"/>
  <c r="N325" i="3" a="1"/>
  <c r="N325" i="3" s="1"/>
  <c r="N326" i="3" a="1"/>
  <c r="N326" i="3" s="1"/>
  <c r="N327" i="3" a="1"/>
  <c r="N327" i="3" s="1"/>
  <c r="N328" i="3" a="1"/>
  <c r="N328" i="3" s="1"/>
  <c r="N329" i="3" a="1"/>
  <c r="N329" i="3" s="1"/>
  <c r="N330" i="3" a="1"/>
  <c r="N330" i="3" s="1"/>
  <c r="N331" i="3" a="1"/>
  <c r="N331" i="3" s="1"/>
  <c r="N332" i="3" a="1"/>
  <c r="N332" i="3" s="1"/>
  <c r="N333" i="3" a="1"/>
  <c r="N333" i="3" s="1"/>
  <c r="N334" i="3" a="1"/>
  <c r="N334" i="3" s="1"/>
  <c r="N335" i="3" a="1"/>
  <c r="N335" i="3" s="1"/>
  <c r="N336" i="3" a="1"/>
  <c r="N336" i="3" s="1"/>
  <c r="N337" i="3" a="1"/>
  <c r="N337" i="3" s="1"/>
  <c r="N338" i="3" a="1"/>
  <c r="N338" i="3" s="1"/>
  <c r="N339" i="3" a="1"/>
  <c r="N339" i="3" s="1"/>
  <c r="N340" i="3" a="1"/>
  <c r="N340" i="3" s="1"/>
  <c r="N341" i="3" a="1"/>
  <c r="N341" i="3" s="1"/>
  <c r="N342" i="3" a="1"/>
  <c r="N342" i="3" s="1"/>
  <c r="N343" i="3" a="1"/>
  <c r="N343" i="3" s="1"/>
  <c r="N344" i="3" a="1"/>
  <c r="N344" i="3" s="1"/>
  <c r="N345" i="3" a="1"/>
  <c r="N345" i="3" s="1"/>
  <c r="N346" i="3" a="1"/>
  <c r="N346" i="3" s="1"/>
  <c r="N347" i="3" a="1"/>
  <c r="N347" i="3" s="1"/>
  <c r="N348" i="3" a="1"/>
  <c r="N348" i="3" s="1"/>
  <c r="N349" i="3" a="1"/>
  <c r="N349" i="3" s="1"/>
  <c r="N350" i="3" a="1"/>
  <c r="N350" i="3" s="1"/>
  <c r="N351" i="3" a="1"/>
  <c r="N351" i="3" s="1"/>
  <c r="N352" i="3" a="1"/>
  <c r="N352" i="3" s="1"/>
  <c r="N353" i="3" a="1"/>
  <c r="N353" i="3" s="1"/>
  <c r="N354" i="3" a="1"/>
  <c r="N354" i="3" s="1"/>
  <c r="N355" i="3" a="1"/>
  <c r="N355" i="3" s="1"/>
  <c r="N356" i="3" a="1"/>
  <c r="N356" i="3" s="1"/>
  <c r="N357" i="3" a="1"/>
  <c r="N357" i="3" s="1"/>
  <c r="N358" i="3" a="1"/>
  <c r="N358" i="3" s="1"/>
  <c r="N359" i="3" a="1"/>
  <c r="N359" i="3" s="1"/>
  <c r="N360" i="3" a="1"/>
  <c r="N360" i="3" s="1"/>
  <c r="N361" i="3" a="1"/>
  <c r="N361" i="3" s="1"/>
  <c r="N362" i="3" a="1"/>
  <c r="N362" i="3" s="1"/>
  <c r="N363" i="3" a="1"/>
  <c r="N363" i="3" s="1"/>
  <c r="N364" i="3" a="1"/>
  <c r="N364" i="3" s="1"/>
  <c r="N365" i="3" a="1"/>
  <c r="N365" i="3" s="1"/>
  <c r="N366" i="3" a="1"/>
  <c r="N366" i="3" s="1"/>
  <c r="N367" i="3" a="1"/>
  <c r="N367" i="3" s="1"/>
  <c r="N368" i="3" a="1"/>
  <c r="N368" i="3" s="1"/>
  <c r="N369" i="3" a="1"/>
  <c r="N369" i="3" s="1"/>
  <c r="N370" i="3" a="1"/>
  <c r="N370" i="3" s="1"/>
  <c r="N371" i="3" a="1"/>
  <c r="N371" i="3" s="1"/>
  <c r="N372" i="3" a="1"/>
  <c r="N372" i="3" s="1"/>
  <c r="N373" i="3" a="1"/>
  <c r="N373" i="3" s="1"/>
  <c r="N374" i="3" a="1"/>
  <c r="N374" i="3" s="1"/>
  <c r="N375" i="3" a="1"/>
  <c r="N375" i="3" s="1"/>
  <c r="N376" i="3" a="1"/>
  <c r="N376" i="3" s="1"/>
  <c r="N377" i="3" a="1"/>
  <c r="N377" i="3" s="1"/>
  <c r="N378" i="3" a="1"/>
  <c r="N378" i="3" s="1"/>
  <c r="N379" i="3" a="1"/>
  <c r="N379" i="3" s="1"/>
  <c r="N380" i="3" a="1"/>
  <c r="N380" i="3" s="1"/>
  <c r="N381" i="3" a="1"/>
  <c r="N381" i="3" s="1"/>
  <c r="N382" i="3" a="1"/>
  <c r="N382" i="3" s="1"/>
  <c r="N383" i="3" a="1"/>
  <c r="N383" i="3" s="1"/>
  <c r="N384" i="3" a="1"/>
  <c r="N384" i="3" s="1"/>
  <c r="N385" i="3" a="1"/>
  <c r="N385" i="3" s="1"/>
  <c r="N386" i="3" a="1"/>
  <c r="N386" i="3" s="1"/>
  <c r="N387" i="3" a="1"/>
  <c r="N387" i="3" s="1"/>
  <c r="N388" i="3" a="1"/>
  <c r="N388" i="3" s="1"/>
  <c r="N389" i="3" a="1"/>
  <c r="N389" i="3" s="1"/>
  <c r="N390" i="3" a="1"/>
  <c r="N390" i="3" s="1"/>
  <c r="N391" i="3" a="1"/>
  <c r="N391" i="3" s="1"/>
  <c r="N392" i="3" a="1"/>
  <c r="N392" i="3" s="1"/>
  <c r="N393" i="3" a="1"/>
  <c r="N393" i="3" s="1"/>
  <c r="N394" i="3" a="1"/>
  <c r="N394" i="3" s="1"/>
  <c r="N395" i="3" a="1"/>
  <c r="N395" i="3" s="1"/>
  <c r="N396" i="3" a="1"/>
  <c r="N396" i="3" s="1"/>
  <c r="N397" i="3" a="1"/>
  <c r="N397" i="3" s="1"/>
  <c r="N398" i="3" a="1"/>
  <c r="N398" i="3" s="1"/>
  <c r="N399" i="3" a="1"/>
  <c r="N399" i="3" s="1"/>
  <c r="N400" i="3" a="1"/>
  <c r="N400" i="3" s="1"/>
  <c r="N401" i="3" a="1"/>
  <c r="N401" i="3" s="1"/>
  <c r="N402" i="3" a="1"/>
  <c r="N402" i="3" s="1"/>
  <c r="N403" i="3" a="1"/>
  <c r="N403" i="3" s="1"/>
  <c r="N404" i="3" a="1"/>
  <c r="N404" i="3" s="1"/>
  <c r="N405" i="3" a="1"/>
  <c r="N405" i="3" s="1"/>
  <c r="N406" i="3" a="1"/>
  <c r="N406" i="3" s="1"/>
  <c r="N407" i="3" a="1"/>
  <c r="N407" i="3" s="1"/>
  <c r="N408" i="3" a="1"/>
  <c r="N408" i="3" s="1"/>
  <c r="N409" i="3" a="1"/>
  <c r="N409" i="3" s="1"/>
  <c r="N410" i="3" a="1"/>
  <c r="N410" i="3" s="1"/>
  <c r="N411" i="3" a="1"/>
  <c r="N411" i="3" s="1"/>
  <c r="N412" i="3" a="1"/>
  <c r="N412" i="3" s="1"/>
  <c r="N413" i="3" a="1"/>
  <c r="N413" i="3" s="1"/>
  <c r="N414" i="3" a="1"/>
  <c r="N414" i="3" s="1"/>
  <c r="N415" i="3" a="1"/>
  <c r="N415" i="3" s="1"/>
  <c r="N416" i="3" a="1"/>
  <c r="N416" i="3" s="1"/>
  <c r="N417" i="3" a="1"/>
  <c r="N417" i="3" s="1"/>
  <c r="N418" i="3" a="1"/>
  <c r="N418" i="3" s="1"/>
  <c r="N419" i="3" a="1"/>
  <c r="N419" i="3" s="1"/>
  <c r="N420" i="3" a="1"/>
  <c r="N420" i="3" s="1"/>
  <c r="N421" i="3" a="1"/>
  <c r="N421" i="3" s="1"/>
  <c r="N422" i="3" a="1"/>
  <c r="N422" i="3" s="1"/>
  <c r="N423" i="3" a="1"/>
  <c r="N423" i="3" s="1"/>
  <c r="N424" i="3" a="1"/>
  <c r="N424" i="3" s="1"/>
  <c r="N425" i="3" a="1"/>
  <c r="N425" i="3" s="1"/>
  <c r="N426" i="3" a="1"/>
  <c r="N426" i="3" s="1"/>
  <c r="N427" i="3" a="1"/>
  <c r="N427" i="3" s="1"/>
  <c r="N428" i="3" a="1"/>
  <c r="N428" i="3" s="1"/>
  <c r="N429" i="3" a="1"/>
  <c r="N429" i="3" s="1"/>
  <c r="N430" i="3" a="1"/>
  <c r="N430" i="3" s="1"/>
  <c r="N431" i="3" a="1"/>
  <c r="N431" i="3" s="1"/>
  <c r="N432" i="3" a="1"/>
  <c r="N432" i="3" s="1"/>
  <c r="N433" i="3" a="1"/>
  <c r="N433" i="3" s="1"/>
  <c r="N434" i="3" a="1"/>
  <c r="N434" i="3" s="1"/>
  <c r="N435" i="3" a="1"/>
  <c r="N435" i="3" s="1"/>
  <c r="N436" i="3" a="1"/>
  <c r="N436" i="3" s="1"/>
  <c r="N437" i="3" a="1"/>
  <c r="N437" i="3" s="1"/>
  <c r="N438" i="3" a="1"/>
  <c r="N438" i="3" s="1"/>
  <c r="N439" i="3" a="1"/>
  <c r="N439" i="3" s="1"/>
  <c r="N440" i="3" a="1"/>
  <c r="N440" i="3" s="1"/>
  <c r="N441" i="3" a="1"/>
  <c r="N441" i="3" s="1"/>
  <c r="N442" i="3" a="1"/>
  <c r="N442" i="3" s="1"/>
  <c r="N443" i="3" a="1"/>
  <c r="N443" i="3" s="1"/>
  <c r="N444" i="3" a="1"/>
  <c r="N444" i="3" s="1"/>
  <c r="N445" i="3" a="1"/>
  <c r="N445" i="3" s="1"/>
  <c r="N446" i="3" a="1"/>
  <c r="N446" i="3" s="1"/>
  <c r="N447" i="3" a="1"/>
  <c r="N447" i="3" s="1"/>
  <c r="N448" i="3" a="1"/>
  <c r="N448" i="3" s="1"/>
  <c r="N449" i="3" a="1"/>
  <c r="N449" i="3" s="1"/>
  <c r="N450" i="3" a="1"/>
  <c r="N450" i="3" s="1"/>
  <c r="N451" i="3" a="1"/>
  <c r="N451" i="3" s="1"/>
  <c r="N452" i="3" a="1"/>
  <c r="N452" i="3" s="1"/>
  <c r="N453" i="3" a="1"/>
  <c r="N453" i="3" s="1"/>
  <c r="N454" i="3" a="1"/>
  <c r="N454" i="3" s="1"/>
  <c r="N455" i="3" a="1"/>
  <c r="N455" i="3" s="1"/>
  <c r="N456" i="3" a="1"/>
  <c r="N456" i="3" s="1"/>
  <c r="N457" i="3" a="1"/>
  <c r="N457" i="3" s="1"/>
  <c r="N458" i="3" a="1"/>
  <c r="N458" i="3" s="1"/>
  <c r="N459" i="3" a="1"/>
  <c r="N459" i="3" s="1"/>
  <c r="N460" i="3" a="1"/>
  <c r="N460" i="3" s="1"/>
  <c r="N461" i="3" a="1"/>
  <c r="N461" i="3" s="1"/>
  <c r="N462" i="3" a="1"/>
  <c r="N462" i="3" s="1"/>
  <c r="N463" i="3" a="1"/>
  <c r="N463" i="3" s="1"/>
  <c r="N464" i="3" a="1"/>
  <c r="N464" i="3" s="1"/>
  <c r="N465" i="3" a="1"/>
  <c r="N465" i="3" s="1"/>
  <c r="N466" i="3" a="1"/>
  <c r="N466" i="3" s="1"/>
  <c r="N467" i="3" a="1"/>
  <c r="N467" i="3" s="1"/>
  <c r="N468" i="3" a="1"/>
  <c r="N468" i="3" s="1"/>
  <c r="N469" i="3" a="1"/>
  <c r="N469" i="3" s="1"/>
  <c r="N470" i="3" a="1"/>
  <c r="N470" i="3" s="1"/>
  <c r="N471" i="3" a="1"/>
  <c r="N471" i="3" s="1"/>
  <c r="N472" i="3" a="1"/>
  <c r="N472" i="3" s="1"/>
  <c r="N473" i="3" a="1"/>
  <c r="N473" i="3" s="1"/>
  <c r="N474" i="3" a="1"/>
  <c r="N474" i="3" s="1"/>
  <c r="N475" i="3" a="1"/>
  <c r="N475" i="3" s="1"/>
  <c r="N476" i="3" a="1"/>
  <c r="N476" i="3" s="1"/>
  <c r="N477" i="3" a="1"/>
  <c r="N477" i="3" s="1"/>
  <c r="N478" i="3" a="1"/>
  <c r="N478" i="3" s="1"/>
  <c r="N479" i="3" a="1"/>
  <c r="N479" i="3" s="1"/>
  <c r="N480" i="3" a="1"/>
  <c r="N480" i="3" s="1"/>
  <c r="N481" i="3" a="1"/>
  <c r="N481" i="3" s="1"/>
  <c r="N482" i="3" a="1"/>
  <c r="N482" i="3" s="1"/>
  <c r="N483" i="3" a="1"/>
  <c r="N483" i="3" s="1"/>
  <c r="N484" i="3" a="1"/>
  <c r="N484" i="3" s="1"/>
  <c r="N485" i="3" a="1"/>
  <c r="N485" i="3" s="1"/>
  <c r="N486" i="3" a="1"/>
  <c r="N486" i="3" s="1"/>
  <c r="N487" i="3" a="1"/>
  <c r="N487" i="3" s="1"/>
  <c r="N488" i="3" a="1"/>
  <c r="N488" i="3" s="1"/>
  <c r="N489" i="3" a="1"/>
  <c r="N489" i="3" s="1"/>
  <c r="N490" i="3" a="1"/>
  <c r="N490" i="3" s="1"/>
  <c r="N491" i="3" a="1"/>
  <c r="N491" i="3" s="1"/>
  <c r="N492" i="3" a="1"/>
  <c r="N492" i="3" s="1"/>
  <c r="N493" i="3" a="1"/>
  <c r="N493" i="3" s="1"/>
  <c r="N494" i="3" a="1"/>
  <c r="N494" i="3" s="1"/>
  <c r="N495" i="3" a="1"/>
  <c r="N495" i="3" s="1"/>
  <c r="N496" i="3" a="1"/>
  <c r="N496" i="3" s="1"/>
  <c r="N497" i="3" a="1"/>
  <c r="N497" i="3" s="1"/>
  <c r="N498" i="3" a="1"/>
  <c r="N498" i="3" s="1"/>
  <c r="N499" i="3" a="1"/>
  <c r="N499" i="3" s="1"/>
  <c r="N500" i="3" a="1"/>
  <c r="N500" i="3" s="1"/>
  <c r="N501" i="3" a="1"/>
  <c r="N501" i="3" s="1"/>
  <c r="N502" i="3" a="1"/>
  <c r="N502" i="3" s="1"/>
  <c r="N503" i="3" a="1"/>
  <c r="N503" i="3" s="1"/>
  <c r="N504" i="3" a="1"/>
  <c r="N504" i="3" s="1"/>
  <c r="N505" i="3" a="1"/>
  <c r="N505" i="3" s="1"/>
  <c r="N506" i="3" a="1"/>
  <c r="N506" i="3" s="1"/>
  <c r="N507" i="3" a="1"/>
  <c r="N507" i="3" s="1"/>
  <c r="N508" i="3" a="1"/>
  <c r="N508" i="3" s="1"/>
  <c r="N509" i="3" a="1"/>
  <c r="N509" i="3" s="1"/>
  <c r="N510" i="3" a="1"/>
  <c r="N510" i="3" s="1"/>
  <c r="N511" i="3" a="1"/>
  <c r="N511" i="3" s="1"/>
  <c r="N512" i="3" a="1"/>
  <c r="N512" i="3" s="1"/>
  <c r="N513" i="3" a="1"/>
  <c r="N513" i="3" s="1"/>
  <c r="M17" i="8" l="1" a="1"/>
  <c r="M17" i="8" s="1"/>
  <c r="M18" i="3" a="1"/>
  <c r="M18" i="3" s="1"/>
  <c r="M19" i="3" a="1"/>
  <c r="M19" i="3" s="1"/>
  <c r="M20" i="3" a="1"/>
  <c r="M20" i="3" s="1"/>
  <c r="M21" i="3" a="1"/>
  <c r="M21" i="3" s="1"/>
  <c r="M22" i="3" a="1"/>
  <c r="M22" i="3" s="1"/>
  <c r="M23" i="3" a="1"/>
  <c r="M23" i="3" s="1"/>
  <c r="M24" i="3" a="1"/>
  <c r="M24" i="3" s="1"/>
  <c r="M25" i="3" a="1"/>
  <c r="M25" i="3" s="1"/>
  <c r="M26" i="3" a="1"/>
  <c r="M26" i="3" s="1"/>
  <c r="M27" i="3" a="1"/>
  <c r="M27" i="3" s="1"/>
  <c r="M28" i="3" a="1"/>
  <c r="M28" i="3" s="1"/>
  <c r="M29" i="3" a="1"/>
  <c r="M29" i="3" s="1"/>
  <c r="M30" i="3" a="1"/>
  <c r="M30" i="3" s="1"/>
  <c r="M31" i="3" a="1"/>
  <c r="M31" i="3" s="1"/>
  <c r="M32" i="3" a="1"/>
  <c r="M32" i="3" s="1"/>
  <c r="M33" i="3" a="1"/>
  <c r="M33" i="3" s="1"/>
  <c r="M34" i="3" a="1"/>
  <c r="M34" i="3" s="1"/>
  <c r="M35" i="3" a="1"/>
  <c r="M35" i="3" s="1"/>
  <c r="M36" i="3" a="1"/>
  <c r="M36" i="3" s="1"/>
  <c r="M37" i="3" a="1"/>
  <c r="M37" i="3" s="1"/>
  <c r="M38" i="3" a="1"/>
  <c r="M38" i="3" s="1"/>
  <c r="M39" i="3" a="1"/>
  <c r="M39" i="3" s="1"/>
  <c r="M40" i="3" a="1"/>
  <c r="M40" i="3" s="1"/>
  <c r="M41" i="3" a="1"/>
  <c r="M41" i="3" s="1"/>
  <c r="M42" i="3" a="1"/>
  <c r="M42" i="3" s="1"/>
  <c r="M43" i="3" a="1"/>
  <c r="M43" i="3" s="1"/>
  <c r="M44" i="3" a="1"/>
  <c r="M44" i="3" s="1"/>
  <c r="M45" i="3" a="1"/>
  <c r="M45" i="3" s="1"/>
  <c r="M46" i="3" a="1"/>
  <c r="M46" i="3" s="1"/>
  <c r="M47" i="3" a="1"/>
  <c r="M47" i="3" s="1"/>
  <c r="M48" i="3" a="1"/>
  <c r="M48" i="3" s="1"/>
  <c r="M49" i="3" a="1"/>
  <c r="M49" i="3" s="1"/>
  <c r="M50" i="3" a="1"/>
  <c r="M50" i="3" s="1"/>
  <c r="M51" i="3" a="1"/>
  <c r="M51" i="3" s="1"/>
  <c r="M52" i="3" a="1"/>
  <c r="M52" i="3" s="1"/>
  <c r="M53" i="3" a="1"/>
  <c r="M53" i="3" s="1"/>
  <c r="M54" i="3" a="1"/>
  <c r="M54" i="3" s="1"/>
  <c r="M55" i="3" a="1"/>
  <c r="M55" i="3" s="1"/>
  <c r="M56" i="3" a="1"/>
  <c r="M56" i="3" s="1"/>
  <c r="M57" i="3" a="1"/>
  <c r="M57" i="3" s="1"/>
  <c r="M58" i="3" a="1"/>
  <c r="M58" i="3" s="1"/>
  <c r="M59" i="3" a="1"/>
  <c r="M59" i="3" s="1"/>
  <c r="M60" i="3" a="1"/>
  <c r="M60" i="3" s="1"/>
  <c r="M61" i="3" a="1"/>
  <c r="M61" i="3" s="1"/>
  <c r="M62" i="3" a="1"/>
  <c r="M62" i="3" s="1"/>
  <c r="M63" i="3" a="1"/>
  <c r="M63" i="3" s="1"/>
  <c r="M64" i="3" a="1"/>
  <c r="M64" i="3" s="1"/>
  <c r="M65" i="3" a="1"/>
  <c r="M65" i="3" s="1"/>
  <c r="M66" i="3" a="1"/>
  <c r="M66" i="3" s="1"/>
  <c r="M67" i="3" a="1"/>
  <c r="M67" i="3" s="1"/>
  <c r="M68" i="3" a="1"/>
  <c r="M68" i="3" s="1"/>
  <c r="M69" i="3" a="1"/>
  <c r="M69" i="3" s="1"/>
  <c r="M70" i="3" a="1"/>
  <c r="M70" i="3" s="1"/>
  <c r="M71" i="3" a="1"/>
  <c r="M71" i="3" s="1"/>
  <c r="M72" i="3" a="1"/>
  <c r="M72" i="3" s="1"/>
  <c r="M73" i="3" a="1"/>
  <c r="M73" i="3" s="1"/>
  <c r="M74" i="3" a="1"/>
  <c r="M74" i="3" s="1"/>
  <c r="M75" i="3" a="1"/>
  <c r="M75" i="3" s="1"/>
  <c r="M76" i="3" a="1"/>
  <c r="M76" i="3" s="1"/>
  <c r="M77" i="3" a="1"/>
  <c r="M77" i="3" s="1"/>
  <c r="M78" i="3" a="1"/>
  <c r="M78" i="3" s="1"/>
  <c r="M79" i="3" a="1"/>
  <c r="M79" i="3" s="1"/>
  <c r="M80" i="3" a="1"/>
  <c r="M80" i="3" s="1"/>
  <c r="M81" i="3" a="1"/>
  <c r="M81" i="3" s="1"/>
  <c r="M82" i="3" a="1"/>
  <c r="M82" i="3" s="1"/>
  <c r="M83" i="3" a="1"/>
  <c r="M83" i="3" s="1"/>
  <c r="M84" i="3" a="1"/>
  <c r="M84" i="3" s="1"/>
  <c r="M85" i="3" a="1"/>
  <c r="M85" i="3" s="1"/>
  <c r="M86" i="3" a="1"/>
  <c r="M86" i="3" s="1"/>
  <c r="M87" i="3" a="1"/>
  <c r="M87" i="3" s="1"/>
  <c r="M88" i="3" a="1"/>
  <c r="M88" i="3" s="1"/>
  <c r="M89" i="3" a="1"/>
  <c r="M89" i="3" s="1"/>
  <c r="M90" i="3" a="1"/>
  <c r="M90" i="3" s="1"/>
  <c r="M91" i="3" a="1"/>
  <c r="M91" i="3" s="1"/>
  <c r="M92" i="3" a="1"/>
  <c r="M92" i="3" s="1"/>
  <c r="M93" i="3" a="1"/>
  <c r="M93" i="3" s="1"/>
  <c r="M94" i="3" a="1"/>
  <c r="M94" i="3" s="1"/>
  <c r="M95" i="3" a="1"/>
  <c r="M95" i="3" s="1"/>
  <c r="M96" i="3" a="1"/>
  <c r="M96" i="3" s="1"/>
  <c r="M97" i="3" a="1"/>
  <c r="M97" i="3" s="1"/>
  <c r="M98" i="3" a="1"/>
  <c r="M98" i="3" s="1"/>
  <c r="M99" i="3" a="1"/>
  <c r="M99" i="3" s="1"/>
  <c r="M100" i="3" a="1"/>
  <c r="M100" i="3" s="1"/>
  <c r="M101" i="3" a="1"/>
  <c r="M101" i="3" s="1"/>
  <c r="M102" i="3" a="1"/>
  <c r="M102" i="3" s="1"/>
  <c r="M103" i="3" a="1"/>
  <c r="M103" i="3" s="1"/>
  <c r="M104" i="3" a="1"/>
  <c r="M104" i="3" s="1"/>
  <c r="M105" i="3" a="1"/>
  <c r="M105" i="3" s="1"/>
  <c r="M106" i="3" a="1"/>
  <c r="M106" i="3" s="1"/>
  <c r="M107" i="3" a="1"/>
  <c r="M107" i="3" s="1"/>
  <c r="M108" i="3" a="1"/>
  <c r="M108" i="3" s="1"/>
  <c r="M109" i="3" a="1"/>
  <c r="M109" i="3" s="1"/>
  <c r="M110" i="3" a="1"/>
  <c r="M110" i="3" s="1"/>
  <c r="M111" i="3" a="1"/>
  <c r="M111" i="3" s="1"/>
  <c r="M112" i="3" a="1"/>
  <c r="M112" i="3" s="1"/>
  <c r="M113" i="3" a="1"/>
  <c r="M113" i="3" s="1"/>
  <c r="M114" i="3" a="1"/>
  <c r="M114" i="3" s="1"/>
  <c r="M115" i="3" a="1"/>
  <c r="M115" i="3" s="1"/>
  <c r="M116" i="3" a="1"/>
  <c r="M116" i="3" s="1"/>
  <c r="M117" i="3" a="1"/>
  <c r="M117" i="3" s="1"/>
  <c r="M118" i="3" a="1"/>
  <c r="M118" i="3" s="1"/>
  <c r="M119" i="3" a="1"/>
  <c r="M119" i="3" s="1"/>
  <c r="M120" i="3" a="1"/>
  <c r="M120" i="3" s="1"/>
  <c r="M121" i="3" a="1"/>
  <c r="M121" i="3" s="1"/>
  <c r="M122" i="3" a="1"/>
  <c r="M122" i="3" s="1"/>
  <c r="M123" i="3" a="1"/>
  <c r="M123" i="3" s="1"/>
  <c r="M124" i="3" a="1"/>
  <c r="M124" i="3" s="1"/>
  <c r="M125" i="3" a="1"/>
  <c r="M125" i="3" s="1"/>
  <c r="M126" i="3" a="1"/>
  <c r="M126" i="3" s="1"/>
  <c r="M127" i="3" a="1"/>
  <c r="M127" i="3" s="1"/>
  <c r="M128" i="3" a="1"/>
  <c r="M128" i="3" s="1"/>
  <c r="M129" i="3" a="1"/>
  <c r="M129" i="3" s="1"/>
  <c r="M130" i="3" a="1"/>
  <c r="M130" i="3" s="1"/>
  <c r="M131" i="3" a="1"/>
  <c r="M131" i="3" s="1"/>
  <c r="M132" i="3" a="1"/>
  <c r="M132" i="3" s="1"/>
  <c r="M133" i="3" a="1"/>
  <c r="M133" i="3" s="1"/>
  <c r="M134" i="3" a="1"/>
  <c r="M134" i="3" s="1"/>
  <c r="M135" i="3" a="1"/>
  <c r="M135" i="3" s="1"/>
  <c r="M136" i="3" a="1"/>
  <c r="M136" i="3" s="1"/>
  <c r="M137" i="3" a="1"/>
  <c r="M137" i="3" s="1"/>
  <c r="M138" i="3" a="1"/>
  <c r="M138" i="3" s="1"/>
  <c r="M139" i="3" a="1"/>
  <c r="M139" i="3" s="1"/>
  <c r="M140" i="3" a="1"/>
  <c r="M140" i="3" s="1"/>
  <c r="M141" i="3" a="1"/>
  <c r="M141" i="3" s="1"/>
  <c r="M142" i="3" a="1"/>
  <c r="M142" i="3" s="1"/>
  <c r="M143" i="3" a="1"/>
  <c r="M143" i="3" s="1"/>
  <c r="M144" i="3" a="1"/>
  <c r="M144" i="3" s="1"/>
  <c r="M145" i="3" a="1"/>
  <c r="M145" i="3" s="1"/>
  <c r="M146" i="3" a="1"/>
  <c r="M146" i="3" s="1"/>
  <c r="M147" i="3" a="1"/>
  <c r="M147" i="3" s="1"/>
  <c r="M148" i="3" a="1"/>
  <c r="M148" i="3" s="1"/>
  <c r="M149" i="3" a="1"/>
  <c r="M149" i="3" s="1"/>
  <c r="M150" i="3" a="1"/>
  <c r="M150" i="3" s="1"/>
  <c r="M151" i="3" a="1"/>
  <c r="M151" i="3" s="1"/>
  <c r="M152" i="3" a="1"/>
  <c r="M152" i="3" s="1"/>
  <c r="M153" i="3" a="1"/>
  <c r="M153" i="3" s="1"/>
  <c r="M154" i="3" a="1"/>
  <c r="M154" i="3" s="1"/>
  <c r="M155" i="3" a="1"/>
  <c r="M155" i="3" s="1"/>
  <c r="M156" i="3" a="1"/>
  <c r="M156" i="3" s="1"/>
  <c r="M157" i="3" a="1"/>
  <c r="M157" i="3" s="1"/>
  <c r="M158" i="3" a="1"/>
  <c r="M158" i="3" s="1"/>
  <c r="M159" i="3" a="1"/>
  <c r="M159" i="3" s="1"/>
  <c r="M160" i="3" a="1"/>
  <c r="M160" i="3" s="1"/>
  <c r="M161" i="3" a="1"/>
  <c r="M161" i="3" s="1"/>
  <c r="M162" i="3" a="1"/>
  <c r="M162" i="3" s="1"/>
  <c r="M163" i="3" a="1"/>
  <c r="M163" i="3" s="1"/>
  <c r="M164" i="3" a="1"/>
  <c r="M164" i="3" s="1"/>
  <c r="M165" i="3" a="1"/>
  <c r="M165" i="3" s="1"/>
  <c r="M166" i="3" a="1"/>
  <c r="M166" i="3" s="1"/>
  <c r="M167" i="3" a="1"/>
  <c r="M167" i="3" s="1"/>
  <c r="M168" i="3" a="1"/>
  <c r="M168" i="3" s="1"/>
  <c r="M169" i="3" a="1"/>
  <c r="M169" i="3" s="1"/>
  <c r="M170" i="3" a="1"/>
  <c r="M170" i="3" s="1"/>
  <c r="M171" i="3" a="1"/>
  <c r="M171" i="3" s="1"/>
  <c r="M172" i="3" a="1"/>
  <c r="M172" i="3" s="1"/>
  <c r="M173" i="3" a="1"/>
  <c r="M173" i="3" s="1"/>
  <c r="M174" i="3" a="1"/>
  <c r="M174" i="3" s="1"/>
  <c r="M175" i="3" a="1"/>
  <c r="M175" i="3" s="1"/>
  <c r="M176" i="3" a="1"/>
  <c r="M176" i="3" s="1"/>
  <c r="M177" i="3" a="1"/>
  <c r="M177" i="3" s="1"/>
  <c r="M178" i="3" a="1"/>
  <c r="M178" i="3" s="1"/>
  <c r="M179" i="3" a="1"/>
  <c r="M179" i="3" s="1"/>
  <c r="M180" i="3" a="1"/>
  <c r="M180" i="3" s="1"/>
  <c r="M181" i="3" a="1"/>
  <c r="M181" i="3" s="1"/>
  <c r="M182" i="3" a="1"/>
  <c r="M182" i="3" s="1"/>
  <c r="M183" i="3" a="1"/>
  <c r="M183" i="3" s="1"/>
  <c r="M184" i="3" a="1"/>
  <c r="M184" i="3" s="1"/>
  <c r="M185" i="3" a="1"/>
  <c r="M185" i="3" s="1"/>
  <c r="M186" i="3" a="1"/>
  <c r="M186" i="3" s="1"/>
  <c r="M187" i="3" a="1"/>
  <c r="M187" i="3" s="1"/>
  <c r="M188" i="3" a="1"/>
  <c r="M188" i="3" s="1"/>
  <c r="M189" i="3" a="1"/>
  <c r="M189" i="3" s="1"/>
  <c r="M190" i="3" a="1"/>
  <c r="M190" i="3" s="1"/>
  <c r="M191" i="3" a="1"/>
  <c r="M191" i="3" s="1"/>
  <c r="M192" i="3" a="1"/>
  <c r="M192" i="3" s="1"/>
  <c r="M193" i="3" a="1"/>
  <c r="M193" i="3" s="1"/>
  <c r="M194" i="3" a="1"/>
  <c r="M194" i="3" s="1"/>
  <c r="M195" i="3" a="1"/>
  <c r="M195" i="3" s="1"/>
  <c r="M196" i="3" a="1"/>
  <c r="M196" i="3" s="1"/>
  <c r="M197" i="3" a="1"/>
  <c r="M197" i="3" s="1"/>
  <c r="M198" i="3" a="1"/>
  <c r="M198" i="3" s="1"/>
  <c r="M199" i="3" a="1"/>
  <c r="M199" i="3" s="1"/>
  <c r="M200" i="3" a="1"/>
  <c r="M200" i="3" s="1"/>
  <c r="M201" i="3" a="1"/>
  <c r="M201" i="3" s="1"/>
  <c r="M202" i="3" a="1"/>
  <c r="M202" i="3" s="1"/>
  <c r="M203" i="3" a="1"/>
  <c r="M203" i="3" s="1"/>
  <c r="M204" i="3" a="1"/>
  <c r="M204" i="3" s="1"/>
  <c r="M205" i="3" a="1"/>
  <c r="M205" i="3" s="1"/>
  <c r="M206" i="3" a="1"/>
  <c r="M206" i="3" s="1"/>
  <c r="M207" i="3" a="1"/>
  <c r="M207" i="3" s="1"/>
  <c r="M208" i="3" a="1"/>
  <c r="M208" i="3" s="1"/>
  <c r="M209" i="3" a="1"/>
  <c r="M209" i="3" s="1"/>
  <c r="M210" i="3" a="1"/>
  <c r="M210" i="3" s="1"/>
  <c r="M211" i="3" a="1"/>
  <c r="M211" i="3" s="1"/>
  <c r="M212" i="3" a="1"/>
  <c r="M212" i="3" s="1"/>
  <c r="M213" i="3" a="1"/>
  <c r="M213" i="3" s="1"/>
  <c r="M214" i="3" a="1"/>
  <c r="M214" i="3" s="1"/>
  <c r="M215" i="3" a="1"/>
  <c r="M215" i="3" s="1"/>
  <c r="M216" i="3" a="1"/>
  <c r="M216" i="3" s="1"/>
  <c r="M217" i="3" a="1"/>
  <c r="M217" i="3" s="1"/>
  <c r="M218" i="3" a="1"/>
  <c r="M218" i="3" s="1"/>
  <c r="M219" i="3" a="1"/>
  <c r="M219" i="3" s="1"/>
  <c r="M220" i="3" a="1"/>
  <c r="M220" i="3" s="1"/>
  <c r="M221" i="3" a="1"/>
  <c r="M221" i="3" s="1"/>
  <c r="M222" i="3" a="1"/>
  <c r="M222" i="3" s="1"/>
  <c r="M223" i="3" a="1"/>
  <c r="M223" i="3" s="1"/>
  <c r="M224" i="3" a="1"/>
  <c r="M224" i="3" s="1"/>
  <c r="M225" i="3" a="1"/>
  <c r="M225" i="3" s="1"/>
  <c r="M226" i="3" a="1"/>
  <c r="M226" i="3" s="1"/>
  <c r="M227" i="3" a="1"/>
  <c r="M227" i="3" s="1"/>
  <c r="M228" i="3" a="1"/>
  <c r="M228" i="3" s="1"/>
  <c r="M229" i="3" a="1"/>
  <c r="M229" i="3" s="1"/>
  <c r="M230" i="3" a="1"/>
  <c r="M230" i="3" s="1"/>
  <c r="M231" i="3" a="1"/>
  <c r="M231" i="3" s="1"/>
  <c r="M232" i="3" a="1"/>
  <c r="M232" i="3" s="1"/>
  <c r="M233" i="3" a="1"/>
  <c r="M233" i="3" s="1"/>
  <c r="M234" i="3" a="1"/>
  <c r="M234" i="3" s="1"/>
  <c r="M235" i="3" a="1"/>
  <c r="M235" i="3" s="1"/>
  <c r="M236" i="3" a="1"/>
  <c r="M236" i="3" s="1"/>
  <c r="M237" i="3" a="1"/>
  <c r="M237" i="3" s="1"/>
  <c r="M238" i="3" a="1"/>
  <c r="M238" i="3" s="1"/>
  <c r="M239" i="3" a="1"/>
  <c r="M239" i="3" s="1"/>
  <c r="M240" i="3" a="1"/>
  <c r="M240" i="3" s="1"/>
  <c r="M241" i="3" a="1"/>
  <c r="M241" i="3" s="1"/>
  <c r="M242" i="3" a="1"/>
  <c r="M242" i="3" s="1"/>
  <c r="M243" i="3" a="1"/>
  <c r="M243" i="3" s="1"/>
  <c r="M244" i="3" a="1"/>
  <c r="M244" i="3" s="1"/>
  <c r="M245" i="3" a="1"/>
  <c r="M245" i="3" s="1"/>
  <c r="M246" i="3" a="1"/>
  <c r="M246" i="3" s="1"/>
  <c r="M247" i="3" a="1"/>
  <c r="M247" i="3" s="1"/>
  <c r="M248" i="3" a="1"/>
  <c r="M248" i="3" s="1"/>
  <c r="M249" i="3" a="1"/>
  <c r="M249" i="3" s="1"/>
  <c r="M250" i="3" a="1"/>
  <c r="M250" i="3" s="1"/>
  <c r="M251" i="3" a="1"/>
  <c r="M251" i="3" s="1"/>
  <c r="M252" i="3" a="1"/>
  <c r="M252" i="3" s="1"/>
  <c r="M253" i="3" a="1"/>
  <c r="M253" i="3" s="1"/>
  <c r="M254" i="3" a="1"/>
  <c r="M254" i="3" s="1"/>
  <c r="M255" i="3" a="1"/>
  <c r="M255" i="3" s="1"/>
  <c r="M256" i="3" a="1"/>
  <c r="M256" i="3" s="1"/>
  <c r="M257" i="3" a="1"/>
  <c r="M257" i="3" s="1"/>
  <c r="M258" i="3" a="1"/>
  <c r="M258" i="3" s="1"/>
  <c r="M259" i="3" a="1"/>
  <c r="M259" i="3" s="1"/>
  <c r="M260" i="3" a="1"/>
  <c r="M260" i="3" s="1"/>
  <c r="M261" i="3" a="1"/>
  <c r="M261" i="3" s="1"/>
  <c r="M262" i="3" a="1"/>
  <c r="M262" i="3" s="1"/>
  <c r="M263" i="3" a="1"/>
  <c r="M263" i="3" s="1"/>
  <c r="M264" i="3" a="1"/>
  <c r="M264" i="3" s="1"/>
  <c r="M265" i="3" a="1"/>
  <c r="M265" i="3" s="1"/>
  <c r="M266" i="3" a="1"/>
  <c r="M266" i="3" s="1"/>
  <c r="M267" i="3" a="1"/>
  <c r="M267" i="3" s="1"/>
  <c r="M268" i="3" a="1"/>
  <c r="M268" i="3" s="1"/>
  <c r="M269" i="3" a="1"/>
  <c r="M269" i="3" s="1"/>
  <c r="M270" i="3" a="1"/>
  <c r="M270" i="3" s="1"/>
  <c r="M271" i="3" a="1"/>
  <c r="M271" i="3" s="1"/>
  <c r="M272" i="3" a="1"/>
  <c r="M272" i="3" s="1"/>
  <c r="M273" i="3" a="1"/>
  <c r="M273" i="3" s="1"/>
  <c r="M274" i="3" a="1"/>
  <c r="M274" i="3" s="1"/>
  <c r="M275" i="3" a="1"/>
  <c r="M275" i="3" s="1"/>
  <c r="M276" i="3" a="1"/>
  <c r="M276" i="3" s="1"/>
  <c r="M277" i="3" a="1"/>
  <c r="M277" i="3" s="1"/>
  <c r="M278" i="3" a="1"/>
  <c r="M278" i="3" s="1"/>
  <c r="M279" i="3" a="1"/>
  <c r="M279" i="3" s="1"/>
  <c r="M280" i="3" a="1"/>
  <c r="M280" i="3" s="1"/>
  <c r="M281" i="3" a="1"/>
  <c r="M281" i="3" s="1"/>
  <c r="M282" i="3" a="1"/>
  <c r="M282" i="3" s="1"/>
  <c r="M283" i="3" a="1"/>
  <c r="M283" i="3" s="1"/>
  <c r="M284" i="3" a="1"/>
  <c r="M284" i="3" s="1"/>
  <c r="M285" i="3" a="1"/>
  <c r="M285" i="3" s="1"/>
  <c r="M286" i="3" a="1"/>
  <c r="M286" i="3" s="1"/>
  <c r="M287" i="3" a="1"/>
  <c r="M287" i="3" s="1"/>
  <c r="M288" i="3" a="1"/>
  <c r="M288" i="3" s="1"/>
  <c r="M289" i="3" a="1"/>
  <c r="M289" i="3" s="1"/>
  <c r="M290" i="3" a="1"/>
  <c r="M290" i="3" s="1"/>
  <c r="M291" i="3" a="1"/>
  <c r="M291" i="3" s="1"/>
  <c r="M292" i="3" a="1"/>
  <c r="M292" i="3" s="1"/>
  <c r="M293" i="3" a="1"/>
  <c r="M293" i="3" s="1"/>
  <c r="M294" i="3" a="1"/>
  <c r="M294" i="3" s="1"/>
  <c r="M295" i="3" a="1"/>
  <c r="M295" i="3" s="1"/>
  <c r="M296" i="3" a="1"/>
  <c r="M296" i="3" s="1"/>
  <c r="M297" i="3" a="1"/>
  <c r="M297" i="3" s="1"/>
  <c r="M298" i="3" a="1"/>
  <c r="M298" i="3" s="1"/>
  <c r="M299" i="3" a="1"/>
  <c r="M299" i="3" s="1"/>
  <c r="M300" i="3" a="1"/>
  <c r="M300" i="3" s="1"/>
  <c r="M301" i="3" a="1"/>
  <c r="M301" i="3" s="1"/>
  <c r="M302" i="3" a="1"/>
  <c r="M302" i="3" s="1"/>
  <c r="M303" i="3" a="1"/>
  <c r="M303" i="3" s="1"/>
  <c r="M304" i="3" a="1"/>
  <c r="M304" i="3" s="1"/>
  <c r="M305" i="3" a="1"/>
  <c r="M305" i="3" s="1"/>
  <c r="M306" i="3" a="1"/>
  <c r="M306" i="3" s="1"/>
  <c r="M307" i="3" a="1"/>
  <c r="M307" i="3" s="1"/>
  <c r="M308" i="3" a="1"/>
  <c r="M308" i="3" s="1"/>
  <c r="M309" i="3" a="1"/>
  <c r="M309" i="3" s="1"/>
  <c r="M310" i="3" a="1"/>
  <c r="M310" i="3" s="1"/>
  <c r="M311" i="3" a="1"/>
  <c r="M311" i="3" s="1"/>
  <c r="M312" i="3" a="1"/>
  <c r="M312" i="3" s="1"/>
  <c r="M313" i="3" a="1"/>
  <c r="M313" i="3" s="1"/>
  <c r="M314" i="3" a="1"/>
  <c r="M314" i="3" s="1"/>
  <c r="M315" i="3" a="1"/>
  <c r="M315" i="3" s="1"/>
  <c r="M316" i="3" a="1"/>
  <c r="M316" i="3" s="1"/>
  <c r="M317" i="3" a="1"/>
  <c r="M317" i="3" s="1"/>
  <c r="M318" i="3" a="1"/>
  <c r="M318" i="3" s="1"/>
  <c r="M319" i="3" a="1"/>
  <c r="M319" i="3" s="1"/>
  <c r="M320" i="3" a="1"/>
  <c r="M320" i="3" s="1"/>
  <c r="M321" i="3" a="1"/>
  <c r="M321" i="3" s="1"/>
  <c r="M322" i="3" a="1"/>
  <c r="M322" i="3" s="1"/>
  <c r="M323" i="3" a="1"/>
  <c r="M323" i="3" s="1"/>
  <c r="M324" i="3" a="1"/>
  <c r="M324" i="3" s="1"/>
  <c r="M325" i="3" a="1"/>
  <c r="M325" i="3" s="1"/>
  <c r="M326" i="3" a="1"/>
  <c r="M326" i="3" s="1"/>
  <c r="M327" i="3" a="1"/>
  <c r="M327" i="3" s="1"/>
  <c r="M328" i="3" a="1"/>
  <c r="M328" i="3" s="1"/>
  <c r="M329" i="3" a="1"/>
  <c r="M329" i="3" s="1"/>
  <c r="M330" i="3" a="1"/>
  <c r="M330" i="3" s="1"/>
  <c r="M331" i="3" a="1"/>
  <c r="M331" i="3" s="1"/>
  <c r="M332" i="3" a="1"/>
  <c r="M332" i="3" s="1"/>
  <c r="M333" i="3" a="1"/>
  <c r="M333" i="3" s="1"/>
  <c r="M334" i="3" a="1"/>
  <c r="M334" i="3" s="1"/>
  <c r="M335" i="3" a="1"/>
  <c r="M335" i="3" s="1"/>
  <c r="M336" i="3" a="1"/>
  <c r="M336" i="3" s="1"/>
  <c r="M337" i="3" a="1"/>
  <c r="M337" i="3" s="1"/>
  <c r="M338" i="3" a="1"/>
  <c r="M338" i="3" s="1"/>
  <c r="M339" i="3" a="1"/>
  <c r="M339" i="3" s="1"/>
  <c r="M340" i="3" a="1"/>
  <c r="M340" i="3" s="1"/>
  <c r="M341" i="3" a="1"/>
  <c r="M341" i="3" s="1"/>
  <c r="M342" i="3" a="1"/>
  <c r="M342" i="3" s="1"/>
  <c r="M343" i="3" a="1"/>
  <c r="M343" i="3" s="1"/>
  <c r="M344" i="3" a="1"/>
  <c r="M344" i="3" s="1"/>
  <c r="M345" i="3" a="1"/>
  <c r="M345" i="3" s="1"/>
  <c r="M346" i="3" a="1"/>
  <c r="M346" i="3" s="1"/>
  <c r="M347" i="3" a="1"/>
  <c r="M347" i="3" s="1"/>
  <c r="M348" i="3" a="1"/>
  <c r="M348" i="3" s="1"/>
  <c r="M349" i="3" a="1"/>
  <c r="M349" i="3" s="1"/>
  <c r="M350" i="3" a="1"/>
  <c r="M350" i="3" s="1"/>
  <c r="M351" i="3" a="1"/>
  <c r="M351" i="3" s="1"/>
  <c r="M352" i="3" a="1"/>
  <c r="M352" i="3" s="1"/>
  <c r="M353" i="3" a="1"/>
  <c r="M353" i="3" s="1"/>
  <c r="M354" i="3" a="1"/>
  <c r="M354" i="3" s="1"/>
  <c r="M355" i="3" a="1"/>
  <c r="M355" i="3" s="1"/>
  <c r="M356" i="3" a="1"/>
  <c r="M356" i="3" s="1"/>
  <c r="M357" i="3" a="1"/>
  <c r="M357" i="3" s="1"/>
  <c r="M358" i="3" a="1"/>
  <c r="M358" i="3" s="1"/>
  <c r="M359" i="3" a="1"/>
  <c r="M359" i="3" s="1"/>
  <c r="M360" i="3" a="1"/>
  <c r="M360" i="3" s="1"/>
  <c r="M361" i="3" a="1"/>
  <c r="M361" i="3" s="1"/>
  <c r="M362" i="3" a="1"/>
  <c r="M362" i="3" s="1"/>
  <c r="M363" i="3" a="1"/>
  <c r="M363" i="3" s="1"/>
  <c r="M364" i="3" a="1"/>
  <c r="M364" i="3" s="1"/>
  <c r="M365" i="3" a="1"/>
  <c r="M365" i="3" s="1"/>
  <c r="M366" i="3" a="1"/>
  <c r="M366" i="3" s="1"/>
  <c r="M367" i="3" a="1"/>
  <c r="M367" i="3" s="1"/>
  <c r="M368" i="3" a="1"/>
  <c r="M368" i="3" s="1"/>
  <c r="M369" i="3" a="1"/>
  <c r="M369" i="3" s="1"/>
  <c r="M370" i="3" a="1"/>
  <c r="M370" i="3" s="1"/>
  <c r="M371" i="3" a="1"/>
  <c r="M371" i="3" s="1"/>
  <c r="M372" i="3" a="1"/>
  <c r="M372" i="3" s="1"/>
  <c r="M373" i="3" a="1"/>
  <c r="M373" i="3" s="1"/>
  <c r="M374" i="3" a="1"/>
  <c r="M374" i="3" s="1"/>
  <c r="M375" i="3" a="1"/>
  <c r="M375" i="3" s="1"/>
  <c r="M376" i="3" a="1"/>
  <c r="M376" i="3" s="1"/>
  <c r="M377" i="3" a="1"/>
  <c r="M377" i="3" s="1"/>
  <c r="M378" i="3" a="1"/>
  <c r="M378" i="3" s="1"/>
  <c r="M379" i="3" a="1"/>
  <c r="M379" i="3" s="1"/>
  <c r="M380" i="3" a="1"/>
  <c r="M380" i="3" s="1"/>
  <c r="M381" i="3" a="1"/>
  <c r="M381" i="3" s="1"/>
  <c r="M382" i="3" a="1"/>
  <c r="M382" i="3" s="1"/>
  <c r="M383" i="3" a="1"/>
  <c r="M383" i="3" s="1"/>
  <c r="M384" i="3" a="1"/>
  <c r="M384" i="3" s="1"/>
  <c r="M385" i="3" a="1"/>
  <c r="M385" i="3" s="1"/>
  <c r="M386" i="3" a="1"/>
  <c r="M386" i="3" s="1"/>
  <c r="M387" i="3" a="1"/>
  <c r="M387" i="3" s="1"/>
  <c r="M388" i="3" a="1"/>
  <c r="M388" i="3" s="1"/>
  <c r="M389" i="3" a="1"/>
  <c r="M389" i="3" s="1"/>
  <c r="M390" i="3" a="1"/>
  <c r="M390" i="3" s="1"/>
  <c r="M391" i="3" a="1"/>
  <c r="M391" i="3" s="1"/>
  <c r="M392" i="3" a="1"/>
  <c r="M392" i="3" s="1"/>
  <c r="M393" i="3" a="1"/>
  <c r="M393" i="3" s="1"/>
  <c r="M394" i="3" a="1"/>
  <c r="M394" i="3" s="1"/>
  <c r="M395" i="3" a="1"/>
  <c r="M395" i="3" s="1"/>
  <c r="M396" i="3" a="1"/>
  <c r="M396" i="3" s="1"/>
  <c r="M397" i="3" a="1"/>
  <c r="M397" i="3" s="1"/>
  <c r="M398" i="3" a="1"/>
  <c r="M398" i="3" s="1"/>
  <c r="M399" i="3" a="1"/>
  <c r="M399" i="3" s="1"/>
  <c r="M400" i="3" a="1"/>
  <c r="M400" i="3" s="1"/>
  <c r="M401" i="3" a="1"/>
  <c r="M401" i="3" s="1"/>
  <c r="M402" i="3" a="1"/>
  <c r="M402" i="3" s="1"/>
  <c r="M403" i="3" a="1"/>
  <c r="M403" i="3" s="1"/>
  <c r="M404" i="3" a="1"/>
  <c r="M404" i="3" s="1"/>
  <c r="M405" i="3" a="1"/>
  <c r="M405" i="3" s="1"/>
  <c r="M406" i="3" a="1"/>
  <c r="M406" i="3" s="1"/>
  <c r="M407" i="3" a="1"/>
  <c r="M407" i="3" s="1"/>
  <c r="M408" i="3" a="1"/>
  <c r="M408" i="3" s="1"/>
  <c r="M409" i="3" a="1"/>
  <c r="M409" i="3" s="1"/>
  <c r="M410" i="3" a="1"/>
  <c r="M410" i="3" s="1"/>
  <c r="M411" i="3" a="1"/>
  <c r="M411" i="3" s="1"/>
  <c r="M412" i="3" a="1"/>
  <c r="M412" i="3" s="1"/>
  <c r="M413" i="3" a="1"/>
  <c r="M413" i="3" s="1"/>
  <c r="M414" i="3" a="1"/>
  <c r="M414" i="3" s="1"/>
  <c r="M415" i="3" a="1"/>
  <c r="M415" i="3" s="1"/>
  <c r="M416" i="3" a="1"/>
  <c r="M416" i="3" s="1"/>
  <c r="M417" i="3" a="1"/>
  <c r="M417" i="3" s="1"/>
  <c r="M418" i="3" a="1"/>
  <c r="M418" i="3" s="1"/>
  <c r="M419" i="3" a="1"/>
  <c r="M419" i="3" s="1"/>
  <c r="M420" i="3" a="1"/>
  <c r="M420" i="3" s="1"/>
  <c r="M421" i="3" a="1"/>
  <c r="M421" i="3" s="1"/>
  <c r="M422" i="3" a="1"/>
  <c r="M422" i="3" s="1"/>
  <c r="M423" i="3" a="1"/>
  <c r="M423" i="3" s="1"/>
  <c r="M424" i="3" a="1"/>
  <c r="M424" i="3" s="1"/>
  <c r="M425" i="3" a="1"/>
  <c r="M425" i="3" s="1"/>
  <c r="M426" i="3" a="1"/>
  <c r="M426" i="3" s="1"/>
  <c r="M427" i="3" a="1"/>
  <c r="M427" i="3" s="1"/>
  <c r="M428" i="3" a="1"/>
  <c r="M428" i="3" s="1"/>
  <c r="M429" i="3" a="1"/>
  <c r="M429" i="3" s="1"/>
  <c r="M430" i="3" a="1"/>
  <c r="M430" i="3" s="1"/>
  <c r="M431" i="3" a="1"/>
  <c r="M431" i="3" s="1"/>
  <c r="M432" i="3" a="1"/>
  <c r="M432" i="3" s="1"/>
  <c r="M433" i="3" a="1"/>
  <c r="M433" i="3" s="1"/>
  <c r="M434" i="3" a="1"/>
  <c r="M434" i="3" s="1"/>
  <c r="M435" i="3" a="1"/>
  <c r="M435" i="3" s="1"/>
  <c r="M436" i="3" a="1"/>
  <c r="M436" i="3" s="1"/>
  <c r="M437" i="3" a="1"/>
  <c r="M437" i="3" s="1"/>
  <c r="M438" i="3" a="1"/>
  <c r="M438" i="3" s="1"/>
  <c r="M439" i="3" a="1"/>
  <c r="M439" i="3" s="1"/>
  <c r="M440" i="3" a="1"/>
  <c r="M440" i="3" s="1"/>
  <c r="M441" i="3" a="1"/>
  <c r="M441" i="3" s="1"/>
  <c r="M442" i="3" a="1"/>
  <c r="M442" i="3" s="1"/>
  <c r="M443" i="3" a="1"/>
  <c r="M443" i="3" s="1"/>
  <c r="M444" i="3" a="1"/>
  <c r="M444" i="3" s="1"/>
  <c r="M445" i="3" a="1"/>
  <c r="M445" i="3" s="1"/>
  <c r="M446" i="3" a="1"/>
  <c r="M446" i="3" s="1"/>
  <c r="M447" i="3" a="1"/>
  <c r="M447" i="3" s="1"/>
  <c r="M448" i="3" a="1"/>
  <c r="M448" i="3" s="1"/>
  <c r="M449" i="3" a="1"/>
  <c r="M449" i="3" s="1"/>
  <c r="M450" i="3" a="1"/>
  <c r="M450" i="3" s="1"/>
  <c r="M451" i="3" a="1"/>
  <c r="M451" i="3" s="1"/>
  <c r="M452" i="3" a="1"/>
  <c r="M452" i="3" s="1"/>
  <c r="M453" i="3" a="1"/>
  <c r="M453" i="3" s="1"/>
  <c r="M454" i="3" a="1"/>
  <c r="M454" i="3" s="1"/>
  <c r="M455" i="3" a="1"/>
  <c r="M455" i="3" s="1"/>
  <c r="M456" i="3" a="1"/>
  <c r="M456" i="3" s="1"/>
  <c r="M457" i="3" a="1"/>
  <c r="M457" i="3" s="1"/>
  <c r="M458" i="3" a="1"/>
  <c r="M458" i="3" s="1"/>
  <c r="M459" i="3" a="1"/>
  <c r="M459" i="3" s="1"/>
  <c r="M460" i="3" a="1"/>
  <c r="M460" i="3" s="1"/>
  <c r="M461" i="3" a="1"/>
  <c r="M461" i="3" s="1"/>
  <c r="M462" i="3" a="1"/>
  <c r="M462" i="3" s="1"/>
  <c r="M463" i="3" a="1"/>
  <c r="M463" i="3" s="1"/>
  <c r="M464" i="3" a="1"/>
  <c r="M464" i="3" s="1"/>
  <c r="M465" i="3" a="1"/>
  <c r="M465" i="3" s="1"/>
  <c r="M466" i="3" a="1"/>
  <c r="M466" i="3" s="1"/>
  <c r="M467" i="3" a="1"/>
  <c r="M467" i="3" s="1"/>
  <c r="M468" i="3" a="1"/>
  <c r="M468" i="3" s="1"/>
  <c r="M469" i="3" a="1"/>
  <c r="M469" i="3" s="1"/>
  <c r="M470" i="3" a="1"/>
  <c r="M470" i="3" s="1"/>
  <c r="M471" i="3" a="1"/>
  <c r="M471" i="3" s="1"/>
  <c r="M472" i="3" a="1"/>
  <c r="M472" i="3" s="1"/>
  <c r="M473" i="3" a="1"/>
  <c r="M473" i="3" s="1"/>
  <c r="M474" i="3" a="1"/>
  <c r="M474" i="3" s="1"/>
  <c r="M475" i="3" a="1"/>
  <c r="M475" i="3" s="1"/>
  <c r="M476" i="3" a="1"/>
  <c r="M476" i="3" s="1"/>
  <c r="M477" i="3" a="1"/>
  <c r="M477" i="3" s="1"/>
  <c r="M478" i="3" a="1"/>
  <c r="M478" i="3" s="1"/>
  <c r="M479" i="3" a="1"/>
  <c r="M479" i="3" s="1"/>
  <c r="M480" i="3" a="1"/>
  <c r="M480" i="3" s="1"/>
  <c r="M481" i="3" a="1"/>
  <c r="M481" i="3" s="1"/>
  <c r="M482" i="3" a="1"/>
  <c r="M482" i="3" s="1"/>
  <c r="M483" i="3" a="1"/>
  <c r="M483" i="3" s="1"/>
  <c r="M484" i="3" a="1"/>
  <c r="M484" i="3" s="1"/>
  <c r="M485" i="3" a="1"/>
  <c r="M485" i="3" s="1"/>
  <c r="M486" i="3" a="1"/>
  <c r="M486" i="3" s="1"/>
  <c r="M487" i="3" a="1"/>
  <c r="M487" i="3" s="1"/>
  <c r="M488" i="3" a="1"/>
  <c r="M488" i="3" s="1"/>
  <c r="M489" i="3" a="1"/>
  <c r="M489" i="3" s="1"/>
  <c r="M490" i="3" a="1"/>
  <c r="M490" i="3" s="1"/>
  <c r="M491" i="3" a="1"/>
  <c r="M491" i="3" s="1"/>
  <c r="M492" i="3" a="1"/>
  <c r="M492" i="3" s="1"/>
  <c r="M493" i="3" a="1"/>
  <c r="M493" i="3" s="1"/>
  <c r="M494" i="3" a="1"/>
  <c r="M494" i="3" s="1"/>
  <c r="M495" i="3" a="1"/>
  <c r="M495" i="3" s="1"/>
  <c r="M496" i="3" a="1"/>
  <c r="M496" i="3" s="1"/>
  <c r="M497" i="3" a="1"/>
  <c r="M497" i="3" s="1"/>
  <c r="M498" i="3" a="1"/>
  <c r="M498" i="3" s="1"/>
  <c r="M499" i="3" a="1"/>
  <c r="M499" i="3" s="1"/>
  <c r="M500" i="3" a="1"/>
  <c r="M500" i="3" s="1"/>
  <c r="M501" i="3" a="1"/>
  <c r="M501" i="3" s="1"/>
  <c r="M502" i="3" a="1"/>
  <c r="M502" i="3" s="1"/>
  <c r="M503" i="3" a="1"/>
  <c r="M503" i="3" s="1"/>
  <c r="M504" i="3" a="1"/>
  <c r="M504" i="3" s="1"/>
  <c r="M505" i="3" a="1"/>
  <c r="M505" i="3" s="1"/>
  <c r="M506" i="3" a="1"/>
  <c r="M506" i="3" s="1"/>
  <c r="M507" i="3" a="1"/>
  <c r="M507" i="3" s="1"/>
  <c r="M508" i="3" a="1"/>
  <c r="M508" i="3" s="1"/>
  <c r="M509" i="3" a="1"/>
  <c r="M509" i="3" s="1"/>
  <c r="M510" i="3" a="1"/>
  <c r="M510" i="3" s="1"/>
  <c r="M511" i="3" a="1"/>
  <c r="M511" i="3" s="1"/>
  <c r="M512" i="3" a="1"/>
  <c r="M512" i="3" s="1"/>
  <c r="M513" i="3" a="1"/>
  <c r="M513" i="3" s="1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N17" i="3" l="1" a="1"/>
  <c r="N17" i="3" s="1"/>
  <c r="M17" i="3" a="1"/>
  <c r="M17" i="3" s="1"/>
  <c r="N16" i="3" a="1"/>
  <c r="N16" i="3" s="1"/>
  <c r="M16" i="3" a="1"/>
  <c r="M16" i="3" s="1"/>
  <c r="L18" i="3" l="1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E96F5F-121C-4EDF-946D-F7C142830C06}" keepAlive="1" name="Query - Q_BU" description="Connection to the 'Q_BU' query in the workbook." type="5" refreshedVersion="8" background="1" saveData="1">
    <dbPr connection="Provider=Microsoft.Mashup.OleDb.1;Data Source=$Workbook$;Location=Q_BU;Extended Properties=&quot;&quot;" command="SELECT * FROM [Q_BU]"/>
  </connection>
  <connection id="2" xr16:uid="{E90EC65B-450C-411C-83CC-0FB4B0258AAB}" keepAlive="1" name="Query - Q_Buyer" description="Connection to the 'Q_Buyer' query in the workbook." type="5" refreshedVersion="8" background="1" saveData="1">
    <dbPr connection="Provider=Microsoft.Mashup.OleDb.1;Data Source=$Workbook$;Location=Q_Buyer;Extended Properties=&quot;&quot;" command="SELECT * FROM [Q_Buyer]"/>
  </connection>
  <connection id="3" xr16:uid="{4559F6E1-2ECD-45B4-9FCC-A6208D62F93A}" keepAlive="1" name="Query - Q_DataValidation_Cache" description="Connection to the 'Q_DataValidation_Cache' query in the workbook." type="5" refreshedVersion="8" background="1" saveData="1">
    <dbPr connection="Provider=Microsoft.Mashup.OleDb.1;Data Source=$Workbook$;Location=Q_DataValidation_Cache;Extended Properties=&quot;&quot;" command="SELECT * FROM [Q_DataValidation_Cache]"/>
  </connection>
  <connection id="4" xr16:uid="{C732174F-9366-4668-A28B-A06998D2DD5B}" keepAlive="1" name="Query - Q_DataValidation_Source_Master" description="Connection to the 'Q_DataValidation_Source_Master' query in the workbook." type="5" refreshedVersion="8" background="1" saveData="1">
    <dbPr connection="Provider=Microsoft.Mashup.OleDb.1;Data Source=$Workbook$;Location=Q_DataValidation_Source_Master;Extended Properties=&quot;&quot;" command="SELECT * FROM [Q_DataValidation_Source_Master]"/>
  </connection>
  <connection id="5" xr16:uid="{254C9F67-5254-4373-8C76-8EA81D86C0DF}" keepAlive="1" name="Query - Q_Entity" description="Connection to the 'Q_Entity' query in the workbook." type="5" refreshedVersion="8" background="1" saveData="1">
    <dbPr connection="Provider=Microsoft.Mashup.OleDb.1;Data Source=$Workbook$;Location=Q_Entity;Extended Properties=&quot;&quot;" command="SELECT * FROM [Q_Entity]"/>
  </connection>
  <connection id="6" xr16:uid="{256CFE09-94F3-4B59-8921-2815718F022F}" keepAlive="1" name="Query - Q_Item_type" description="Connection to the 'Q_Item_type' query in the workbook." type="5" refreshedVersion="8" background="1" saveData="1">
    <dbPr connection="Provider=Microsoft.Mashup.OleDb.1;Data Source=$Workbook$;Location=Q_Item_type;Extended Properties=&quot;&quot;" command="SELECT * FROM [Q_Item_type]"/>
  </connection>
  <connection id="7" xr16:uid="{EA9ED069-4F57-44DD-94A2-A899F1F88D7B}" keepAlive="1" name="Query - Q_Location" description="Connection to the 'Q_Location' query in the workbook." type="5" refreshedVersion="8" background="1" saveData="1">
    <dbPr connection="Provider=Microsoft.Mashup.OleDb.1;Data Source=$Workbook$;Location=Q_Location;Extended Properties=&quot;&quot;" command="SELECT * FROM [Q_Location]"/>
  </connection>
  <connection id="8" xr16:uid="{A2B36B5E-CEE2-4C0B-9046-814B5D35F79A}" keepAlive="1" name="Query - Q_Projects" description="Connection to the 'Q_Projects' query in the workbook." type="5" refreshedVersion="8" background="1" saveData="1">
    <dbPr connection="Provider=Microsoft.Mashup.OleDb.1;Data Source=$Workbook$;Location=Q_Projects;Extended Properties=&quot;&quot;" command="SELECT * FROM [Q_Projects]"/>
  </connection>
  <connection id="9" xr16:uid="{3916CB11-1339-439A-B6F8-40FED7879684}" keepAlive="1" name="Query - Q_Request_type" description="Connection to the 'Q_Request_type' query in the workbook." type="5" refreshedVersion="8" background="1" saveData="1">
    <dbPr connection="Provider=Microsoft.Mashup.OleDb.1;Data Source=$Workbook$;Location=Q_Request_type;Extended Properties=&quot;&quot;" command="SELECT * FROM [Q_Request_type]"/>
  </connection>
  <connection id="10" xr16:uid="{906634F6-DECC-42DC-A554-B4F9294C85F4}" keepAlive="1" name="Query - Q_Requester" description="Connection to the 'Q_Requester' query in the workbook." type="5" refreshedVersion="8" background="1" saveData="1">
    <dbPr connection="Provider=Microsoft.Mashup.OleDb.1;Data Source=$Workbook$;Location=Q_Requester;Extended Properties=&quot;&quot;" command="SELECT * FROM [Q_Requester]"/>
  </connection>
  <connection id="11" xr16:uid="{4A7628F2-103C-484A-850A-0CE28AA2DD2E}" keepAlive="1" name="Query - Q_Warehouse_Rep" description="Connection to the 'Q_Warehouse_Rep' query in the workbook." type="5" refreshedVersion="8" background="1" saveData="1">
    <dbPr connection="Provider=Microsoft.Mashup.OleDb.1;Data Source=$Workbook$;Location=Q_Warehouse_Rep;Extended Properties=&quot;&quot;" command="SELECT * FROM [Q_Warehouse_Re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<sst xmlns="http://schemas.openxmlformats.org/spreadsheetml/2006/main" count="44607" uniqueCount="2138">
  <si>
    <t>AERTSSEN MACHINERY SERVICES LTD.</t>
  </si>
  <si>
    <t>INTERNAL PURCHASE REQUISITION FORM</t>
  </si>
  <si>
    <t>Request number</t>
  </si>
  <si>
    <t>Subject</t>
  </si>
  <si>
    <t>Request date (dd/mm/yy)</t>
  </si>
  <si>
    <t>Request type</t>
  </si>
  <si>
    <t>Actual Purchase</t>
  </si>
  <si>
    <t>Item type</t>
  </si>
  <si>
    <t>Material | Spare parts</t>
  </si>
  <si>
    <t>Entity</t>
  </si>
  <si>
    <t>CA</t>
  </si>
  <si>
    <t>Business Unit</t>
  </si>
  <si>
    <t>BU 135</t>
  </si>
  <si>
    <t>Required by (dd/mm/yy)</t>
  </si>
  <si>
    <t>Location / Site</t>
  </si>
  <si>
    <t>Asset Number</t>
  </si>
  <si>
    <t>Requester</t>
  </si>
  <si>
    <t>Shahfeen Shamsudheen</t>
  </si>
  <si>
    <r>
      <t>ProjectID</t>
    </r>
    <r>
      <rPr>
        <b/>
        <vertAlign val="superscript"/>
        <sz val="11"/>
        <color theme="1" tint="0.249977111117893"/>
        <rFont val="Aptos Narrow"/>
        <family val="2"/>
        <scheme val="minor"/>
      </rPr>
      <t>++</t>
    </r>
  </si>
  <si>
    <t>Version</t>
  </si>
  <si>
    <t>Warehouse Representative</t>
  </si>
  <si>
    <r>
      <t xml:space="preserve">** For multiple Workorders, leave unchecked and enter Wordorder reference in the lines
</t>
    </r>
    <r>
      <rPr>
        <vertAlign val="superscript"/>
        <sz val="9"/>
        <color theme="1"/>
        <rFont val="Aptos Narrow"/>
        <family val="2"/>
        <scheme val="minor"/>
      </rPr>
      <t>++</t>
    </r>
    <r>
      <rPr>
        <sz val="9"/>
        <color theme="1"/>
        <rFont val="Aptos Narrow"/>
        <family val="2"/>
        <scheme val="minor"/>
      </rPr>
      <t xml:space="preserve"> For cost allocation purpose</t>
    </r>
  </si>
  <si>
    <t>Line num</t>
  </si>
  <si>
    <t>OEM Part number</t>
  </si>
  <si>
    <t>Work Order</t>
  </si>
  <si>
    <t>Item Description</t>
  </si>
  <si>
    <t>Requested Qty</t>
  </si>
  <si>
    <t>Unit</t>
  </si>
  <si>
    <t>Priority</t>
  </si>
  <si>
    <t>Object ID</t>
  </si>
  <si>
    <t>Object ID Short Desription</t>
  </si>
  <si>
    <t>Actual stock</t>
  </si>
  <si>
    <t>Picked Qty</t>
  </si>
  <si>
    <t>Purchase Qty</t>
  </si>
  <si>
    <t>Item ID</t>
  </si>
  <si>
    <t>D365 Text Description</t>
  </si>
  <si>
    <t>Testing of new IPRF</t>
  </si>
  <si>
    <t>SA</t>
  </si>
  <si>
    <t>Testing post ref</t>
  </si>
  <si>
    <t>R00000150 - Van Oord - Pipavav, India</t>
  </si>
  <si>
    <t>T/141525</t>
  </si>
  <si>
    <t>Imthiyas Ahamed</t>
  </si>
  <si>
    <t>Jerin Johnson</t>
  </si>
  <si>
    <t>2152-8486186</t>
  </si>
  <si>
    <t>154826</t>
  </si>
  <si>
    <t>Keyboard</t>
  </si>
  <si>
    <t>PC</t>
  </si>
  <si>
    <t>Urgent</t>
  </si>
  <si>
    <t>247/58466</t>
  </si>
  <si>
    <t>14286</t>
  </si>
  <si>
    <t>Mouse</t>
  </si>
  <si>
    <t>Normal</t>
  </si>
  <si>
    <t>Parameters</t>
  </si>
  <si>
    <t>Default value</t>
  </si>
  <si>
    <t>Related range</t>
  </si>
  <si>
    <t>ActiveX control</t>
  </si>
  <si>
    <t>Request number (Prefix)</t>
  </si>
  <si>
    <t>Input_Request_number</t>
  </si>
  <si>
    <t>Input_Request_type</t>
  </si>
  <si>
    <t>Input_Item_type</t>
  </si>
  <si>
    <t>Input_Entity</t>
  </si>
  <si>
    <t>Input_Bu</t>
  </si>
  <si>
    <t>Sourcing required</t>
  </si>
  <si>
    <t>Chbox_Sourcing</t>
  </si>
  <si>
    <t>Is Post-facto?</t>
  </si>
  <si>
    <t>chbox_postfacto</t>
  </si>
  <si>
    <t>Request in Rimses?</t>
  </si>
  <si>
    <t>chbox_rimses</t>
  </si>
  <si>
    <t>Workorder associated?</t>
  </si>
  <si>
    <t>chbox_workorder</t>
  </si>
  <si>
    <t>ProjectID</t>
  </si>
  <si>
    <t>Input_ProjectID</t>
  </si>
  <si>
    <t>Location is not Project ID?</t>
  </si>
  <si>
    <t>Input_Location</t>
  </si>
  <si>
    <t>Input_Requester</t>
  </si>
  <si>
    <t>Input_Warehouse_rep</t>
  </si>
  <si>
    <t>Request date</t>
  </si>
  <si>
    <t>Input_Request_Date</t>
  </si>
  <si>
    <t>=TODAY()+2</t>
  </si>
  <si>
    <t>Input_Required_by</t>
  </si>
  <si>
    <t>Asset number</t>
  </si>
  <si>
    <t>Input_Asset</t>
  </si>
  <si>
    <t>Input_Subject</t>
  </si>
  <si>
    <t>Rimsesref</t>
  </si>
  <si>
    <t>Input_Rimsesref</t>
  </si>
  <si>
    <t>Sourcingref</t>
  </si>
  <si>
    <t>Input_Sourcingref</t>
  </si>
  <si>
    <t>Postfactoref</t>
  </si>
  <si>
    <t>Input_Postfactoref</t>
  </si>
  <si>
    <t>Workorderref</t>
  </si>
  <si>
    <t>Input_Workorderref</t>
  </si>
  <si>
    <t>BU Unit</t>
  </si>
  <si>
    <t>Sourcingrequired</t>
  </si>
  <si>
    <t>Postfacto</t>
  </si>
  <si>
    <t>Request Date</t>
  </si>
  <si>
    <t>Required by</t>
  </si>
  <si>
    <t>RequestedInRimses</t>
  </si>
  <si>
    <t>Workorderavailable</t>
  </si>
  <si>
    <t>WorkorderRef</t>
  </si>
  <si>
    <t>Project ID</t>
  </si>
  <si>
    <t>Location</t>
  </si>
  <si>
    <t>Requester Email</t>
  </si>
  <si>
    <t>Warehouse Rep</t>
  </si>
  <si>
    <t>Warehouse Rep Email</t>
  </si>
  <si>
    <t>Assigned Buyer</t>
  </si>
  <si>
    <t>Buyer Email</t>
  </si>
  <si>
    <t>Header column name</t>
  </si>
  <si>
    <t>Input reference</t>
  </si>
  <si>
    <t>ActiveX</t>
  </si>
  <si>
    <t>Validation</t>
  </si>
  <si>
    <t>Remarks</t>
  </si>
  <si>
    <t>Value</t>
  </si>
  <si>
    <t>Related reference</t>
  </si>
  <si>
    <t>Content</t>
  </si>
  <si>
    <t>Properties</t>
  </si>
  <si>
    <t>Empty</t>
  </si>
  <si>
    <t>Locked</t>
  </si>
  <si>
    <t>Mandatory</t>
  </si>
  <si>
    <t>Unlocked</t>
  </si>
  <si>
    <t>Item sub-type</t>
  </si>
  <si>
    <t>Condtional_chb</t>
  </si>
  <si>
    <t>Input is required if Chbox_Sourcing is not in default state</t>
  </si>
  <si>
    <t>Input is required if chbox_postfacto is not in default state</t>
  </si>
  <si>
    <t xml:space="preserve">Now this table tells you how the checkbox ActiveX controls should behave.
First column is ActiveX control name, Column 2 explains about the state, Column 3 refers to the related range, Column 4 tells about the content and column 5 referes to the property.
Every time when these controls change the state clear the content in the related reference range.
</t>
  </si>
  <si>
    <t>Input is required if chbox_rimses is not in default state</t>
  </si>
  <si>
    <t>Input is required if chbox_workorder is not in default state</t>
  </si>
  <si>
    <t>Input_Requester_email</t>
  </si>
  <si>
    <t>Input_Warehouse_re_email</t>
  </si>
  <si>
    <t>Input_Buyer_email</t>
  </si>
  <si>
    <t>Column name</t>
  </si>
  <si>
    <t>Formula</t>
  </si>
  <si>
    <t>Item</t>
  </si>
  <si>
    <t>Purchase Order</t>
  </si>
  <si>
    <t>IF([@[Purchase Qty]]&gt;0,
LET(
  pr, [@[Request number]],
  it, [@[Object ID]],
  hits, FILTER(
          D365_Lines_Manual[Purchase order],
          ISNUMBER(SEARCH(pr, D365_Lines_Manual[Text])) *
          ISNUMBER(SEARCH(it, D365_Lines_Manual[Text]))
        ),
  IFERROR(TEXTJOIN(", ",TRUE,UNIQUE(hits)),"Not found")
),"Purchase not applicable")</t>
  </si>
  <si>
    <t>Workbook</t>
  </si>
  <si>
    <t>Request lines (IPRF &amp; Rimses).xlsx</t>
  </si>
  <si>
    <t>PO Created by</t>
  </si>
  <si>
    <t>IF([@[Purchase Qty]]&gt;0,
LET(
  pr, [@[Request number]],
  it, [@[Object ID]],
  hits, FILTER(
          D365_Lines_Manual[Created by],
          ISNUMBER(SEARCH(pr, D365_Lines_Manual[Text])) *
          ISNUMBER(SEARCH(it, D365_Lines_Manual[Text]))
        ),
  IFERROR(TEXTJOIN(", ",TRUE,UNIQUE(hits)),"Not found")
),"Purchase not applicable")</t>
  </si>
  <si>
    <t>Sheet</t>
  </si>
  <si>
    <t>IPRF Lines</t>
  </si>
  <si>
    <t>PO Created on</t>
  </si>
  <si>
    <t>XLOOKUP([@[Purchase Order]],D365_Header_Manual[Purchase order],D365_Header_Manual[Accounting date],"Not found")</t>
  </si>
  <si>
    <t>Table</t>
  </si>
  <si>
    <t>IPRF_Lines_Master</t>
  </si>
  <si>
    <t>PO line status</t>
  </si>
  <si>
    <t>LET(
  pr, [@[Request number]],
  it, [@[Object ID]],
  hits, FILTER(
          D365_Lines_Manual[Line status],
          ISNUMBER(SEARCH(pr, D365_Lines_Manual[Text])) *
          ISNUMBER(SEARCH(it, D365_Lines_Manual[Text]))
        ),
  IFERROR(TEXTJOIN(", ",TRUE,UNIQUE(hits)),"Not found")
)</t>
  </si>
  <si>
    <t>Source tables</t>
  </si>
  <si>
    <r>
      <t>D365_Lines_Manual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D365_Header_Manual</t>
    </r>
  </si>
  <si>
    <t>Requested receipt Date (Lines)</t>
  </si>
  <si>
    <t>LET(
    pr, [@[Request number]],
    it, [@[Object ID]],
    hits, FILTER(
            D365_Lines_Manual[Requested receipt date],
            ISNUMBER(SEARCH(pr, D365_Lines_Manual[Text])) *
            ISNUMBER(SEARCH(it, D365_Lines_Manual[Text]))
         ),
    IFERROR(MAX(hits), "Not found")
)</t>
  </si>
  <si>
    <t>Execution</t>
  </si>
  <si>
    <r>
      <t xml:space="preserve">Via </t>
    </r>
    <r>
      <rPr>
        <b/>
        <sz val="11"/>
        <color theme="1"/>
        <rFont val="Aptos Narrow"/>
        <family val="2"/>
        <scheme val="minor"/>
      </rPr>
      <t>Power Automate → Run script</t>
    </r>
  </si>
  <si>
    <t>Requested receipt Date (Header)</t>
  </si>
  <si>
    <t>XLOOKUP([@[Purchase Order]],D365_Header_Manual[Purchase order],D365_Header_Manual[Requested receipt date],"Not found")</t>
  </si>
  <si>
    <t>Delivery Remainder****</t>
  </si>
  <si>
    <t>LET(
  pr, [@[Request number]],
  it, [@[Object ID]],
  hits, FILTER(
          D365_Lines_Manual[Deliver remainder],
          ISNUMBER(SEARCH(pr, D365_Lines_Manual[Text])) *
          ISNUMBER(SEARCH(it, D365_Lines_Manual[Text]))
        ),
  IFERROR(TEXTJOIN(", ",TRUE,UNIQUE(hits)),"Not found")
)</t>
  </si>
  <si>
    <t>Delivery Remainder</t>
  </si>
  <si>
    <t>IFERROR(
  INDEX(D365_Lines_Manual[Deliver remainder],
    MATCH(
      1,
      ISNUMBER(SEARCH([@[Request number]], D365_Lines_Manual[Text])) *
      ISNUMBER(SEARCH([@[Object ID]],      D365_Lines_Manual[Text])),
      0
    )
  ),
  "Not found"
)</t>
  </si>
  <si>
    <t>Name</t>
  </si>
  <si>
    <t>Data.Column1</t>
  </si>
  <si>
    <t>Data.Column2</t>
  </si>
  <si>
    <t>Data.Column3</t>
  </si>
  <si>
    <t>Data.Column4</t>
  </si>
  <si>
    <t>Data.Column5</t>
  </si>
  <si>
    <t>Data.Column6</t>
  </si>
  <si>
    <t>Data.Column7</t>
  </si>
  <si>
    <t>Data.Column8</t>
  </si>
  <si>
    <t>Data.Column9</t>
  </si>
  <si>
    <t>Data.Column10</t>
  </si>
  <si>
    <t>Data.Entity</t>
  </si>
  <si>
    <t>Data.Business Unit</t>
  </si>
  <si>
    <t>Data.Request type</t>
  </si>
  <si>
    <t>Data.Item type - Primary</t>
  </si>
  <si>
    <t>Data.Item type - Secondary</t>
  </si>
  <si>
    <t>Data.Item type</t>
  </si>
  <si>
    <t>Data.ProjectID</t>
  </si>
  <si>
    <t>Data.ProjectID Abb</t>
  </si>
  <si>
    <t>Data.ProjectName</t>
  </si>
  <si>
    <t>Data.Location</t>
  </si>
  <si>
    <t>Data.dataAreaId</t>
  </si>
  <si>
    <t>Data.DimensionDisplayValue</t>
  </si>
  <si>
    <t>Data.ParentProject</t>
  </si>
  <si>
    <t>Data.ProjectStage</t>
  </si>
  <si>
    <t>Data.ProjectID_Name</t>
  </si>
  <si>
    <t>Data.DisplayName</t>
  </si>
  <si>
    <t>Data.CompanyName</t>
  </si>
  <si>
    <t>Data.EmailAddress</t>
  </si>
  <si>
    <t>Data.OfficeLocation</t>
  </si>
  <si>
    <t>Data.JobTitle</t>
  </si>
  <si>
    <t>Kind</t>
  </si>
  <si>
    <t>Hidden</t>
  </si>
  <si>
    <t>ENTITY</t>
  </si>
  <si>
    <t>CR</t>
  </si>
  <si>
    <t>DC</t>
  </si>
  <si>
    <t>AC</t>
  </si>
  <si>
    <t>BU</t>
  </si>
  <si>
    <t>BU 210</t>
  </si>
  <si>
    <t>BU 465</t>
  </si>
  <si>
    <t>BU 220</t>
  </si>
  <si>
    <t>REQUEST TYPE</t>
  </si>
  <si>
    <t>Inquiry</t>
  </si>
  <si>
    <t>ITEM TYPE</t>
  </si>
  <si>
    <t>Item type - Primary</t>
  </si>
  <si>
    <t>Item type - Secondary</t>
  </si>
  <si>
    <t>Material</t>
  </si>
  <si>
    <t>Spare parts</t>
  </si>
  <si>
    <t>General</t>
  </si>
  <si>
    <t>Material | General</t>
  </si>
  <si>
    <t>Service</t>
  </si>
  <si>
    <t>TPI &amp; Training services</t>
  </si>
  <si>
    <t>Service | TPI &amp; Training services</t>
  </si>
  <si>
    <t>Rental Services</t>
  </si>
  <si>
    <t>Service | Rental Services</t>
  </si>
  <si>
    <t>Service | General</t>
  </si>
  <si>
    <t>Maintenance services</t>
  </si>
  <si>
    <t>Service | Maintenance services</t>
  </si>
  <si>
    <t>PROJECTS</t>
  </si>
  <si>
    <t>dataAreaId</t>
  </si>
  <si>
    <t>ProjectID Abb</t>
  </si>
  <si>
    <t>DimensionDisplayValue</t>
  </si>
  <si>
    <t>ParentProject</t>
  </si>
  <si>
    <t>ProjectStage</t>
  </si>
  <si>
    <t>ProjectName</t>
  </si>
  <si>
    <t>ProjectID_Name</t>
  </si>
  <si>
    <t>Formulas used</t>
  </si>
  <si>
    <t>ca</t>
  </si>
  <si>
    <t>1 Direct Labor_01</t>
  </si>
  <si>
    <t/>
  </si>
  <si>
    <t>--1 Direct Labor_01----</t>
  </si>
  <si>
    <t>1 Direct Labor</t>
  </si>
  <si>
    <t>InProcess</t>
  </si>
  <si>
    <t>Salary</t>
  </si>
  <si>
    <t>1 Direct Labor_01 | Salary</t>
  </si>
  <si>
    <t>=IF(OR(LEFT([@ProjectID],4)="J000",LEFT([@ProjectID],4)="R000"),
LEFT([@ProjectID],1)&amp;VALUE(MID([@ProjectID],2,99)),
"")</t>
  </si>
  <si>
    <t>1 Direct Labor_02</t>
  </si>
  <si>
    <t>--1 Direct Labor_02----</t>
  </si>
  <si>
    <t>Extralegal</t>
  </si>
  <si>
    <t>1 Direct Labor_02 | Extralegal</t>
  </si>
  <si>
    <t>1 Direct Labor_02_01</t>
  </si>
  <si>
    <t>Extralegal fuel</t>
  </si>
  <si>
    <t>1 Direct Labor_02_01 | Extralegal fuel</t>
  </si>
  <si>
    <t>1 Direct Labor_02_02</t>
  </si>
  <si>
    <t>Rental private cars</t>
  </si>
  <si>
    <t>1 Direct Labor_02_02 | Rental private cars</t>
  </si>
  <si>
    <t>=TEXTJOIN(" | ", TRUE, T_PROJECTS[@ProjectID], T_PROJECTS[@ProjectName])</t>
  </si>
  <si>
    <t>1 Direct Labor_03</t>
  </si>
  <si>
    <t>--1 Direct Labor_03----</t>
  </si>
  <si>
    <t>Insurance</t>
  </si>
  <si>
    <t>1 Direct Labor_03 | Insurance</t>
  </si>
  <si>
    <t>1 Direct Labor_04</t>
  </si>
  <si>
    <t>--1 Direct Labor_04----</t>
  </si>
  <si>
    <t>Travel</t>
  </si>
  <si>
    <t>1 Direct Labor_04 | Travel</t>
  </si>
  <si>
    <t>1 Direct Labor_05</t>
  </si>
  <si>
    <t>--1 Direct Labor_05----</t>
  </si>
  <si>
    <t>Training</t>
  </si>
  <si>
    <t>1 Direct Labor_05 | Training</t>
  </si>
  <si>
    <t>1 Direct Labor_06</t>
  </si>
  <si>
    <t>--1 Direct Labor_06----</t>
  </si>
  <si>
    <t>Temporary staff</t>
  </si>
  <si>
    <t>1 Direct Labor_06 | Temporary staff</t>
  </si>
  <si>
    <t>1 Direct Labor_07</t>
  </si>
  <si>
    <t>--1 Direct Labor_07----</t>
  </si>
  <si>
    <t>Personal Protection Equipment (PPE)</t>
  </si>
  <si>
    <t>1 Direct Labor_07 | Personal Protection Equipment (PPE)</t>
  </si>
  <si>
    <t>1 Equipment_01_01</t>
  </si>
  <si>
    <t>-210-1 Equipment_01_01----</t>
  </si>
  <si>
    <t>1 Equipment_01</t>
  </si>
  <si>
    <t>Maintenance &amp; repair AMS Cranes</t>
  </si>
  <si>
    <t>1 Equipment_01_01 | Maintenance &amp; repair AMS Cranes</t>
  </si>
  <si>
    <t>1 Equipment_02</t>
  </si>
  <si>
    <t>--1 Equipment_02----</t>
  </si>
  <si>
    <t>1 Equipment</t>
  </si>
  <si>
    <t>Fuel</t>
  </si>
  <si>
    <t>1 Equipment_02 | Fuel</t>
  </si>
  <si>
    <t>1 Equipment_03</t>
  </si>
  <si>
    <t>--1 Equipment_03----</t>
  </si>
  <si>
    <t>1 Equipment_03 | Insurance</t>
  </si>
  <si>
    <t>1 Equipment_05</t>
  </si>
  <si>
    <t>--1 Equipment_05----</t>
  </si>
  <si>
    <t>Rent</t>
  </si>
  <si>
    <t>1 Equipment_05 | Rent</t>
  </si>
  <si>
    <t>1 Equipment_06</t>
  </si>
  <si>
    <t>--1 Equipment_06----</t>
  </si>
  <si>
    <t>Intrest</t>
  </si>
  <si>
    <t>1 Equipment_06 | Intrest</t>
  </si>
  <si>
    <t>1 Equipment_07</t>
  </si>
  <si>
    <t>--1 Equipment_07----</t>
  </si>
  <si>
    <t>Depreciation</t>
  </si>
  <si>
    <t>1 Equipment_07 | Depreciation</t>
  </si>
  <si>
    <t>1 Equipment_08</t>
  </si>
  <si>
    <t>--1 Equipment_08----</t>
  </si>
  <si>
    <t>Taxes (incl. Duties)</t>
  </si>
  <si>
    <t>1 Equipment_08 | Taxes (incl. Duties)</t>
  </si>
  <si>
    <t>1 Equipment_09</t>
  </si>
  <si>
    <t>--1 Equipment_09----</t>
  </si>
  <si>
    <t>Technical inspection</t>
  </si>
  <si>
    <t>1 Equipment_09 | Technical inspection</t>
  </si>
  <si>
    <t>1 Equipment_10</t>
  </si>
  <si>
    <t>--1 Equipment_10----</t>
  </si>
  <si>
    <t>Off-balance rent</t>
  </si>
  <si>
    <t>1 Equipment_10 | Off-balance rent</t>
  </si>
  <si>
    <t>1 Overhead_01</t>
  </si>
  <si>
    <t>-210-1 Overhead_01----</t>
  </si>
  <si>
    <t>1 Overhead</t>
  </si>
  <si>
    <t>Communication</t>
  </si>
  <si>
    <t>1 Overhead_01 | Communication</t>
  </si>
  <si>
    <t>1 Overhead_02</t>
  </si>
  <si>
    <t>-210-1 Overhead_02----</t>
  </si>
  <si>
    <t>Facilities</t>
  </si>
  <si>
    <t>1 Overhead_02 | Facilities</t>
  </si>
  <si>
    <t>1 Overhead_06</t>
  </si>
  <si>
    <t>-210-1 Overhead_06----</t>
  </si>
  <si>
    <t>Legal</t>
  </si>
  <si>
    <t>1 Overhead_06 | Legal</t>
  </si>
  <si>
    <t>1 Overhead_06_01</t>
  </si>
  <si>
    <t>-210-1 Overhead_06_01----</t>
  </si>
  <si>
    <t>Legal general</t>
  </si>
  <si>
    <t>1 Overhead_06_01 | Legal general</t>
  </si>
  <si>
    <t>1 Overhead_06_02</t>
  </si>
  <si>
    <t>-210-1 Overhead_06_02----</t>
  </si>
  <si>
    <t>Legal insurance</t>
  </si>
  <si>
    <t>1 Overhead_06_02 | Legal insurance</t>
  </si>
  <si>
    <t>1 Overhead_07</t>
  </si>
  <si>
    <t>-210-1 Overhead_07----</t>
  </si>
  <si>
    <t>Management</t>
  </si>
  <si>
    <t>1 Overhead_07 | Management</t>
  </si>
  <si>
    <t>1 Overhead_10</t>
  </si>
  <si>
    <t>-210-1 Overhead_10----</t>
  </si>
  <si>
    <t>QESH</t>
  </si>
  <si>
    <t>1 Overhead_10 | QESH</t>
  </si>
  <si>
    <t>1 Overhead_11</t>
  </si>
  <si>
    <t>-210-1 Overhead_11----</t>
  </si>
  <si>
    <t>1 Overhead_11 | Rent</t>
  </si>
  <si>
    <t>1 Overhead_12</t>
  </si>
  <si>
    <t>-210-1 Overhead_12----</t>
  </si>
  <si>
    <t>Sales</t>
  </si>
  <si>
    <t>1 Overhead_12 | Sales</t>
  </si>
  <si>
    <t>1 Overhead_13</t>
  </si>
  <si>
    <t>-210-1 Overhead_13----</t>
  </si>
  <si>
    <t>Marketing</t>
  </si>
  <si>
    <t>1 Overhead_13 | Marketing</t>
  </si>
  <si>
    <t>1 Overhead_15</t>
  </si>
  <si>
    <t>-210-1 Overhead_15----</t>
  </si>
  <si>
    <t>White collars</t>
  </si>
  <si>
    <t>1 Overhead_15 | White collars</t>
  </si>
  <si>
    <t>1 Overhead_15_01</t>
  </si>
  <si>
    <t>-210-1 Overhead_15_01----</t>
  </si>
  <si>
    <t>1 Overhead_15_01 | Salary</t>
  </si>
  <si>
    <t>1 Overhead_15_02</t>
  </si>
  <si>
    <t>-210-1 Overhead_15_02----</t>
  </si>
  <si>
    <t>1 Overhead_15_02 | Extralegal</t>
  </si>
  <si>
    <t>1 Overhead_15_02_02</t>
  </si>
  <si>
    <t>-210-1 Overhead_15_02_02----</t>
  </si>
  <si>
    <t>1 Overhead_15_02_02 | Rental private cars</t>
  </si>
  <si>
    <t>1 Overhead_15_03</t>
  </si>
  <si>
    <t>-210-1 Overhead_15_03----</t>
  </si>
  <si>
    <t>1 Overhead_15_03 | Insurance</t>
  </si>
  <si>
    <t>1 Overhead_15_04</t>
  </si>
  <si>
    <t>-210-1 Overhead_15_04----</t>
  </si>
  <si>
    <t>Travel &amp; entertainment</t>
  </si>
  <si>
    <t>1 Overhead_15_04 | Travel &amp; entertainment</t>
  </si>
  <si>
    <t>1 Overhead_15_05</t>
  </si>
  <si>
    <t>-210-1 Overhead_15_05----</t>
  </si>
  <si>
    <t>1 Overhead_15_05 | Training</t>
  </si>
  <si>
    <t>1 Overhead_15_06</t>
  </si>
  <si>
    <t>-210-1 Overhead_15_06----</t>
  </si>
  <si>
    <t>1 Overhead_15_06 | Temporary staff</t>
  </si>
  <si>
    <t>1 Overhead_15_07</t>
  </si>
  <si>
    <t>-210-1 Overhead_15_07----</t>
  </si>
  <si>
    <t>1 Overhead_15_07 | Personal Protection Equipment (PPE)</t>
  </si>
  <si>
    <t>1 Overhead_15_08</t>
  </si>
  <si>
    <t>-210-1 Overhead_15_08----</t>
  </si>
  <si>
    <t>Other</t>
  </si>
  <si>
    <t>1 Overhead_15_08 | Other</t>
  </si>
  <si>
    <t>1 Overhead_18</t>
  </si>
  <si>
    <t>-210-1 Overhead_18----</t>
  </si>
  <si>
    <t>Treasury</t>
  </si>
  <si>
    <t>1 Overhead_18 | Treasury</t>
  </si>
  <si>
    <t>1 Overhead_19</t>
  </si>
  <si>
    <t>-210-1 Overhead_19----</t>
  </si>
  <si>
    <t>Taxes</t>
  </si>
  <si>
    <t>1 Overhead_19 | Taxes</t>
  </si>
  <si>
    <t>1 Overhead_20</t>
  </si>
  <si>
    <t>-210-1 Overhead_20----</t>
  </si>
  <si>
    <t>Non-assignable</t>
  </si>
  <si>
    <t>1 Overhead_20 | Non-assignable</t>
  </si>
  <si>
    <t>1 Overhead_21</t>
  </si>
  <si>
    <t>-210-1 Overhead_21----</t>
  </si>
  <si>
    <t>1 Overhead_21 | Other</t>
  </si>
  <si>
    <t>J00000019</t>
  </si>
  <si>
    <t>J19</t>
  </si>
  <si>
    <t>-210-J00000019----</t>
  </si>
  <si>
    <t> </t>
  </si>
  <si>
    <t>Galfar - Habshan &amp; ASAB</t>
  </si>
  <si>
    <t>J00000019 | Galfar - Habshan &amp; ASAB | J19</t>
  </si>
  <si>
    <t>J00000044</t>
  </si>
  <si>
    <t>J44</t>
  </si>
  <si>
    <t>-210-J00000044----</t>
  </si>
  <si>
    <t>J00000044 | J44</t>
  </si>
  <si>
    <t>J00000046</t>
  </si>
  <si>
    <t>J46</t>
  </si>
  <si>
    <t>-210-J00000046----</t>
  </si>
  <si>
    <t>RAK Precast - Ras Al Khaimah FZ</t>
  </si>
  <si>
    <t>J00000046 | RAK Precast - Ras Al Khaimah FZ | J46</t>
  </si>
  <si>
    <t>1 Overhead_02_23</t>
  </si>
  <si>
    <t>-210-1 Overhead_02_23----</t>
  </si>
  <si>
    <t>FAC AMS ICAD</t>
  </si>
  <si>
    <t>1 Overhead_02_23 | FAC AMS ICAD</t>
  </si>
  <si>
    <t>1 Overhead_03_09</t>
  </si>
  <si>
    <t>-210-1 Overhead_03_09----</t>
  </si>
  <si>
    <t>1 Overhead_03</t>
  </si>
  <si>
    <t>Finance &amp; Controlling AMS</t>
  </si>
  <si>
    <t>1 Overhead_03_09 | Finance &amp; Controlling AMS</t>
  </si>
  <si>
    <t>1 Overhead_04_09</t>
  </si>
  <si>
    <t>-210-1 Overhead_04_09----</t>
  </si>
  <si>
    <t>1 Overhead_04</t>
  </si>
  <si>
    <t>HR AMS</t>
  </si>
  <si>
    <t>1 Overhead_04_09 | HR AMS</t>
  </si>
  <si>
    <t>1 Overhead_08_10</t>
  </si>
  <si>
    <t>-210-1 Overhead_08_10----</t>
  </si>
  <si>
    <t>1 Overhead_08</t>
  </si>
  <si>
    <t>Office management AMS</t>
  </si>
  <si>
    <t>1 Overhead_08_10 | Office management AMS</t>
  </si>
  <si>
    <t>J00000047</t>
  </si>
  <si>
    <t>J47</t>
  </si>
  <si>
    <t>-220-J00000047--99-999-</t>
  </si>
  <si>
    <t>AMS220</t>
  </si>
  <si>
    <t>J00000047 | AMS220 | J47</t>
  </si>
  <si>
    <t>1 Direct Labor_02_03</t>
  </si>
  <si>
    <t>Housing</t>
  </si>
  <si>
    <t>1 Direct Labor_02_03 | Housing</t>
  </si>
  <si>
    <t>1 Direct Labor_02_04</t>
  </si>
  <si>
    <t>Utilities</t>
  </si>
  <si>
    <t>1 Direct Labor_02_04 | Utilities</t>
  </si>
  <si>
    <t>1 Direct Labor_02_07</t>
  </si>
  <si>
    <t>Laundry service</t>
  </si>
  <si>
    <t>1 Direct Labor_02_07 | Laundry service</t>
  </si>
  <si>
    <t>1 Overhead_04_90</t>
  </si>
  <si>
    <t>--1 Overhead_04_90----</t>
  </si>
  <si>
    <t>HR Recruitment</t>
  </si>
  <si>
    <t>1 Overhead_04_90 | HR Recruitment</t>
  </si>
  <si>
    <t>1 Direct Labor_08</t>
  </si>
  <si>
    <t>--1 Direct Labor_08----</t>
  </si>
  <si>
    <t>1 Direct Labor_08 | Other</t>
  </si>
  <si>
    <t>J00000071</t>
  </si>
  <si>
    <t>J71</t>
  </si>
  <si>
    <t>-210-J00000071--99-999-</t>
  </si>
  <si>
    <t>Robt. Stone - Habshan</t>
  </si>
  <si>
    <t>J00000071 | Robt. Stone - Habshan | J71</t>
  </si>
  <si>
    <t>1 Direct Labor_02_08</t>
  </si>
  <si>
    <t>Food</t>
  </si>
  <si>
    <t>1 Direct Labor_02_08 | Food</t>
  </si>
  <si>
    <t>1 Direct Labor_02_09</t>
  </si>
  <si>
    <t>Visa &amp; licenses</t>
  </si>
  <si>
    <t>1 Direct Labor_02_09 | Visa &amp; licenses</t>
  </si>
  <si>
    <t>J00000102</t>
  </si>
  <si>
    <t>J102</t>
  </si>
  <si>
    <t>-210-J00000102--99-999-</t>
  </si>
  <si>
    <t>OFCO - Mina Free Port</t>
  </si>
  <si>
    <t>J00000102 | OFCO - Mina Free Port | J102</t>
  </si>
  <si>
    <t>1 Overhead_26</t>
  </si>
  <si>
    <t>-210-1 Overhead_26----</t>
  </si>
  <si>
    <t>IT</t>
  </si>
  <si>
    <t>1 Overhead_26 | IT</t>
  </si>
  <si>
    <t>1 Equipment_00</t>
  </si>
  <si>
    <t>-210-1 Equipment_00----</t>
  </si>
  <si>
    <t>AMS Internal</t>
  </si>
  <si>
    <t>1 Equipment_00 | AMS Internal</t>
  </si>
  <si>
    <t>1 Equipment_01_02</t>
  </si>
  <si>
    <t>-135-1 Equipment_01_02----</t>
  </si>
  <si>
    <t>Maintenance &amp; repair Earth Works</t>
  </si>
  <si>
    <t>1 Equipment_01_02 | Maintenance &amp; repair Earth Works</t>
  </si>
  <si>
    <t>1 Equipment_04_01</t>
  </si>
  <si>
    <t>-210-1 Equipment_04_01----</t>
  </si>
  <si>
    <t>1 Equipment_04</t>
  </si>
  <si>
    <t>Assets non depreciated AMS Cranes</t>
  </si>
  <si>
    <t>1 Equipment_04_01 | Assets non depreciated AMS Cranes</t>
  </si>
  <si>
    <t>1 Equipment_04_02</t>
  </si>
  <si>
    <t>-135-1 Equipment_04_02----</t>
  </si>
  <si>
    <t>Assets non depreciated Earth Works</t>
  </si>
  <si>
    <t>1 Equipment_04_02 | Assets non depreciated Earth Works</t>
  </si>
  <si>
    <t>1 Overhead_15_02_03</t>
  </si>
  <si>
    <t>-210-1 Overhead_15_02_03----</t>
  </si>
  <si>
    <t>1 Overhead_15_02_03 | Housing</t>
  </si>
  <si>
    <t>1 Overhead_15_02_04</t>
  </si>
  <si>
    <t>-210-1 Overhead_15_02_04----</t>
  </si>
  <si>
    <t>1 Overhead_15_02_04 | Utilities</t>
  </si>
  <si>
    <t>1 Overhead_15_02_05</t>
  </si>
  <si>
    <t>-210-1 Overhead_15_02_05----</t>
  </si>
  <si>
    <t>School fees</t>
  </si>
  <si>
    <t>1 Overhead_15_02_05 | School fees</t>
  </si>
  <si>
    <t>1 Overhead_15_02_06</t>
  </si>
  <si>
    <t>-210-1 Overhead_15_02_06----</t>
  </si>
  <si>
    <t>Child allowance</t>
  </si>
  <si>
    <t>1 Overhead_15_02_06 | Child allowance</t>
  </si>
  <si>
    <t>1 Overhead_15_02_07</t>
  </si>
  <si>
    <t>-210-1 Overhead_15_02_07----</t>
  </si>
  <si>
    <t>1 Overhead_15_02_07 | Laundry service</t>
  </si>
  <si>
    <t>1 Overhead_15_02_08</t>
  </si>
  <si>
    <t>-210-1 Overhead_15_02_08----</t>
  </si>
  <si>
    <t>1 Overhead_15_02_08 | Food</t>
  </si>
  <si>
    <t>1 Overhead_15_02_09</t>
  </si>
  <si>
    <t>-210-1 Overhead_15_02_09----</t>
  </si>
  <si>
    <t>Visa &amp; Licenses</t>
  </si>
  <si>
    <t>1 Overhead_15_02_09 | Visa &amp; Licenses</t>
  </si>
  <si>
    <t>1 Equipment_11_01</t>
  </si>
  <si>
    <t>-210-1 Equipment_11_01----</t>
  </si>
  <si>
    <t>1 Equipment_11</t>
  </si>
  <si>
    <t>Transport AMS Cranes</t>
  </si>
  <si>
    <t>1 Equipment_11_01 | Transport AMS Cranes</t>
  </si>
  <si>
    <t>1 Equipment_11_02</t>
  </si>
  <si>
    <t>-135-1 Equipment_11_02----</t>
  </si>
  <si>
    <t>Transport Earth Works</t>
  </si>
  <si>
    <t>1 Equipment_11_02 | Transport Earth Works</t>
  </si>
  <si>
    <t>J00000114</t>
  </si>
  <si>
    <t>J114</t>
  </si>
  <si>
    <t>-210-J00000114--99-999-</t>
  </si>
  <si>
    <t>ADNOC LS - UZ and S</t>
  </si>
  <si>
    <t>J00000114 | ADNOC LS - UZ and S | J114</t>
  </si>
  <si>
    <t>Workshop EM</t>
  </si>
  <si>
    <t>-135-Workshop EM----</t>
  </si>
  <si>
    <t>Workshop EM | Workshop EM</t>
  </si>
  <si>
    <t>Workshop EM_01</t>
  </si>
  <si>
    <t>-135-Workshop EM_01----</t>
  </si>
  <si>
    <t>Maintenance &amp; Repair</t>
  </si>
  <si>
    <t>Workshop EM_01 | Maintenance &amp; Repair</t>
  </si>
  <si>
    <t>Workshop EM_02</t>
  </si>
  <si>
    <t>-135-Workshop EM_02----</t>
  </si>
  <si>
    <t>Workshop EM_02 | Fuel</t>
  </si>
  <si>
    <t>Workshop EM_03</t>
  </si>
  <si>
    <t>-135-Workshop EM_03----</t>
  </si>
  <si>
    <t>Workshop EM_03 | Insurance</t>
  </si>
  <si>
    <t>Workshop EM_04</t>
  </si>
  <si>
    <t>-135-Workshop EM_04----</t>
  </si>
  <si>
    <t>Assets non depreciated</t>
  </si>
  <si>
    <t>Workshop EM_04 | Assets non depreciated</t>
  </si>
  <si>
    <t>Workshop EM_05</t>
  </si>
  <si>
    <t>-135-Workshop EM_05----</t>
  </si>
  <si>
    <t>Workshop EM_05 | Rent</t>
  </si>
  <si>
    <t>Workshop EM_06</t>
  </si>
  <si>
    <t>-135-Workshop EM_06----</t>
  </si>
  <si>
    <t>Workshop EM_06 | Intrest</t>
  </si>
  <si>
    <t>Workshop EM_07</t>
  </si>
  <si>
    <t>-135-Workshop EM_07----</t>
  </si>
  <si>
    <t>Workshop EM_07 | Depreciation</t>
  </si>
  <si>
    <t>Workshop EM_08</t>
  </si>
  <si>
    <t>-135-Workshop EM_08----</t>
  </si>
  <si>
    <t>Workshop EM_08 | Taxes</t>
  </si>
  <si>
    <t>Workshop EM_09</t>
  </si>
  <si>
    <t>-135-Workshop EM_09----</t>
  </si>
  <si>
    <t>Workshop EM_09 | Technical inspection</t>
  </si>
  <si>
    <t>Workshop EM_10</t>
  </si>
  <si>
    <t>-135-Workshop EM_10----</t>
  </si>
  <si>
    <t>Workshop EM_10 | Off-balance rent</t>
  </si>
  <si>
    <t>Workshop EM_11</t>
  </si>
  <si>
    <t>-135-Workshop EM_11----</t>
  </si>
  <si>
    <t>Transport</t>
  </si>
  <si>
    <t>Workshop EM_11 | Transport</t>
  </si>
  <si>
    <t>Workshop EM_12</t>
  </si>
  <si>
    <t>-135-Workshop EM_12----</t>
  </si>
  <si>
    <t>Personnel</t>
  </si>
  <si>
    <t>Workshop EM_12 | Personnel</t>
  </si>
  <si>
    <t>Workshop EM_12_01</t>
  </si>
  <si>
    <t>-135-Workshop EM_12_01----</t>
  </si>
  <si>
    <t>Workshop EM_12_01 | Salary</t>
  </si>
  <si>
    <t>Workshop EM_12_02</t>
  </si>
  <si>
    <t>-135-Workshop EM_12_02----</t>
  </si>
  <si>
    <t>Workshop EM_12_02 | Extralegal</t>
  </si>
  <si>
    <t>Workshop EM_12_02_01</t>
  </si>
  <si>
    <t>-135-Workshop EM_12_02_01----</t>
  </si>
  <si>
    <t>Workshop EM_12_02_01 | Extralegal fuel</t>
  </si>
  <si>
    <t>Workshop EM_12_02_02</t>
  </si>
  <si>
    <t>-135-Workshop EM_12_02_02----</t>
  </si>
  <si>
    <t>Workshop EM_12_02_02 | Rental private cars</t>
  </si>
  <si>
    <t>Workshop EM_12_02_03</t>
  </si>
  <si>
    <t>-135-Workshop EM_12_02_03----</t>
  </si>
  <si>
    <t>Workshop EM_12_02_03 | Housing</t>
  </si>
  <si>
    <t>Workshop EM_12_02_04</t>
  </si>
  <si>
    <t>-135-Workshop EM_12_02_04----</t>
  </si>
  <si>
    <t>Workshop EM_12_02_04 | Utilities</t>
  </si>
  <si>
    <t>Workshop EM_12_02_05</t>
  </si>
  <si>
    <t>-135-Workshop EM_12_02_05----</t>
  </si>
  <si>
    <t>Workshop EM_12_02_05 | School fees</t>
  </si>
  <si>
    <t>Workshop EM_12_02_06</t>
  </si>
  <si>
    <t>-135-Workshop EM_12_02_06----</t>
  </si>
  <si>
    <t>Workshop EM_12_02_06 | Child allowance</t>
  </si>
  <si>
    <t>Workshop EM_12_02_07</t>
  </si>
  <si>
    <t>-135-Workshop EM_12_02_07----</t>
  </si>
  <si>
    <t>Workshop EM_12_02_07 | Laundry service</t>
  </si>
  <si>
    <t>Workshop EM_12_02_08</t>
  </si>
  <si>
    <t>-135-Workshop EM_12_02_08----</t>
  </si>
  <si>
    <t>Workshop EM_12_02_08 | Food</t>
  </si>
  <si>
    <t>Workshop EM_12_02_09</t>
  </si>
  <si>
    <t>-135-Workshop EM_12_02_09----</t>
  </si>
  <si>
    <t>Visa &amp; licences</t>
  </si>
  <si>
    <t>Workshop EM_12_02_09 | Visa &amp; licences</t>
  </si>
  <si>
    <t>Workshop EM_12_03</t>
  </si>
  <si>
    <t>-135-Workshop EM_12_03----</t>
  </si>
  <si>
    <t>Workshop EM_12_03 | Insurance</t>
  </si>
  <si>
    <t>Workshop EM_12_04</t>
  </si>
  <si>
    <t>-135-Workshop EM_12_04----</t>
  </si>
  <si>
    <t>Workshop EM_12_04 | Travel</t>
  </si>
  <si>
    <t>Workshop EM_12_05</t>
  </si>
  <si>
    <t>-135-Workshop EM_12_05----</t>
  </si>
  <si>
    <t>Workshop EM_12_05 | Training</t>
  </si>
  <si>
    <t>Workshop EM_12_06</t>
  </si>
  <si>
    <t>-135-Workshop EM_12_06----</t>
  </si>
  <si>
    <t>Temporary Staff</t>
  </si>
  <si>
    <t>Workshop EM_12_06 | Temporary Staff</t>
  </si>
  <si>
    <t>Workshop EM_12_07</t>
  </si>
  <si>
    <t>-135-Workshop EM_12_07----</t>
  </si>
  <si>
    <t>Personel Protection Equipment (PPE)</t>
  </si>
  <si>
    <t>Workshop EM_12_07 | Personel Protection Equipment (PPE)</t>
  </si>
  <si>
    <t>Workshop EM_12_08</t>
  </si>
  <si>
    <t>-135-Workshop EM_12_08----</t>
  </si>
  <si>
    <t>Workshop EM_12_08 | Other</t>
  </si>
  <si>
    <t>EMWYard</t>
  </si>
  <si>
    <t>-135-EMWYard--99-999-</t>
  </si>
  <si>
    <t>EMW Yard - Clean up</t>
  </si>
  <si>
    <t>EMWYard | EMW Yard - Clean up</t>
  </si>
  <si>
    <t>R00000028</t>
  </si>
  <si>
    <t>R28</t>
  </si>
  <si>
    <t>-135-R00000028--99-999-</t>
  </si>
  <si>
    <t>Target DGD</t>
  </si>
  <si>
    <t>R00000028 | Target DGD | R28</t>
  </si>
  <si>
    <t>J00000150</t>
  </si>
  <si>
    <t>J150</t>
  </si>
  <si>
    <t>-210-J00000150--99-999-</t>
  </si>
  <si>
    <t>Target Engineering - Arzanah Island</t>
  </si>
  <si>
    <t>J00000150 | Target Engineering - Arzanah Island | J150</t>
  </si>
  <si>
    <t>J00000158</t>
  </si>
  <si>
    <t>J158</t>
  </si>
  <si>
    <t>-210-J00000158--99-999-</t>
  </si>
  <si>
    <t>NMDC - SIR BANIYAS BRIDGE WORKS PROJECT</t>
  </si>
  <si>
    <t>J00000158 | NMDC - SIR BANIYAS BRIDGE WORKS PROJECT | J158</t>
  </si>
  <si>
    <t>J00000161</t>
  </si>
  <si>
    <t>J161</t>
  </si>
  <si>
    <t>-210-J00000161--99-999-</t>
  </si>
  <si>
    <t>NMDC - Hudariyat</t>
  </si>
  <si>
    <t>J00000161 | NMDC - Hudariyat | J161</t>
  </si>
  <si>
    <t>J00000174</t>
  </si>
  <si>
    <t>J174</t>
  </si>
  <si>
    <t>-210-J00000174--99-999-</t>
  </si>
  <si>
    <t>NSH - Borouge 4</t>
  </si>
  <si>
    <t>J00000174 | NSH - Borouge 4 | J174</t>
  </si>
  <si>
    <t>J00000186</t>
  </si>
  <si>
    <t>J186</t>
  </si>
  <si>
    <t>-210-J00000186--99-999-</t>
  </si>
  <si>
    <t>NPCC - Musaffah Yard 300Te</t>
  </si>
  <si>
    <t>J00000186 | NPCC - Musaffah Yard 300Te | J186</t>
  </si>
  <si>
    <t>J00000191</t>
  </si>
  <si>
    <t>J191</t>
  </si>
  <si>
    <t>-210-J00000191--99-999-</t>
  </si>
  <si>
    <t>NMDC - Al Yasat Isl. 280Te</t>
  </si>
  <si>
    <t>J00000191 | NMDC - Al Yasat Isl. 280Te | J191</t>
  </si>
  <si>
    <t>1 Overhead_02_42</t>
  </si>
  <si>
    <t>-135-1 Overhead_02_42----</t>
  </si>
  <si>
    <t>AMS AD Workshop + office</t>
  </si>
  <si>
    <t>1 Overhead_02_42 | AMS AD Workshop + office</t>
  </si>
  <si>
    <t>2 Project_02</t>
  </si>
  <si>
    <t>-135-2 Project_02--99-999-</t>
  </si>
  <si>
    <t>AMS AD</t>
  </si>
  <si>
    <t>2 Project_02 | AMS AD</t>
  </si>
  <si>
    <t>R00000043</t>
  </si>
  <si>
    <t>R43</t>
  </si>
  <si>
    <t>-135-R00000043--99-999-</t>
  </si>
  <si>
    <t>NMDC – NISI (Taweelah)</t>
  </si>
  <si>
    <t>R00000043 | NMDC – NISI (Taweelah) | R43</t>
  </si>
  <si>
    <t>J00000195</t>
  </si>
  <si>
    <t>J195</t>
  </si>
  <si>
    <t>-210-J00000195--99-999-</t>
  </si>
  <si>
    <t>Penta Global - Zirku Island</t>
  </si>
  <si>
    <t>J00000195 | Penta Global - Zirku Island | J195</t>
  </si>
  <si>
    <t>J_Yard</t>
  </si>
  <si>
    <t>-210-J_Yard----</t>
  </si>
  <si>
    <t>J_Yard (operator hrs Yard)</t>
  </si>
  <si>
    <t>J_Yard | J_Yard (operator hrs Yard)</t>
  </si>
  <si>
    <t>J_Workshop</t>
  </si>
  <si>
    <t>-210-J_Workshop----</t>
  </si>
  <si>
    <t>J_Workshop (mechanic hrs Yard)</t>
  </si>
  <si>
    <t>J_Workshop | J_Workshop (mechanic hrs Yard)</t>
  </si>
  <si>
    <t>R_Yard</t>
  </si>
  <si>
    <t>-135-R_Yard----</t>
  </si>
  <si>
    <t>R_Yard (operator hrs Yard)</t>
  </si>
  <si>
    <t>R_Yard | R_Yard (operator hrs Yard)</t>
  </si>
  <si>
    <t>R_Workshop</t>
  </si>
  <si>
    <t>-135-R_Workshop----</t>
  </si>
  <si>
    <t>R_Workshop (mechanic hrs Yard)</t>
  </si>
  <si>
    <t>R_Workshop | R_Workshop (mechanic hrs Yard)</t>
  </si>
  <si>
    <t>J00000196</t>
  </si>
  <si>
    <t>J196</t>
  </si>
  <si>
    <t>-210-J00000196--99-999-</t>
  </si>
  <si>
    <t>Adnoc Drilling - Asseifiya Island</t>
  </si>
  <si>
    <t>J00000196 | Adnoc Drilling - Asseifiya Island | J196</t>
  </si>
  <si>
    <t>J00000197</t>
  </si>
  <si>
    <t>J197</t>
  </si>
  <si>
    <t>-210-J00000197--99-999-</t>
  </si>
  <si>
    <t>NMDC - Taweelah Ramhan Project</t>
  </si>
  <si>
    <t>J00000197 | NMDC - Taweelah Ramhan Project | J197</t>
  </si>
  <si>
    <t>J00000201</t>
  </si>
  <si>
    <t>J201</t>
  </si>
  <si>
    <t>-210-J00000201--99-999-</t>
  </si>
  <si>
    <t>Motor Way General Transport - Mussafah onshore</t>
  </si>
  <si>
    <t>J00000201 | Motor Way General Transport - Mussafah onshore | J201</t>
  </si>
  <si>
    <t>J00000204</t>
  </si>
  <si>
    <t>J204</t>
  </si>
  <si>
    <t>-210-J00000204--99-999-</t>
  </si>
  <si>
    <t>ST JV - Guggenheim Abu Dhabi</t>
  </si>
  <si>
    <t>J00000204 | ST JV - Guggenheim Abu Dhabi | J204</t>
  </si>
  <si>
    <t>J00000211</t>
  </si>
  <si>
    <t>J211</t>
  </si>
  <si>
    <t>-210-J00000211--99-999-</t>
  </si>
  <si>
    <t>Adnoc Drilling - Liwa</t>
  </si>
  <si>
    <t>J00000211 | Adnoc Drilling - Liwa | J211</t>
  </si>
  <si>
    <t>J00000213</t>
  </si>
  <si>
    <t>J213</t>
  </si>
  <si>
    <t>-210-J00000213--99-999-</t>
  </si>
  <si>
    <t>Ali &amp; Sons - ASMEF Yard</t>
  </si>
  <si>
    <t>J00000213 | Ali &amp; Sons - ASMEF Yard | J213</t>
  </si>
  <si>
    <t>J00000218</t>
  </si>
  <si>
    <t>J218</t>
  </si>
  <si>
    <t>-210-J00000218--99-999-</t>
  </si>
  <si>
    <t>Denholm YSF - INEOS Project ICAD</t>
  </si>
  <si>
    <t>J00000218 | Denholm YSF - INEOS Project ICAD | J218</t>
  </si>
  <si>
    <t>R00000066</t>
  </si>
  <si>
    <t>R66</t>
  </si>
  <si>
    <t>-135-R00000066----</t>
  </si>
  <si>
    <t>Dredging International Saudi Arabia - Oxagon T2</t>
  </si>
  <si>
    <t>R00000066 | Dredging International Saudi Arabia - Oxagon T2 | R66</t>
  </si>
  <si>
    <t>J00000224</t>
  </si>
  <si>
    <t>J224</t>
  </si>
  <si>
    <t>-210-J00000224--99-999-</t>
  </si>
  <si>
    <t>NBTC - Borouge</t>
  </si>
  <si>
    <t>J00000224 | NBTC - Borouge | J224</t>
  </si>
  <si>
    <t>J00000225</t>
  </si>
  <si>
    <t>J225</t>
  </si>
  <si>
    <t>-210-J00000225--99-999-</t>
  </si>
  <si>
    <t>Denholm Yam - Borouge Ruwais</t>
  </si>
  <si>
    <t>J00000225 | Denholm Yam - Borouge Ruwais | J225</t>
  </si>
  <si>
    <t>J00000229</t>
  </si>
  <si>
    <t>J229</t>
  </si>
  <si>
    <t>-210-J00000229--AC-999-</t>
  </si>
  <si>
    <t>AMS BU135 - Internal rental</t>
  </si>
  <si>
    <t>J00000229 | AMS BU135 - Internal rental | J229</t>
  </si>
  <si>
    <t>J00000230</t>
  </si>
  <si>
    <t>J230</t>
  </si>
  <si>
    <t>-210-J00000230--99-999-</t>
  </si>
  <si>
    <t>Motorway - Hail &amp; Gasha</t>
  </si>
  <si>
    <t>J00000230 | Motorway - Hail &amp; Gasha | J230</t>
  </si>
  <si>
    <t>1 Equipment_01_03</t>
  </si>
  <si>
    <t>-465-1 Equipment_01_03--99-999-</t>
  </si>
  <si>
    <t>Maintenance &amp; repair Shared Service</t>
  </si>
  <si>
    <t>1 Equipment_01_03 | Maintenance &amp; repair Shared Service</t>
  </si>
  <si>
    <t>CR Workshop</t>
  </si>
  <si>
    <t>-210-CR Workshop--99-999-</t>
  </si>
  <si>
    <t>CR Workshop | CR Workshop</t>
  </si>
  <si>
    <t>CR Workshop_01</t>
  </si>
  <si>
    <t>-210-CR Workshop_01--99-999-</t>
  </si>
  <si>
    <t>CR Workshop_01 | Maintenance &amp; Repair</t>
  </si>
  <si>
    <t>CR Workshop_02</t>
  </si>
  <si>
    <t>-210-CR Workshop_02--99-999-</t>
  </si>
  <si>
    <t>CR Workshop_02 | Fuel</t>
  </si>
  <si>
    <t>CR Workshop_03</t>
  </si>
  <si>
    <t>-210-CR Workshop_03--99-999-</t>
  </si>
  <si>
    <t>CR Workshop_03 | Insurance</t>
  </si>
  <si>
    <t>CR Workshop_04</t>
  </si>
  <si>
    <t>-210-CR Workshop_04--99-999-</t>
  </si>
  <si>
    <t>CR Workshop_04 | Assets non depreciated</t>
  </si>
  <si>
    <t>CR Workshop_05</t>
  </si>
  <si>
    <t>-210-CR Workshop_05--99-999-</t>
  </si>
  <si>
    <t>CR Workshop_05 | Rent</t>
  </si>
  <si>
    <t>CR Workshop_06</t>
  </si>
  <si>
    <t>-210-CR Workshop_06--99-999-</t>
  </si>
  <si>
    <t>CR Workshop_06 | Intrest</t>
  </si>
  <si>
    <t>CR Workshop_07</t>
  </si>
  <si>
    <t>-210-CR Workshop_07--99-999-</t>
  </si>
  <si>
    <t>CR Workshop_07 | Depreciation</t>
  </si>
  <si>
    <t>CR Workshop_08</t>
  </si>
  <si>
    <t>-210-CR Workshop_08--99-999-</t>
  </si>
  <si>
    <t>CR Workshop_08 | Taxes</t>
  </si>
  <si>
    <t>CR Workshop_09</t>
  </si>
  <si>
    <t>-210-CR Workshop_09--99-999-</t>
  </si>
  <si>
    <t>CR Workshop_09 | Technical inspection</t>
  </si>
  <si>
    <t>CR Workshop_10</t>
  </si>
  <si>
    <t>-210-CR Workshop_10--99-999-</t>
  </si>
  <si>
    <t>CR Workshop_10 | Off-balance rent</t>
  </si>
  <si>
    <t>CR Workshop_11</t>
  </si>
  <si>
    <t>-210-CR Workshop_11--99-999-</t>
  </si>
  <si>
    <t>CR Workshop_11 | Transport</t>
  </si>
  <si>
    <t>CR Workshop_12</t>
  </si>
  <si>
    <t>-210-CR Workshop_12--99-999-</t>
  </si>
  <si>
    <t>CR Workshop_12 | Personnel</t>
  </si>
  <si>
    <t>CR Workshop_12_01</t>
  </si>
  <si>
    <t>-210-CR Workshop_12_01--99-999-</t>
  </si>
  <si>
    <t>CR Workshop_12_01 | Salary</t>
  </si>
  <si>
    <t>CR Workshop_12_02</t>
  </si>
  <si>
    <t>-210-CR Workshop_12_02--99-999-</t>
  </si>
  <si>
    <t>CR Workshop_12_02 | Extralegal</t>
  </si>
  <si>
    <t>CR Workshop_12_03</t>
  </si>
  <si>
    <t>-210-CR Workshop_12_03--99-999-</t>
  </si>
  <si>
    <t>CR Workshop_12_03 | Insurance</t>
  </si>
  <si>
    <t>CR Workshop_12_04</t>
  </si>
  <si>
    <t>-210-CR Workshop_12_04--99-999-</t>
  </si>
  <si>
    <t>CR Workshop_12_04 | Travel</t>
  </si>
  <si>
    <t>CR Workshop_12_05</t>
  </si>
  <si>
    <t>-210-CR Workshop_12_05--99-999-</t>
  </si>
  <si>
    <t>CR Workshop_12_05 | Training</t>
  </si>
  <si>
    <t>CR Workshop_12_06</t>
  </si>
  <si>
    <t>-210-CR Workshop_12_06--99-999-</t>
  </si>
  <si>
    <t>CR Workshop_12_06 | Temporary Staff</t>
  </si>
  <si>
    <t>CR Workshop_12_07</t>
  </si>
  <si>
    <t>-210-CR Workshop_12_07--99-999-</t>
  </si>
  <si>
    <t>CR Workshop_12_07 | Personel Protection Equipment (PPE)</t>
  </si>
  <si>
    <t>CR Workshop_12_08</t>
  </si>
  <si>
    <t>-210-CR Workshop_12_08--99-999-</t>
  </si>
  <si>
    <t>CR Workshop_12_08 | Other</t>
  </si>
  <si>
    <t>CR Workshop_12_02_01</t>
  </si>
  <si>
    <t>-210-CR Workshop_12_02_01--99-999-</t>
  </si>
  <si>
    <t>CR Workshop_12_02_01 | Extralegal fuel</t>
  </si>
  <si>
    <t>CR Workshop_12_02_02</t>
  </si>
  <si>
    <t>-210-CR Workshop_12_02_02--99-999-</t>
  </si>
  <si>
    <t>CR Workshop_12_02_02 | Rental private cars</t>
  </si>
  <si>
    <t>CR Workshop_12_02_03</t>
  </si>
  <si>
    <t>-210-CR Workshop_12_02_03--99-999-</t>
  </si>
  <si>
    <t>CR Workshop_12_02_03 | Housing</t>
  </si>
  <si>
    <t>CR Workshop_12_02_04</t>
  </si>
  <si>
    <t>-210-CR Workshop_12_02_04--99-999-</t>
  </si>
  <si>
    <t>CR Workshop_12_02_04 | Utilities</t>
  </si>
  <si>
    <t>CR Workshop_12_02_05</t>
  </si>
  <si>
    <t>-210-CR Workshop_12_02_05--99-999-</t>
  </si>
  <si>
    <t>CR Workshop_12_02_05 | School fees</t>
  </si>
  <si>
    <t>CR Workshop_12_02_06</t>
  </si>
  <si>
    <t>-210-CR Workshop_12_02_06--99-999-</t>
  </si>
  <si>
    <t>CR Workshop_12_02_06 | Child allowance</t>
  </si>
  <si>
    <t>CR Workshop_12_02_07</t>
  </si>
  <si>
    <t>-210-CR Workshop_12_02_07--99-999-</t>
  </si>
  <si>
    <t>CR Workshop_12_02_07 | Laundry service</t>
  </si>
  <si>
    <t>CR Workshop_12_02_08</t>
  </si>
  <si>
    <t>-210-CR Workshop_12_02_08--99-999-</t>
  </si>
  <si>
    <t>CR Workshop_12_02_08 | Food</t>
  </si>
  <si>
    <t>CR Workshop_12_02_09</t>
  </si>
  <si>
    <t>-210-CR Workshop_12_02_09--99-999-</t>
  </si>
  <si>
    <t>CR Workshop_12_02_09 | Visa &amp; licences</t>
  </si>
  <si>
    <t>R00000074</t>
  </si>
  <si>
    <t>R74</t>
  </si>
  <si>
    <t>-135-R00000074--99-999-</t>
  </si>
  <si>
    <t>NPCC - Saudi Aramco KSA</t>
  </si>
  <si>
    <t>R00000074 | NPCC - Saudi Aramco KSA | R74</t>
  </si>
  <si>
    <t>J00000235</t>
  </si>
  <si>
    <t>J235</t>
  </si>
  <si>
    <t>-210-J00000235--99-999-</t>
  </si>
  <si>
    <t>Alas - Precast</t>
  </si>
  <si>
    <t>J00000235 | Alas - Precast | J235</t>
  </si>
  <si>
    <t>J00000237</t>
  </si>
  <si>
    <t>J237</t>
  </si>
  <si>
    <t>-210-J00000237--99-999-</t>
  </si>
  <si>
    <t>OFCO - Mugharraq Port</t>
  </si>
  <si>
    <t>J00000237 | OFCO - Mugharraq Port | J237</t>
  </si>
  <si>
    <t>R00000078</t>
  </si>
  <si>
    <t>R78</t>
  </si>
  <si>
    <t>-135-R00000078--99-999-</t>
  </si>
  <si>
    <t>MBL - Jeddah</t>
  </si>
  <si>
    <t>R00000078 | MBL - Jeddah | R78</t>
  </si>
  <si>
    <t>J00000241</t>
  </si>
  <si>
    <t>J241</t>
  </si>
  <si>
    <t>-210-J00000241--99-999-</t>
  </si>
  <si>
    <t>Jan De Nul Dredging - Lightning Project</t>
  </si>
  <si>
    <t>J00000241 | Jan De Nul Dredging - Lightning Project | J241</t>
  </si>
  <si>
    <t>ETR-1162</t>
  </si>
  <si>
    <t>-485-ETR\-1162----</t>
  </si>
  <si>
    <t>Trading asset ETR-1162  CAT D8R</t>
  </si>
  <si>
    <t>ETR-1162 | Trading asset ETR-1162  CAT D8R</t>
  </si>
  <si>
    <t>ETR-1163</t>
  </si>
  <si>
    <t>-485-ETR\-1163----</t>
  </si>
  <si>
    <t>Trading asset ETR-1163 EX1200-6 raiser kit</t>
  </si>
  <si>
    <t>ETR-1163 | Trading asset ETR-1163 EX1200-6 raiser kit</t>
  </si>
  <si>
    <t>J00000243</t>
  </si>
  <si>
    <t>J243</t>
  </si>
  <si>
    <t>-210-J00000243--99-999-</t>
  </si>
  <si>
    <t>Denholm Yam - Hail &amp; Gasha Onshore</t>
  </si>
  <si>
    <t>J00000243 | Denholm Yam - Hail &amp; Gasha Onshore | J243</t>
  </si>
  <si>
    <t>J00000244</t>
  </si>
  <si>
    <t>J244</t>
  </si>
  <si>
    <t>-210-J00000244--99-999-</t>
  </si>
  <si>
    <t>Jan De Nul Dredging - Omairah Island</t>
  </si>
  <si>
    <t>J00000244 | Jan De Nul Dredging - Omairah Island | J244</t>
  </si>
  <si>
    <t>J00000246</t>
  </si>
  <si>
    <t>J246</t>
  </si>
  <si>
    <t>-210-J00000246--99-999-</t>
  </si>
  <si>
    <t>Jan De Nul Dredging - Dubai Water Front</t>
  </si>
  <si>
    <t>J00000246 | Jan De Nul Dredging - Dubai Water Front | J246</t>
  </si>
  <si>
    <t>R00000097</t>
  </si>
  <si>
    <t>R97</t>
  </si>
  <si>
    <t>-135-R00000097--99-999-</t>
  </si>
  <si>
    <t>NMDC - H&amp;G Island</t>
  </si>
  <si>
    <t>R00000097 | NMDC - H&amp;G Island | R97</t>
  </si>
  <si>
    <t>Workshop EM_13</t>
  </si>
  <si>
    <t>-135-Workshop EM_13----</t>
  </si>
  <si>
    <t>Batam</t>
  </si>
  <si>
    <t>Workshop EM_13 | Batam</t>
  </si>
  <si>
    <t>R00000100</t>
  </si>
  <si>
    <t>R100</t>
  </si>
  <si>
    <t>-135-R00000100--99-999-</t>
  </si>
  <si>
    <t>COWC - Port works Barbados</t>
  </si>
  <si>
    <t>R00000100 | COWC - Port works Barbados | R100</t>
  </si>
  <si>
    <t>J00000248</t>
  </si>
  <si>
    <t>J248</t>
  </si>
  <si>
    <t>-210-J00000248--99-999-</t>
  </si>
  <si>
    <t>NSH - Hail &amp; Gasha Onshore</t>
  </si>
  <si>
    <t>J00000248 | NSH - Hail &amp; Gasha Onshore | J248</t>
  </si>
  <si>
    <t>R00000104</t>
  </si>
  <si>
    <t>R104</t>
  </si>
  <si>
    <t>-135-R00000104--99-999-</t>
  </si>
  <si>
    <t>All Marine - Dalma Island</t>
  </si>
  <si>
    <t>R00000104 | All Marine - Dalma Island | R104</t>
  </si>
  <si>
    <t>J00000251</t>
  </si>
  <si>
    <t>J251</t>
  </si>
  <si>
    <t>-210-J00000251--99-999-</t>
  </si>
  <si>
    <t>ALAS - IMCC Yard</t>
  </si>
  <si>
    <t>J00000251 | ALAS - IMCC Yard | J251</t>
  </si>
  <si>
    <t>J00000252</t>
  </si>
  <si>
    <t>J252</t>
  </si>
  <si>
    <t>-210-J00000252--99-999-</t>
  </si>
  <si>
    <t>Dhafir Technologies - Zirku Island</t>
  </si>
  <si>
    <t>J00000252 | Dhafir Technologies - Zirku Island | J252</t>
  </si>
  <si>
    <t>J00000253</t>
  </si>
  <si>
    <t>J253</t>
  </si>
  <si>
    <t>-210-J00000253--99-999-</t>
  </si>
  <si>
    <t>TWMA - Gasha DC06 - Seebah Island</t>
  </si>
  <si>
    <t>J00000253 | TWMA - Gasha DC06 - Seebah Island | J253</t>
  </si>
  <si>
    <t>J00000254</t>
  </si>
  <si>
    <t>J254</t>
  </si>
  <si>
    <t>-210-J00000254--99-999-</t>
  </si>
  <si>
    <t>TWMA - Assifiya Island</t>
  </si>
  <si>
    <t>J00000254 | TWMA - Assifiya Island | J254</t>
  </si>
  <si>
    <t>R00000111</t>
  </si>
  <si>
    <t>R111</t>
  </si>
  <si>
    <t>-135-R00000111--99-999-</t>
  </si>
  <si>
    <t>NMDC - TAZIZ Logistics Project / Port Package</t>
  </si>
  <si>
    <t>R00000111 | NMDC - TAZIZ Logistics Project / Port Package | R111</t>
  </si>
  <si>
    <t>R00000112</t>
  </si>
  <si>
    <t>R112</t>
  </si>
  <si>
    <t>-135-R00000112--99-999-</t>
  </si>
  <si>
    <t>Archirodon - M1 Project - Umluj</t>
  </si>
  <si>
    <t>R00000112 | Archirodon - M1 Project - Umluj | R112</t>
  </si>
  <si>
    <t>J00000256</t>
  </si>
  <si>
    <t>J256</t>
  </si>
  <si>
    <t>-210-J00000256--99-999-</t>
  </si>
  <si>
    <t>Denholm Yam - Borouge 4 New Package</t>
  </si>
  <si>
    <t>J00000256 | Denholm Yam - Borouge 4 New Package | J256</t>
  </si>
  <si>
    <t>J00000257</t>
  </si>
  <si>
    <t>J257</t>
  </si>
  <si>
    <t>-210-J00000257--99-999-</t>
  </si>
  <si>
    <t>Turbine - Sas Al Nakhl</t>
  </si>
  <si>
    <t>J00000257 | Turbine - Sas Al Nakhl | J257</t>
  </si>
  <si>
    <t>J00000258</t>
  </si>
  <si>
    <t>J258</t>
  </si>
  <si>
    <t>-210-J00000258--99-999-</t>
  </si>
  <si>
    <t>NMDC - Taziz Landing Project</t>
  </si>
  <si>
    <t>J00000258 | NMDC - Taziz Landing Project | J258</t>
  </si>
  <si>
    <t>R00000118</t>
  </si>
  <si>
    <t>R118</t>
  </si>
  <si>
    <t>-135-R00000118--99-999-</t>
  </si>
  <si>
    <t>Target - Wave Project</t>
  </si>
  <si>
    <t>R00000118 | Target - Wave Project | R118</t>
  </si>
  <si>
    <t>J00000259</t>
  </si>
  <si>
    <t>J259</t>
  </si>
  <si>
    <t>-210-J00000259--99-999-</t>
  </si>
  <si>
    <t>Motor Way - Taziz</t>
  </si>
  <si>
    <t>J00000259 | Motor Way - Taziz | J259</t>
  </si>
  <si>
    <t>R00000119</t>
  </si>
  <si>
    <t>R119</t>
  </si>
  <si>
    <t>-135-R00000119--99-999-</t>
  </si>
  <si>
    <t>AVR-Umm Al Naar Refinery</t>
  </si>
  <si>
    <t>R00000119 | AVR-Umm Al Naar Refinery | R119</t>
  </si>
  <si>
    <t>R00000109</t>
  </si>
  <si>
    <t>R109</t>
  </si>
  <si>
    <t>-135-R00000109--99-999-</t>
  </si>
  <si>
    <t>DMC - Ras Laffan</t>
  </si>
  <si>
    <t>R00000109 | DMC - Ras Laffan | R109</t>
  </si>
  <si>
    <t>R00000120</t>
  </si>
  <si>
    <t>R120</t>
  </si>
  <si>
    <t>-135-R00000120--99-999-</t>
  </si>
  <si>
    <t>ARCHIRODON – Salt Domes</t>
  </si>
  <si>
    <t>R00000120 | ARCHIRODON – Salt Domes | R120</t>
  </si>
  <si>
    <t>J00000261</t>
  </si>
  <si>
    <t>J261</t>
  </si>
  <si>
    <t>-210-J00000261--99-999-</t>
  </si>
  <si>
    <t>NMDC - Al Nawras</t>
  </si>
  <si>
    <t>J00000261 | NMDC - Al Nawras | J261</t>
  </si>
  <si>
    <t>J00000262</t>
  </si>
  <si>
    <t>J262</t>
  </si>
  <si>
    <t>-210-J00000262--99-999-</t>
  </si>
  <si>
    <t>Gulf Ready Mix - Hail &amp; Gasha Onshore</t>
  </si>
  <si>
    <t>J00000262 | Gulf Ready Mix - Hail &amp; Gasha Onshore | J262</t>
  </si>
  <si>
    <t>J00000263</t>
  </si>
  <si>
    <t>J263</t>
  </si>
  <si>
    <t>-210-J00000263--99-999-</t>
  </si>
  <si>
    <t>Descon Engineering - Habshan 5</t>
  </si>
  <si>
    <t>J00000263 | Descon Engineering - Habshan 5 | J263</t>
  </si>
  <si>
    <t>R00000123</t>
  </si>
  <si>
    <t>R123</t>
  </si>
  <si>
    <t>-135-R00000123--99-999-</t>
  </si>
  <si>
    <t>SAIPEM - Hail &amp; Gasha</t>
  </si>
  <si>
    <t>R00000123 | SAIPEM - Hail &amp; Gasha | R123</t>
  </si>
  <si>
    <t>R00000124</t>
  </si>
  <si>
    <t>R124</t>
  </si>
  <si>
    <t>-135-R00000124--99-999-</t>
  </si>
  <si>
    <t>Target - Al Sahil Project</t>
  </si>
  <si>
    <t>R00000124 | Target - Al Sahil Project | R124</t>
  </si>
  <si>
    <t>J00000266</t>
  </si>
  <si>
    <t>J266</t>
  </si>
  <si>
    <t>-210-J00000266--99-999-</t>
  </si>
  <si>
    <t>Motorway - Shah Gas Expansion Project</t>
  </si>
  <si>
    <t>J00000266 | Motorway - Shah Gas Expansion Project | J266</t>
  </si>
  <si>
    <t>R00000128</t>
  </si>
  <si>
    <t>R128</t>
  </si>
  <si>
    <t>-135-R00000128--99-999-</t>
  </si>
  <si>
    <t>DAEWOO - Immersed Tunnel Iraq</t>
  </si>
  <si>
    <t>R00000128 | DAEWOO - Immersed Tunnel Iraq | R128</t>
  </si>
  <si>
    <t>T00000001</t>
  </si>
  <si>
    <t>-135-T00000001--99-999-</t>
  </si>
  <si>
    <t>AMS EM - Special External Transportation</t>
  </si>
  <si>
    <t>T00000001 | AMS EM - Special External Transportation</t>
  </si>
  <si>
    <t>J00000268</t>
  </si>
  <si>
    <t>J268</t>
  </si>
  <si>
    <t>-210-J00000268--99-999-</t>
  </si>
  <si>
    <t>NMDC LTS - LNG – Ruwais</t>
  </si>
  <si>
    <t>J00000268 | NMDC LTS - LNG – Ruwais | J268</t>
  </si>
  <si>
    <t>J00000269</t>
  </si>
  <si>
    <t>J269</t>
  </si>
  <si>
    <t>-210-J00000269--99-999-</t>
  </si>
  <si>
    <t>NSH - Harvest Ammonia Project</t>
  </si>
  <si>
    <t>J00000269 | NSH - Harvest Ammonia Project | J269</t>
  </si>
  <si>
    <t>R00000135</t>
  </si>
  <si>
    <t>R135</t>
  </si>
  <si>
    <t>-135-R00000135--99-999-</t>
  </si>
  <si>
    <t>Van Oord - Umm Suqeim</t>
  </si>
  <si>
    <t>R00000135 | Van Oord - Umm Suqeim | R135</t>
  </si>
  <si>
    <t>R00000136</t>
  </si>
  <si>
    <t>R136</t>
  </si>
  <si>
    <t>-135-R00000136--99-999-</t>
  </si>
  <si>
    <t>R00000136 | NMDC - Hudariyat | R136</t>
  </si>
  <si>
    <t>R90000000</t>
  </si>
  <si>
    <t>-135-R90000000--99-999-</t>
  </si>
  <si>
    <t>EM Training Yard</t>
  </si>
  <si>
    <t>R90000000 | EM Training Yard</t>
  </si>
  <si>
    <t>J00000270</t>
  </si>
  <si>
    <t>J270</t>
  </si>
  <si>
    <t>-210-J00000270--99-999-</t>
  </si>
  <si>
    <t>Sarens - H&amp;G Ruwais</t>
  </si>
  <si>
    <t>J00000270 | Sarens - H&amp;G Ruwais | J270</t>
  </si>
  <si>
    <t>R_Standby</t>
  </si>
  <si>
    <t>-135-R_Standby----</t>
  </si>
  <si>
    <t>R_Standby (operators hrs Standby)</t>
  </si>
  <si>
    <t>R_Standby | R_Standby (operators hrs Standby)</t>
  </si>
  <si>
    <t>R00000140</t>
  </si>
  <si>
    <t>R140</t>
  </si>
  <si>
    <t>-135-R00000140--99-999-</t>
  </si>
  <si>
    <t>Mar Marine - Cape Jumeirah</t>
  </si>
  <si>
    <t>R00000140 | Mar Marine - Cape Jumeirah | R140</t>
  </si>
  <si>
    <t>R00000141</t>
  </si>
  <si>
    <t>R141</t>
  </si>
  <si>
    <t>-135-R00000141--99-999-</t>
  </si>
  <si>
    <t>Mar Marine - Port Rashid</t>
  </si>
  <si>
    <t>R00000141 | Mar Marine - Port Rashid | R141</t>
  </si>
  <si>
    <t>ETR-1196</t>
  </si>
  <si>
    <t>-485-ETR\-1196----</t>
  </si>
  <si>
    <t>Trading asset 1196 - CAT D8T</t>
  </si>
  <si>
    <t>ETR-1196 | Trading asset 1196 - CAT D8T</t>
  </si>
  <si>
    <t>J00000271</t>
  </si>
  <si>
    <t>J271</t>
  </si>
  <si>
    <t>-210-J00000271--99-999-</t>
  </si>
  <si>
    <t>NSH - LNG Project Ruwais</t>
  </si>
  <si>
    <t>J00000271 | NSH - LNG Project Ruwais | J271</t>
  </si>
  <si>
    <t>J00000272</t>
  </si>
  <si>
    <t>J272</t>
  </si>
  <si>
    <t>-210-J00000272--99-999-</t>
  </si>
  <si>
    <t>Roll Group - Test Weights &amp; Tray Mussafah</t>
  </si>
  <si>
    <t>J00000272 | Roll Group - Test Weights &amp; Tray Mussafah | J272</t>
  </si>
  <si>
    <t>R00000139</t>
  </si>
  <si>
    <t>R139</t>
  </si>
  <si>
    <t>-135-R00000139--99-999-</t>
  </si>
  <si>
    <t>NAEL General – Al Amerah, Al Ain</t>
  </si>
  <si>
    <t>R00000139 | NAEL General – Al Amerah, Al Ain | R139</t>
  </si>
  <si>
    <t>2 Project_02_42_03</t>
  </si>
  <si>
    <t>-135-2 Project_02_42_03--99-999-</t>
  </si>
  <si>
    <t>2 Project_02_42</t>
  </si>
  <si>
    <t>AD Floor Office UAE</t>
  </si>
  <si>
    <t>2 Project_02_42_03 | AD Floor Office UAE</t>
  </si>
  <si>
    <t>J00000273</t>
  </si>
  <si>
    <t>J273</t>
  </si>
  <si>
    <t>-210-J00000273--99-999-</t>
  </si>
  <si>
    <t>Galfar - Mahani Sharjah</t>
  </si>
  <si>
    <t>J00000273 | Galfar - Mahani Sharjah | J273</t>
  </si>
  <si>
    <t>J00000274</t>
  </si>
  <si>
    <t>J274</t>
  </si>
  <si>
    <t>-210-J00000274--99-999-</t>
  </si>
  <si>
    <t>NMDC - MERAM Habshan</t>
  </si>
  <si>
    <t>J00000274 | NMDC - MERAM Habshan | J274</t>
  </si>
  <si>
    <t>R00000143</t>
  </si>
  <si>
    <t>R143</t>
  </si>
  <si>
    <t>-135-R00000143--99-999-</t>
  </si>
  <si>
    <t>JDN - Palm Jebel Ali</t>
  </si>
  <si>
    <t>R00000143 | JDN - Palm Jebel Ali | R143</t>
  </si>
  <si>
    <t>J00000275</t>
  </si>
  <si>
    <t>J275</t>
  </si>
  <si>
    <t>-210-J00000275--99-999-</t>
  </si>
  <si>
    <t>Penta Global - MEI Works Mussafah</t>
  </si>
  <si>
    <t>J00000275 | Penta Global - MEI Works Mussafah | J275</t>
  </si>
  <si>
    <t>R00000147</t>
  </si>
  <si>
    <t>R147</t>
  </si>
  <si>
    <t>-135-R00000147--99-999-</t>
  </si>
  <si>
    <t>NMDC - Ruwais LNG</t>
  </si>
  <si>
    <t>R00000147 | NMDC - Ruwais LNG | R147</t>
  </si>
  <si>
    <t>R00000148</t>
  </si>
  <si>
    <t>R148</t>
  </si>
  <si>
    <t>-135-R00000148--99-999-</t>
  </si>
  <si>
    <t>NMDC - Zirku Project</t>
  </si>
  <si>
    <t>R00000148 | NMDC - Zirku Project | R148</t>
  </si>
  <si>
    <t>R00000151</t>
  </si>
  <si>
    <t>R151</t>
  </si>
  <si>
    <t>-135-R00000151--99-999-</t>
  </si>
  <si>
    <t>NPCC-SAIPEM jv - H&amp;G Package 1</t>
  </si>
  <si>
    <t>R00000151 | NPCC-SAIPEM jv - H&amp;G Package 1 | R151</t>
  </si>
  <si>
    <t>R00000138</t>
  </si>
  <si>
    <t>R138</t>
  </si>
  <si>
    <t>-135-R00000138--99-999-</t>
  </si>
  <si>
    <t>Masirah - LNG Sur</t>
  </si>
  <si>
    <t>R00000138 | Masirah - LNG Sur | R138</t>
  </si>
  <si>
    <t>J00000276</t>
  </si>
  <si>
    <t>J276</t>
  </si>
  <si>
    <t>-210-J00000276--99-999-</t>
  </si>
  <si>
    <t>J00000276 | JDN - Palm Jebel Ali | J276</t>
  </si>
  <si>
    <t>J00000277</t>
  </si>
  <si>
    <t>J277</t>
  </si>
  <si>
    <t>-210-J00000277--99-999-</t>
  </si>
  <si>
    <t>Falcor - Load Spreader Mats</t>
  </si>
  <si>
    <t>J00000277 | Falcor - Load Spreader Mats | J277</t>
  </si>
  <si>
    <t>J00000278</t>
  </si>
  <si>
    <t>J278</t>
  </si>
  <si>
    <t>-210-J00000278--99-999-</t>
  </si>
  <si>
    <t>BAGC - Hail &amp; Gasha Onshore</t>
  </si>
  <si>
    <t>J00000278 | BAGC - Hail &amp; Gasha Onshore | J278</t>
  </si>
  <si>
    <t>R00000153</t>
  </si>
  <si>
    <t>R153</t>
  </si>
  <si>
    <t>-135-R00000153--99-999-</t>
  </si>
  <si>
    <t>DBB - Peninsula Project</t>
  </si>
  <si>
    <t>R00000153 | DBB - Peninsula Project | R153</t>
  </si>
  <si>
    <t>R00000154</t>
  </si>
  <si>
    <t>R154</t>
  </si>
  <si>
    <t>-135-R00000154--99-999-</t>
  </si>
  <si>
    <t>PLC - Umm Suqeim</t>
  </si>
  <si>
    <t>R00000154 | PLC - Umm Suqeim | R154</t>
  </si>
  <si>
    <t>J00000279</t>
  </si>
  <si>
    <t>J279</t>
  </si>
  <si>
    <t>-210-J00000279--99-999-</t>
  </si>
  <si>
    <t>J00000279 | NPCC-SAIPEM jv - H&amp;G Package 1 | J279</t>
  </si>
  <si>
    <t>R00000155</t>
  </si>
  <si>
    <t>R155</t>
  </si>
  <si>
    <t>-135-R00000155--99-999-</t>
  </si>
  <si>
    <t>TWMA - H&amp;G GOP</t>
  </si>
  <si>
    <t>R00000155 | TWMA - H&amp;G GOP | R155</t>
  </si>
  <si>
    <t>R00000156</t>
  </si>
  <si>
    <t>R156</t>
  </si>
  <si>
    <t>-135-R00000156--99-999-</t>
  </si>
  <si>
    <t>ITD Cementation - Ruwais LNG</t>
  </si>
  <si>
    <t>R00000156 | ITD Cementation - Ruwais LNG | R156</t>
  </si>
  <si>
    <t>R00000157</t>
  </si>
  <si>
    <t>R157</t>
  </si>
  <si>
    <t>-135-R00000157--99-999-</t>
  </si>
  <si>
    <t>PLC - C34 MBM</t>
  </si>
  <si>
    <t>R00000157 | PLC - C34 MBM | R157</t>
  </si>
  <si>
    <t>1 Equipment_04_03</t>
  </si>
  <si>
    <t>-465-1 Equipment_04_03--99-999-</t>
  </si>
  <si>
    <t>Assets non depreciated Shared Service</t>
  </si>
  <si>
    <t>1 Equipment_04_03 | Assets non depreciated Shared Service</t>
  </si>
  <si>
    <t>R00000150</t>
  </si>
  <si>
    <t>R150</t>
  </si>
  <si>
    <t>-135-R00000150--99-999-</t>
  </si>
  <si>
    <t>Van Oord - Pipavav, India</t>
  </si>
  <si>
    <t>R00000150 | Van Oord - Pipavav, India | R150</t>
  </si>
  <si>
    <t>R00000158</t>
  </si>
  <si>
    <t>R158</t>
  </si>
  <si>
    <t>-135-R00000158--99-999-</t>
  </si>
  <si>
    <t>DBB - Al Marjan Island</t>
  </si>
  <si>
    <t>R00000158 | DBB - Al Marjan Island | R158</t>
  </si>
  <si>
    <t>J00000280</t>
  </si>
  <si>
    <t>J280</t>
  </si>
  <si>
    <t>-210-J00000280--99-999-</t>
  </si>
  <si>
    <t>Cylingas - Habshan 5</t>
  </si>
  <si>
    <t>J00000280 | Cylingas - Habshan 5 | J280</t>
  </si>
  <si>
    <t>J00000281</t>
  </si>
  <si>
    <t>J281</t>
  </si>
  <si>
    <t>-210-J00000281--99-999-</t>
  </si>
  <si>
    <t>Al Jaber - H&amp;G Package 1</t>
  </si>
  <si>
    <t>J00000281 | Al Jaber - H&amp;G Package 1 | J281</t>
  </si>
  <si>
    <t>J00000282</t>
  </si>
  <si>
    <t>J282</t>
  </si>
  <si>
    <t>-210-J00000282--99-999-</t>
  </si>
  <si>
    <t>Star Ocean - Bu Sikeen Island</t>
  </si>
  <si>
    <t>J00000282 | Star Ocean - Bu Sikeen Island | J282</t>
  </si>
  <si>
    <t>R00000164</t>
  </si>
  <si>
    <t>R164</t>
  </si>
  <si>
    <t>-135-R00000164--99-999-</t>
  </si>
  <si>
    <t>NMDC - Ghantoot Ora-Bayn Phase 1</t>
  </si>
  <si>
    <t>R00000164 | NMDC - Ghantoot Ora-Bayn Phase 1 | R164</t>
  </si>
  <si>
    <t>R00000161</t>
  </si>
  <si>
    <t>R161</t>
  </si>
  <si>
    <t>-135-R00000161--99-999-</t>
  </si>
  <si>
    <t>TARGET - Mina Port</t>
  </si>
  <si>
    <t>R00000161 | TARGET - Mina Port | R161</t>
  </si>
  <si>
    <t>R00000162</t>
  </si>
  <si>
    <t>R162</t>
  </si>
  <si>
    <t>-135-R00000162--99-999-</t>
  </si>
  <si>
    <t>JIATAI Contracting - Al Sila Port</t>
  </si>
  <si>
    <t>R00000162 | JIATAI Contracting - Al Sila Port | R162</t>
  </si>
  <si>
    <t>R00000159</t>
  </si>
  <si>
    <t>R159</t>
  </si>
  <si>
    <t>-135-R00000159--99-999-</t>
  </si>
  <si>
    <t>DCS - Baitha Qassem</t>
  </si>
  <si>
    <t>R00000159 | DCS - Baitha Qassem | R159</t>
  </si>
  <si>
    <t>R00000160</t>
  </si>
  <si>
    <t>R160</t>
  </si>
  <si>
    <t>-135-R00000160--99-999-</t>
  </si>
  <si>
    <t>AL QARYAN - Al Khobar</t>
  </si>
  <si>
    <t>R00000160 | AL QARYAN - Al Khobar | R160</t>
  </si>
  <si>
    <t>R00000163</t>
  </si>
  <si>
    <t>R163</t>
  </si>
  <si>
    <t>-135-R00000163--99-999-</t>
  </si>
  <si>
    <t>AL QARYAN - Shuaibah</t>
  </si>
  <si>
    <t>R00000163 | AL QARYAN - Shuaibah | R163</t>
  </si>
  <si>
    <t>J00000283</t>
  </si>
  <si>
    <t>J283</t>
  </si>
  <si>
    <t>-210-J00000283--99-999-</t>
  </si>
  <si>
    <t>Eagle Ultra - Jabel Ali (Hire of Test Weights)</t>
  </si>
  <si>
    <t>J00000283 | Eagle Ultra - Jabel Ali (Hire of Test Weights) | J283</t>
  </si>
  <si>
    <t>R00000165</t>
  </si>
  <si>
    <t>R165</t>
  </si>
  <si>
    <t>-135-R00000165--99-999-</t>
  </si>
  <si>
    <t>ALEC - The Sphere</t>
  </si>
  <si>
    <t>R00000165 | ALEC - The Sphere | R165</t>
  </si>
  <si>
    <t>R00000166</t>
  </si>
  <si>
    <t>R166</t>
  </si>
  <si>
    <t>-135-R00000166--99-999-</t>
  </si>
  <si>
    <t>NMDC - Khalifa Port</t>
  </si>
  <si>
    <t>R00000166 | NMDC - Khalifa Port | R166</t>
  </si>
  <si>
    <t>LOCATION</t>
  </si>
  <si>
    <t>Formula used</t>
  </si>
  <si>
    <t>J00000019 | J19 | Galfar - Habshan &amp; ASAB</t>
  </si>
  <si>
    <t>=TEXTJOIN(" | ", TRUE, [@ProjectID], [@[ProjectID Abb]], [@ProjectName])</t>
  </si>
  <si>
    <t>J00000046 | J46 | RAK Precast - Ras Al Khaimah FZ</t>
  </si>
  <si>
    <t>J00000047 | J47 | AMS220</t>
  </si>
  <si>
    <t>J00000071 | J71 | Robt. Stone - Habshan</t>
  </si>
  <si>
    <t>J00000102 | J102 | OFCO - Mina Free Port</t>
  </si>
  <si>
    <t>J00000114 | J114 | ADNOC LS - UZ and S</t>
  </si>
  <si>
    <t>J00000150 | J150 | Target Engineering - Arzanah Island</t>
  </si>
  <si>
    <t>J00000158 | J158 | NMDC - SIR BANIYAS BRIDGE WORKS PROJECT</t>
  </si>
  <si>
    <t>J00000161 | J161 | NMDC - Hudariyat</t>
  </si>
  <si>
    <t>J00000174 | J174 | NSH - Borouge 4</t>
  </si>
  <si>
    <t>J00000186 | J186 | NPCC - Musaffah Yard 300Te</t>
  </si>
  <si>
    <t>J00000191 | J191 | NMDC - Al Yasat Isl. 280Te</t>
  </si>
  <si>
    <t>J00000195 | J195 | Penta Global - Zirku Island</t>
  </si>
  <si>
    <t>J00000196 | J196 | Adnoc Drilling - Asseifiya Island</t>
  </si>
  <si>
    <t>J00000197 | J197 | NMDC - Taweelah Ramhan Project</t>
  </si>
  <si>
    <t>J00000201 | J201 | Motor Way General Transport - Mussafah onshore</t>
  </si>
  <si>
    <t>J00000204 | J204 | ST JV - Guggenheim Abu Dhabi</t>
  </si>
  <si>
    <t>J00000211 | J211 | Adnoc Drilling - Liwa</t>
  </si>
  <si>
    <t>J00000213 | J213 | Ali &amp; Sons - ASMEF Yard</t>
  </si>
  <si>
    <t>J00000218 | J218 | Denholm YSF - INEOS Project ICAD</t>
  </si>
  <si>
    <t>J00000224 | J224 | NBTC - Borouge</t>
  </si>
  <si>
    <t>J00000225 | J225 | Denholm Yam - Borouge Ruwais</t>
  </si>
  <si>
    <t>J00000229 | J229 | AMS BU135 - Internal rental</t>
  </si>
  <si>
    <t>J00000230 | J230 | Motorway - Hail &amp; Gasha</t>
  </si>
  <si>
    <t>J00000235 | J235 | Alas - Precast</t>
  </si>
  <si>
    <t>J00000237 | J237 | OFCO - Mugharraq Port</t>
  </si>
  <si>
    <t>J00000241 | J241 | Jan De Nul Dredging - Lightning Project</t>
  </si>
  <si>
    <t>J00000243 | J243 | Denholm Yam - Hail &amp; Gasha Onshore</t>
  </si>
  <si>
    <t>J00000244 | J244 | Jan De Nul Dredging - Omairah Island</t>
  </si>
  <si>
    <t>J00000246 | J246 | Jan De Nul Dredging - Dubai Water Front</t>
  </si>
  <si>
    <t>J00000248 | J248 | NSH - Hail &amp; Gasha Onshore</t>
  </si>
  <si>
    <t>J00000251 | J251 | ALAS - IMCC Yard</t>
  </si>
  <si>
    <t>J00000252 | J252 | Dhafir Technologies - Zirku Island</t>
  </si>
  <si>
    <t>J00000253 | J253 | TWMA - Gasha DC06 - Seebah Island</t>
  </si>
  <si>
    <t>J00000254 | J254 | TWMA - Assifiya Island</t>
  </si>
  <si>
    <t>J00000256 | J256 | Denholm Yam - Borouge 4 New Package</t>
  </si>
  <si>
    <t>J00000257 | J257 | Turbine - Sas Al Nakhl</t>
  </si>
  <si>
    <t>J00000258 | J258 | NMDC - Taziz Landing Project</t>
  </si>
  <si>
    <t>J00000259 | J259 | Motor Way - Taziz</t>
  </si>
  <si>
    <t>J00000261 | J261 | NMDC - Al Nawras</t>
  </si>
  <si>
    <t>J00000262 | J262 | Gulf Ready Mix - Hail &amp; Gasha Onshore</t>
  </si>
  <si>
    <t>J00000263 | J263 | Descon Engineering - Habshan 5</t>
  </si>
  <si>
    <t>J00000266 | J266 | Motorway - Shah Gas Expansion Project</t>
  </si>
  <si>
    <t>J00000268 | J268 | NMDC LTS - LNG – Ruwais</t>
  </si>
  <si>
    <t>J00000269 | J269 | NSH - Harvest Ammonia Project</t>
  </si>
  <si>
    <t>J00000270 | J270 | Sarens - H&amp;G Ruwais</t>
  </si>
  <si>
    <t>J00000271 | J271 | NSH - LNG Project Ruwais</t>
  </si>
  <si>
    <t>J00000272 | J272 | Roll Group - Test Weights &amp; Tray Mussafah</t>
  </si>
  <si>
    <t>J00000273 | J273 | Galfar - Mahani Sharjah</t>
  </si>
  <si>
    <t>J00000274 | J274 | NMDC - MERAM Habshan</t>
  </si>
  <si>
    <t>J00000275 | J275 | Penta Global - MEI Works Mussafah</t>
  </si>
  <si>
    <t>J00000276 | J276 | JDN - Palm Jebel Ali</t>
  </si>
  <si>
    <t>J00000277 | J277 | Falcor - Load Spreader Mats</t>
  </si>
  <si>
    <t>J00000278 | J278 | BAGC - Hail &amp; Gasha Onshore</t>
  </si>
  <si>
    <t>J00000279 | J279 | NPCC-SAIPEM jv - H&amp;G Package 1</t>
  </si>
  <si>
    <t>J00000280 | J280 | Cylingas - Habshan 5</t>
  </si>
  <si>
    <t>J00000281 | J281 | Al Jaber - H&amp;G Package 1</t>
  </si>
  <si>
    <t>J00000282 | J282 | Star Ocean - Bu Sikeen Island</t>
  </si>
  <si>
    <t>J00000283 | J283 | Eagle Ultra - Jabel Ali (Hire of Test Weights)</t>
  </si>
  <si>
    <t>R00000028 | R28 | Target DGD</t>
  </si>
  <si>
    <t>R00000043 | R43 | NMDC – NISI (Taweelah)</t>
  </si>
  <si>
    <t>R00000066 | R66 | Dredging International Saudi Arabia - Oxagon T2</t>
  </si>
  <si>
    <t>R00000074 | R74 | NPCC - Saudi Aramco KSA</t>
  </si>
  <si>
    <t>R00000078 | R78 | MBL - Jeddah</t>
  </si>
  <si>
    <t>R00000097 | R97 | NMDC - H&amp;G Island</t>
  </si>
  <si>
    <t>R00000100 | R100 | COWC - Port works Barbados</t>
  </si>
  <si>
    <t>R00000104 | R104 | All Marine - Dalma Island</t>
  </si>
  <si>
    <t>R00000109 | R109 | DMC - Ras Laffan</t>
  </si>
  <si>
    <t>R00000111 | R111 | NMDC - TAZIZ Logistics Project / Port Package</t>
  </si>
  <si>
    <t>R00000112 | R112 | Archirodon - M1 Project - Umluj</t>
  </si>
  <si>
    <t>R00000118 | R118 | Target - Wave Project</t>
  </si>
  <si>
    <t>R00000119 | R119 | AVR-Umm Al Naar Refinery</t>
  </si>
  <si>
    <t>R00000120 | R120 | ARCHIRODON – Salt Domes</t>
  </si>
  <si>
    <t>R00000123 | R123 | SAIPEM - Hail &amp; Gasha</t>
  </si>
  <si>
    <t>R00000124 | R124 | Target - Al Sahil Project</t>
  </si>
  <si>
    <t>R00000128 | R128 | DAEWOO - Immersed Tunnel Iraq</t>
  </si>
  <si>
    <t>R00000135 | R135 | Van Oord - Umm Suqeim</t>
  </si>
  <si>
    <t>R00000136 | R136 | NMDC - Hudariyat</t>
  </si>
  <si>
    <t>R00000138 | R138 | Masirah - LNG Sur</t>
  </si>
  <si>
    <t>R00000139 | R139 | NAEL General – Al Amerah, Al Ain</t>
  </si>
  <si>
    <t>R00000140 | R140 | Mar Marine - Cape Jumeirah</t>
  </si>
  <si>
    <t>R00000141 | R141 | Mar Marine - Port Rashid</t>
  </si>
  <si>
    <t>R00000143 | R143 | JDN - Palm Jebel Ali</t>
  </si>
  <si>
    <t>R00000147 | R147 | NMDC - Ruwais LNG</t>
  </si>
  <si>
    <t>R00000148 | R148 | NMDC - Zirku Project</t>
  </si>
  <si>
    <t>R00000150 | R150 | Van Oord - Pipavav, India</t>
  </si>
  <si>
    <t>R00000151 | R151 | NPCC-SAIPEM jv - H&amp;G Package 1</t>
  </si>
  <si>
    <t>R00000153 | R153 | DBB - Peninsula Project</t>
  </si>
  <si>
    <t>R00000154 | R154 | PLC - Umm Suqeim</t>
  </si>
  <si>
    <t>R00000155 | R155 | TWMA - H&amp;G GOP</t>
  </si>
  <si>
    <t>R00000156 | R156 | ITD Cementation - Ruwais LNG</t>
  </si>
  <si>
    <t>R00000157 | R157 | PLC - C34 MBM</t>
  </si>
  <si>
    <t>R00000158 | R158 | DBB - Al Marjan Island</t>
  </si>
  <si>
    <t>R00000159 | R159 | DCS - Baitha Qassem</t>
  </si>
  <si>
    <t>R00000160 | R160 | AL QARYAN - Al Khobar</t>
  </si>
  <si>
    <t>R00000161 | R161 | TARGET - Mina Port</t>
  </si>
  <si>
    <t>R00000162 | R162 | JIATAI Contracting - Al Sila Port</t>
  </si>
  <si>
    <t>R00000163 | R163 | AL QARYAN - Shuaibah</t>
  </si>
  <si>
    <t>R00000164 | R164 | NMDC - Ghantoot Ora-Bayn Phase 1</t>
  </si>
  <si>
    <t>R00000165 | R165 | ALEC - The Sphere</t>
  </si>
  <si>
    <t>R00000166 | R166 | NMDC - Khalifa Port</t>
  </si>
  <si>
    <t>ICAD III</t>
  </si>
  <si>
    <t>Abu dhabi</t>
  </si>
  <si>
    <t>ICAD III | Abu dhabi</t>
  </si>
  <si>
    <t>REQUESTER</t>
  </si>
  <si>
    <t>DisplayName</t>
  </si>
  <si>
    <t>CompanyName</t>
  </si>
  <si>
    <t>EmailAddress</t>
  </si>
  <si>
    <t>OfficeLocation</t>
  </si>
  <si>
    <t>JobTitle</t>
  </si>
  <si>
    <t>Zubaida Al Farsi</t>
  </si>
  <si>
    <t>Aertssen Machinery Services</t>
  </si>
  <si>
    <t>zubaida.alfarsi@aertssen.be</t>
  </si>
  <si>
    <t>AMS - Abu Dhabi</t>
  </si>
  <si>
    <t>Branch Manager</t>
  </si>
  <si>
    <t>Zenios Zeniou</t>
  </si>
  <si>
    <t>Aertssen Machinery Services Ltd</t>
  </si>
  <si>
    <t>zenonas.zeniou@aertssen.be</t>
  </si>
  <si>
    <t>AMS - Cyprus</t>
  </si>
  <si>
    <t>Finance Manager</t>
  </si>
  <si>
    <t>Yasser Hassan</t>
  </si>
  <si>
    <t>yasser.hassan@aertssen.be</t>
  </si>
  <si>
    <t>Public Relations Officer</t>
  </si>
  <si>
    <t>Yanick Bormans</t>
  </si>
  <si>
    <t>yanick.bormans@aertssen.be</t>
  </si>
  <si>
    <t>Business Process Manager</t>
  </si>
  <si>
    <t>Yan Huang</t>
  </si>
  <si>
    <t>yan.huang@aertssen.be</t>
  </si>
  <si>
    <t>Accountant</t>
  </si>
  <si>
    <t>William Barrantes</t>
  </si>
  <si>
    <t>william.barrantes@aertssen.be</t>
  </si>
  <si>
    <t>AMS - Duba</t>
  </si>
  <si>
    <t>Expat Mechanic</t>
  </si>
  <si>
    <t>Wietse Schaefer</t>
  </si>
  <si>
    <t>wietse.schaefer@aertssen.be</t>
  </si>
  <si>
    <t>Project Manager</t>
  </si>
  <si>
    <t>Wesley Hamal</t>
  </si>
  <si>
    <t>wesley.hamal@aertssen.be</t>
  </si>
  <si>
    <t>Workshop Manager</t>
  </si>
  <si>
    <t>Vinod Nair</t>
  </si>
  <si>
    <t>vinod.nair@aertssen.be</t>
  </si>
  <si>
    <t>Workshop Admin</t>
  </si>
  <si>
    <t>Vinay K Sreekumaran</t>
  </si>
  <si>
    <t>vinay.ks@aertssen.be</t>
  </si>
  <si>
    <t>Assistant Operations Manager</t>
  </si>
  <si>
    <t>Victoria Devooght</t>
  </si>
  <si>
    <t>victoria.devooght@aertssen.be</t>
  </si>
  <si>
    <t>HR Manager</t>
  </si>
  <si>
    <t>Velu Malaichamy</t>
  </si>
  <si>
    <t>Velu.Malaichamy@aertssen.be</t>
  </si>
  <si>
    <t>Supervisor</t>
  </si>
  <si>
    <t>Udala Arachchilage</t>
  </si>
  <si>
    <t>udala.arachchilage@aertssen.be</t>
  </si>
  <si>
    <t>Camp Boss</t>
  </si>
  <si>
    <t>Ubaid Rahman</t>
  </si>
  <si>
    <t>ubaid.rahman@aertssen.be</t>
  </si>
  <si>
    <t>AMS Duba</t>
  </si>
  <si>
    <t>Tony Nuyts</t>
  </si>
  <si>
    <t>Tony.Nuyts@Aertssen.Be</t>
  </si>
  <si>
    <t>Business Unit Manager Middle East</t>
  </si>
  <si>
    <t>Tauseef Riaz</t>
  </si>
  <si>
    <t>tauseef.riaz@AERTSSEN.BE</t>
  </si>
  <si>
    <t>Commercial Executive</t>
  </si>
  <si>
    <t>Tariq Khan</t>
  </si>
  <si>
    <t>tariq.khan@aertssen.be</t>
  </si>
  <si>
    <t>Supervisor - Crane Division</t>
  </si>
  <si>
    <t>Sunil Singh</t>
  </si>
  <si>
    <t>sunil.singh@aertssen.be</t>
  </si>
  <si>
    <t>USER: AMS AD</t>
  </si>
  <si>
    <t>Procurement Officer</t>
  </si>
  <si>
    <t>Sumith Lal</t>
  </si>
  <si>
    <t>sumith.lal@aertssen.be</t>
  </si>
  <si>
    <t>Store Picker</t>
  </si>
  <si>
    <t>Sultan Ahmad</t>
  </si>
  <si>
    <t>sultan.ahmad@aertssen.be</t>
  </si>
  <si>
    <t>Foreman</t>
  </si>
  <si>
    <t>Steve Hirst</t>
  </si>
  <si>
    <t>steve.hirst@aertssen.be</t>
  </si>
  <si>
    <t>Stephan Eeckhout</t>
  </si>
  <si>
    <t>stephan.eeckhout@aertssen.be</t>
  </si>
  <si>
    <t>Manager Earthmoving Division</t>
  </si>
  <si>
    <t>Srinivas Titti</t>
  </si>
  <si>
    <t>srinivas.titti@aertssen.be</t>
  </si>
  <si>
    <t>Silvia Manuel</t>
  </si>
  <si>
    <t>silvia.manuel@aertssen.be</t>
  </si>
  <si>
    <t>Public Relation Officer</t>
  </si>
  <si>
    <t>Shinjo Joy</t>
  </si>
  <si>
    <t>shinjo.joy@aertssen.be</t>
  </si>
  <si>
    <t>Shijo Andrews</t>
  </si>
  <si>
    <t>shijo.andrews@aertssen.be</t>
  </si>
  <si>
    <t>Mechanical Supervisor</t>
  </si>
  <si>
    <t>Shijil Cp</t>
  </si>
  <si>
    <t>shijil.cp@aertssen.be</t>
  </si>
  <si>
    <t>Sheila Ararao</t>
  </si>
  <si>
    <t>sheila.ararao@aertssen.be</t>
  </si>
  <si>
    <t>Workshop / Procurement Officer</t>
  </si>
  <si>
    <t>Shaun Spies</t>
  </si>
  <si>
    <t>shaun.spies@aertssen.be</t>
  </si>
  <si>
    <t>Shama Altamimi</t>
  </si>
  <si>
    <t>shama.altamimi@Aertssen.be</t>
  </si>
  <si>
    <t>HR Business Partner</t>
  </si>
  <si>
    <t>Shakir Meethal</t>
  </si>
  <si>
    <t>shakir.meethal@aertssen.be</t>
  </si>
  <si>
    <t>Storekeeper</t>
  </si>
  <si>
    <t>Shaima Alzaabi</t>
  </si>
  <si>
    <t>shaima.alzaabi@aertssen.be</t>
  </si>
  <si>
    <t>Receptionist</t>
  </si>
  <si>
    <t>shahfeen.shamsudheen@aertssen.be</t>
  </si>
  <si>
    <t>AMS Abu Dhabi</t>
  </si>
  <si>
    <t>Senior Procurement Officer</t>
  </si>
  <si>
    <t>Security AMS QA</t>
  </si>
  <si>
    <t>Aertssen Machinery Services WLL</t>
  </si>
  <si>
    <t>security.qa@aertssen.be</t>
  </si>
  <si>
    <t>AMS - Qatar</t>
  </si>
  <si>
    <t>Saleh Al Humaidi</t>
  </si>
  <si>
    <t>saleh.alhumaidi@aertssen.be</t>
  </si>
  <si>
    <t>PRO</t>
  </si>
  <si>
    <t>Sahaya Jekin</t>
  </si>
  <si>
    <t>sahaya.jekin@aertssen.be</t>
  </si>
  <si>
    <t>HSE and Project Coordinator</t>
  </si>
  <si>
    <t>Sahar Madeieh</t>
  </si>
  <si>
    <t>sahar.madeieh@aertssen.be</t>
  </si>
  <si>
    <t>Ryan Perez</t>
  </si>
  <si>
    <t>ryan.perez@aertssen.be</t>
  </si>
  <si>
    <t>Sr. Workshop Admin</t>
  </si>
  <si>
    <t>Ryan Bayhonan</t>
  </si>
  <si>
    <t>ryan.bayhonan@aertssen.be</t>
  </si>
  <si>
    <t>Accounting Manager</t>
  </si>
  <si>
    <t>Rowell Pacho</t>
  </si>
  <si>
    <t>rowell.pacho@aertssen.be</t>
  </si>
  <si>
    <t>Document Controller</t>
  </si>
  <si>
    <t>Roel Kenis</t>
  </si>
  <si>
    <t>roel.kenis@aertssen.be</t>
  </si>
  <si>
    <t>AMS - Dammam</t>
  </si>
  <si>
    <t>Robert Young</t>
  </si>
  <si>
    <t>robert.young@aertssen.be</t>
  </si>
  <si>
    <t>Branding &amp; Stickering Officer</t>
  </si>
  <si>
    <t>Robert Hooks</t>
  </si>
  <si>
    <t>robert.hooks@aertssen.be</t>
  </si>
  <si>
    <t>Superintendent</t>
  </si>
  <si>
    <t>Robbert-Jan Willems</t>
  </si>
  <si>
    <t>robbert-jan.willems@aertssen.be</t>
  </si>
  <si>
    <t>Manager Crane Division</t>
  </si>
  <si>
    <t>Ritto Raphel</t>
  </si>
  <si>
    <t>ritto.raphel@aertssen.be</t>
  </si>
  <si>
    <t>Operations officer</t>
  </si>
  <si>
    <t>Renjith Sidharthan</t>
  </si>
  <si>
    <t>renjith.sidharthan@aertssen.be</t>
  </si>
  <si>
    <t>Lifting Engineer</t>
  </si>
  <si>
    <t>Relie Santiago</t>
  </si>
  <si>
    <t>relie.santiago@aertssen.be</t>
  </si>
  <si>
    <t>Warehouse Administrator</t>
  </si>
  <si>
    <t>Rawdha Al Mansouri</t>
  </si>
  <si>
    <t>rawdha.almansouri@aertssen.be</t>
  </si>
  <si>
    <t>Office Administrator</t>
  </si>
  <si>
    <t>Ranjith Ramachandran</t>
  </si>
  <si>
    <t>ranjith.ramachandran@aertssen.be</t>
  </si>
  <si>
    <t>Rakesh Nair</t>
  </si>
  <si>
    <t>Rakesh.Nair@aertssen.be</t>
  </si>
  <si>
    <t>Logistics Executive</t>
  </si>
  <si>
    <t>Raj Neupane</t>
  </si>
  <si>
    <t>raj.neupane@aertssen.be</t>
  </si>
  <si>
    <t>HR Admin</t>
  </si>
  <si>
    <t>Rahul Vishwakarma</t>
  </si>
  <si>
    <t>rahul.vishwakarma@aertssen.be</t>
  </si>
  <si>
    <t>Purchaser AMS Qatar</t>
  </si>
  <si>
    <t>purchaser.qatar@aertssen.be</t>
  </si>
  <si>
    <t>Purchaser</t>
  </si>
  <si>
    <t>Pravesh Katuwal</t>
  </si>
  <si>
    <t>pravesh.katuwal@aertssen.be</t>
  </si>
  <si>
    <t>Compensation &amp; Benefits</t>
  </si>
  <si>
    <t>Pieter Myny</t>
  </si>
  <si>
    <t>pieter.myny@aertssen.be</t>
  </si>
  <si>
    <t>Pieter Martens</t>
  </si>
  <si>
    <t>pieter.martens@aertssen.be</t>
  </si>
  <si>
    <t>Peter McLean</t>
  </si>
  <si>
    <t>peter.mclean@aertssen.be</t>
  </si>
  <si>
    <t>Osama Khaled</t>
  </si>
  <si>
    <t>osama.khaled@aertssen.be</t>
  </si>
  <si>
    <t>Omar Al Balawi</t>
  </si>
  <si>
    <t>omar.albalawi@aertssen.be</t>
  </si>
  <si>
    <t>HR Assistant</t>
  </si>
  <si>
    <t>Nisreen Jad</t>
  </si>
  <si>
    <t>nisreen.jad@aertssen.be</t>
  </si>
  <si>
    <t>Nishanth Amalraj</t>
  </si>
  <si>
    <t>nishanth.amalraj@aertssen.be</t>
  </si>
  <si>
    <t>Workshop Administrator</t>
  </si>
  <si>
    <t>Nidhinraj Kariyattil</t>
  </si>
  <si>
    <t>nidhinraj.kariyattil@aertssen.be</t>
  </si>
  <si>
    <t>Nick De Cock</t>
  </si>
  <si>
    <t>nick.decock@aertssen.be</t>
  </si>
  <si>
    <t>Assistant Project Manager</t>
  </si>
  <si>
    <t>Nestor Javier</t>
  </si>
  <si>
    <t>nestor.javier@aertssen.be</t>
  </si>
  <si>
    <t>Nathan Seuntjes</t>
  </si>
  <si>
    <t>nathan.seuntjes@aertssen.be</t>
  </si>
  <si>
    <t>Intern</t>
  </si>
  <si>
    <t>Muru Chellappan</t>
  </si>
  <si>
    <t>muru.chellappan@aertssen.be</t>
  </si>
  <si>
    <t>Muhammad Nasir</t>
  </si>
  <si>
    <t>Muhammad.Nasir@aertssen.be</t>
  </si>
  <si>
    <t>Muhammad Khan</t>
  </si>
  <si>
    <t>muhammad.khan@aertssen.be</t>
  </si>
  <si>
    <t>Safety Officer</t>
  </si>
  <si>
    <t>Mohammed Shabeer</t>
  </si>
  <si>
    <t>mohammed.shabeer@aertssen.be</t>
  </si>
  <si>
    <t>Mohammad Khan</t>
  </si>
  <si>
    <t>mohammad.khan@aertssen.be</t>
  </si>
  <si>
    <t>Commercial Resident</t>
  </si>
  <si>
    <t>Mohamed Farliyas</t>
  </si>
  <si>
    <t>Mohamed.Farliyas@aertssen.be</t>
  </si>
  <si>
    <t>Commercial Manager</t>
  </si>
  <si>
    <t>Dr. Mohamed Abd El Azeem</t>
  </si>
  <si>
    <t>mohamed.abdelazeem@aertssen.be</t>
  </si>
  <si>
    <t>Business Development Manager</t>
  </si>
  <si>
    <t>Michel Oerlemans</t>
  </si>
  <si>
    <t>michel.oerlemans@aertssen.be</t>
  </si>
  <si>
    <t>Works Manager</t>
  </si>
  <si>
    <t>Michael Verselder</t>
  </si>
  <si>
    <t>michael.verselder@aertssen.be</t>
  </si>
  <si>
    <t>Mark Del Mundo</t>
  </si>
  <si>
    <t>mark.delmundo@AERTSSEN.BE</t>
  </si>
  <si>
    <t>ICT Support Engineer</t>
  </si>
  <si>
    <t>Mark Castro</t>
  </si>
  <si>
    <t>mark.castro@aertssen.be</t>
  </si>
  <si>
    <t>Mariem Khlifi</t>
  </si>
  <si>
    <t>mariem.khlifi@aertssen.be</t>
  </si>
  <si>
    <t>Marco Van Oosterhout</t>
  </si>
  <si>
    <t>marco.van.oosterhout@aertssen.be</t>
  </si>
  <si>
    <t>Marcel Vanhee</t>
  </si>
  <si>
    <t>marcel.vanhee@aertssen.be</t>
  </si>
  <si>
    <t>Workshop Superintendent</t>
  </si>
  <si>
    <t>Manigandan Rajagopal</t>
  </si>
  <si>
    <t>manigandan.rajagopal@aertssen.be</t>
  </si>
  <si>
    <t>Procurement Admin</t>
  </si>
  <si>
    <t>Mahmoud Dardery</t>
  </si>
  <si>
    <t>mahmoud.dardery@aertssen.be</t>
  </si>
  <si>
    <t>HR Coordinator</t>
  </si>
  <si>
    <t>Maha Almeqbaali</t>
  </si>
  <si>
    <t>maha.almeqbaali@aertssen.be</t>
  </si>
  <si>
    <t>HR Administrator</t>
  </si>
  <si>
    <t>Mabelle De Jesus</t>
  </si>
  <si>
    <t>mabelle.de.jesus@aertssen.be</t>
  </si>
  <si>
    <t>HR Officer</t>
  </si>
  <si>
    <t>Lowie van den Bemt</t>
  </si>
  <si>
    <t>lowie.vandenbemt@aertssen.be</t>
  </si>
  <si>
    <t>Workshop Team Leader</t>
  </si>
  <si>
    <t>Lowie De Lombaerde</t>
  </si>
  <si>
    <t>lowie.delombaerde@aertssen.be</t>
  </si>
  <si>
    <t>Project Engineer</t>
  </si>
  <si>
    <t>Lourens Van Zyl</t>
  </si>
  <si>
    <t>lourens.van.zyl@aertssen.be</t>
  </si>
  <si>
    <t>Louis Dorricott</t>
  </si>
  <si>
    <t>louis.dorricott@aertssen.be</t>
  </si>
  <si>
    <t>AMS - AMS Duba</t>
  </si>
  <si>
    <t>Lindsay Martinez</t>
  </si>
  <si>
    <t>lindsay.martinez@aertssen.be</t>
  </si>
  <si>
    <t>Project Coordinator</t>
  </si>
  <si>
    <t>Larry Gine</t>
  </si>
  <si>
    <t>larry.gine@aertssen.be</t>
  </si>
  <si>
    <t>Laiju Sundar</t>
  </si>
  <si>
    <t>laiju.sundar@aertssen.be</t>
  </si>
  <si>
    <t>Teamlead Procurement &amp; Admin</t>
  </si>
  <si>
    <t>Kunju Ahmed</t>
  </si>
  <si>
    <t>kunju.ahmed@aertssen.be</t>
  </si>
  <si>
    <t>Kristian Faber</t>
  </si>
  <si>
    <t>kristian.faber@aertssen.be</t>
  </si>
  <si>
    <t>Kobe Peeters</t>
  </si>
  <si>
    <t>kobe.peeters@aertssen.be</t>
  </si>
  <si>
    <t>Kishan Ganegoda</t>
  </si>
  <si>
    <t>kishan.ganegoda@aertssen.be</t>
  </si>
  <si>
    <t>Warehouse Admin</t>
  </si>
  <si>
    <t>Khader Abueida</t>
  </si>
  <si>
    <t>khader.abueida@aertssen.be</t>
  </si>
  <si>
    <t>PR Officer</t>
  </si>
  <si>
    <t>Kawthar Homoud</t>
  </si>
  <si>
    <t>kawthar.homoud@aertssen.be</t>
  </si>
  <si>
    <t>Katrina Malang</t>
  </si>
  <si>
    <t>katrina.malang@aertssen.be</t>
  </si>
  <si>
    <t>Quantity Surveyor</t>
  </si>
  <si>
    <t>Julie Gerona</t>
  </si>
  <si>
    <t>julie.gerona@aertssen.be</t>
  </si>
  <si>
    <t>Jorge Vasquez</t>
  </si>
  <si>
    <t>jorge.vasquez@aertssen.be</t>
  </si>
  <si>
    <t>Joost Bertels</t>
  </si>
  <si>
    <t>joost.bertels@aertssen.be</t>
  </si>
  <si>
    <t>John Phillips</t>
  </si>
  <si>
    <t>john.phillips@aertssen.be</t>
  </si>
  <si>
    <t>Earthmoving Workshop Teamleader</t>
  </si>
  <si>
    <t>Jithin Biju</t>
  </si>
  <si>
    <t>jithin.biju@aertssen.be</t>
  </si>
  <si>
    <t>Logistic Admin</t>
  </si>
  <si>
    <t>Jhomer De Jesus</t>
  </si>
  <si>
    <t>jhomer.de.jesus@aertssen.be</t>
  </si>
  <si>
    <t>Jesus Tulabut</t>
  </si>
  <si>
    <t>jesus.tulabut@aertssen.be</t>
  </si>
  <si>
    <t>Jerry Girinivas</t>
  </si>
  <si>
    <t>jerry.girinivas@aertssen.be</t>
  </si>
  <si>
    <t>Senior Purchaser</t>
  </si>
  <si>
    <t>jerin.johnson@aertssen.be</t>
  </si>
  <si>
    <t>Warehouse Foreman</t>
  </si>
  <si>
    <t>Jennifer Hofmans</t>
  </si>
  <si>
    <t>jennifer.hofmans@aertssen.be</t>
  </si>
  <si>
    <t>Commercial Project Manager</t>
  </si>
  <si>
    <t>Jay Reyes</t>
  </si>
  <si>
    <t>jay.reyes@aertssen.be</t>
  </si>
  <si>
    <t>Time Keeper</t>
  </si>
  <si>
    <t>Jatinder Singh</t>
  </si>
  <si>
    <t>jatinder.singh@aertssen.be</t>
  </si>
  <si>
    <t>Heavy Lifting Supervisor</t>
  </si>
  <si>
    <t>Jason Englatiera</t>
  </si>
  <si>
    <t>jason.englatiera@aertssen.be</t>
  </si>
  <si>
    <t>Time keeper</t>
  </si>
  <si>
    <t>James Gan</t>
  </si>
  <si>
    <t>james.gan@aertssen.be</t>
  </si>
  <si>
    <t>Procurement Administrator</t>
  </si>
  <si>
    <t>James Arias</t>
  </si>
  <si>
    <t>james.arias@aertssen.be</t>
  </si>
  <si>
    <t>HSE Supervisor</t>
  </si>
  <si>
    <t>Jackson Verghese</t>
  </si>
  <si>
    <t>jackson.verghese@aertssen.be</t>
  </si>
  <si>
    <t>Jackie Sabandal</t>
  </si>
  <si>
    <t>jackie.sabandal@aertssen.be</t>
  </si>
  <si>
    <t>imthiyas.ahamed@aertssen.be</t>
  </si>
  <si>
    <t>Imran Khan</t>
  </si>
  <si>
    <t>imran.khan@aertssen.be</t>
  </si>
  <si>
    <t>Workshop Technician</t>
  </si>
  <si>
    <t>Imran Iqbal</t>
  </si>
  <si>
    <t>imran.iqbal@aertssen.be</t>
  </si>
  <si>
    <t>Imam Santoso</t>
  </si>
  <si>
    <t>imam.santoso@aertssen.be</t>
  </si>
  <si>
    <t>Store Keeper</t>
  </si>
  <si>
    <t>Ibrahem Do</t>
  </si>
  <si>
    <t>ibrahem.do@aertssen.be</t>
  </si>
  <si>
    <t>Government Relationship Officer</t>
  </si>
  <si>
    <t>Huzzayf Jassame</t>
  </si>
  <si>
    <t>Huzzayf.Jassame@aertssen.be</t>
  </si>
  <si>
    <t>Hussein Ayad</t>
  </si>
  <si>
    <t>hussein.ayad@aertssen.be</t>
  </si>
  <si>
    <t>Hillary Abhilash</t>
  </si>
  <si>
    <t>hillary.abhilash@aertssen.be</t>
  </si>
  <si>
    <t>Hiede Englaterra</t>
  </si>
  <si>
    <t>hiede.englaterra@aertssen.be</t>
  </si>
  <si>
    <t>Operations Coordinator</t>
  </si>
  <si>
    <t>Henry Ugwuanyi</t>
  </si>
  <si>
    <t>henry.ugwuanyi@aertssen.be</t>
  </si>
  <si>
    <t>Safety Supervisor</t>
  </si>
  <si>
    <t>Hector Sancho</t>
  </si>
  <si>
    <t>hector.sancho@aertssen.be</t>
  </si>
  <si>
    <t>Harry Vermeer</t>
  </si>
  <si>
    <t>harry.vermeer@aertssen.be</t>
  </si>
  <si>
    <t>Harish Nair</t>
  </si>
  <si>
    <t>harish.nair@aertssen.be</t>
  </si>
  <si>
    <t>Logistic officer</t>
  </si>
  <si>
    <t>Hareesh Kumar</t>
  </si>
  <si>
    <t>hareesh.kumar@aertssen.be</t>
  </si>
  <si>
    <t>Sales Manager</t>
  </si>
  <si>
    <t>Hamoud Monder</t>
  </si>
  <si>
    <t>hamoud.monder@aertssen.be</t>
  </si>
  <si>
    <t>Guy Michiels</t>
  </si>
  <si>
    <t>guy.michiels@aertssen.be</t>
  </si>
  <si>
    <t>Gordy Weets</t>
  </si>
  <si>
    <t>gordy.weets@aertssen.be</t>
  </si>
  <si>
    <t>Gladys Ilagan</t>
  </si>
  <si>
    <t>gladys.ilagan@aertssen.be</t>
  </si>
  <si>
    <t>Gilbert Lagason</t>
  </si>
  <si>
    <t>gilbert.lagason@aertssen.be</t>
  </si>
  <si>
    <t>Ghulam Farid</t>
  </si>
  <si>
    <t>ghulam.farid@aertssen.be</t>
  </si>
  <si>
    <t>Trainer</t>
  </si>
  <si>
    <t>Garth Bristow</t>
  </si>
  <si>
    <t>garth.bristow@aertssen.be</t>
  </si>
  <si>
    <t>Senior Expat Mechanic</t>
  </si>
  <si>
    <t>Frederick Jequinto</t>
  </si>
  <si>
    <t>frederick.jequinto@aertssen.be</t>
  </si>
  <si>
    <t>Frank Thys</t>
  </si>
  <si>
    <t>frank.thys@aertssen.be</t>
  </si>
  <si>
    <t>Frank De Bruin</t>
  </si>
  <si>
    <t>frank.debruin@aertssen.be</t>
  </si>
  <si>
    <t>Work Manager</t>
  </si>
  <si>
    <t>Ferdinand Marais</t>
  </si>
  <si>
    <t>ferdinand.marais@aertssen.be</t>
  </si>
  <si>
    <t>Fayas Kandathil</t>
  </si>
  <si>
    <t>fayas.kandathil@aertssen.be</t>
  </si>
  <si>
    <t>Erwin Bueno</t>
  </si>
  <si>
    <t>erwin.bueno@aertssen.be</t>
  </si>
  <si>
    <t>Eric Koppenol</t>
  </si>
  <si>
    <t>eric.koppenol@aertssen.be</t>
  </si>
  <si>
    <t>Ellen Tuquero</t>
  </si>
  <si>
    <t>ellen.tuquero@aertssen.be</t>
  </si>
  <si>
    <t>Edwin Arauz</t>
  </si>
  <si>
    <t>edwin.arauz@aertssen.be</t>
  </si>
  <si>
    <t>Eckard Abarca</t>
  </si>
  <si>
    <t>eckard.abarca@aertssen.be</t>
  </si>
  <si>
    <t>Donal Kelly</t>
  </si>
  <si>
    <t>donal.kelly@aertssen.be</t>
  </si>
  <si>
    <t>Djen Saccasyn</t>
  </si>
  <si>
    <t>djen.saccasyn@aertssen.be</t>
  </si>
  <si>
    <t>Dennis Ort</t>
  </si>
  <si>
    <t>dennis.ort@aertssen.be</t>
  </si>
  <si>
    <t>Warehouse Manager</t>
  </si>
  <si>
    <t>Denis Brouwer</t>
  </si>
  <si>
    <t>denis.brouwer@aertssen.be</t>
  </si>
  <si>
    <t>David Van Bergen</t>
  </si>
  <si>
    <t>david.van.bergen@aertssen.be</t>
  </si>
  <si>
    <t>Technical Manager</t>
  </si>
  <si>
    <t>Darwin Vincent</t>
  </si>
  <si>
    <t>darwin.vincent@aertssen.be</t>
  </si>
  <si>
    <t>Daniel Clarke</t>
  </si>
  <si>
    <t>daniel.clarke@aertssen.be</t>
  </si>
  <si>
    <t>Cyril Soliva</t>
  </si>
  <si>
    <t>cyril.soliva@aertssen.be</t>
  </si>
  <si>
    <t>QHSE Executive</t>
  </si>
  <si>
    <t>Clayton Rama</t>
  </si>
  <si>
    <t>Clayton.Rama@aertssen.be</t>
  </si>
  <si>
    <t>Project Accountant</t>
  </si>
  <si>
    <t>Clarice Ballares</t>
  </si>
  <si>
    <t>clarice.ballares@aertssen.be</t>
  </si>
  <si>
    <t>Chris Del Rosario</t>
  </si>
  <si>
    <t>chris.del.rosario@aertssen.be</t>
  </si>
  <si>
    <t>Chester Castillo</t>
  </si>
  <si>
    <t>chester.castillo@aertssen.be</t>
  </si>
  <si>
    <t>Chanda Manalo</t>
  </si>
  <si>
    <t>Chanda.Manalo@aertssen.be</t>
  </si>
  <si>
    <t>Carlo Vivas</t>
  </si>
  <si>
    <t>carlo.vivas@aertssen.be</t>
  </si>
  <si>
    <t>Candy Villanueva</t>
  </si>
  <si>
    <t>candy.villanueva@aertssen.be</t>
  </si>
  <si>
    <t>Broono Cleetus</t>
  </si>
  <si>
    <t>broono.cleetus@aertssen.be</t>
  </si>
  <si>
    <t>Brecht Verbrugge</t>
  </si>
  <si>
    <t>brecht.verbrugge@aertssen.be</t>
  </si>
  <si>
    <t>Country Manager KSA</t>
  </si>
  <si>
    <t>Bob Tuinman</t>
  </si>
  <si>
    <t>bob.tuinman@aertssen.be</t>
  </si>
  <si>
    <t>Operations Manager</t>
  </si>
  <si>
    <t>Bhuvan Shukla</t>
  </si>
  <si>
    <t>bhuvan.shukla@aertssen.be</t>
  </si>
  <si>
    <t>Betina Cabrera</t>
  </si>
  <si>
    <t>betina.cabrera@aertssen.be</t>
  </si>
  <si>
    <t>Benoit Collin</t>
  </si>
  <si>
    <t>benoit.collin@aertssen.be</t>
  </si>
  <si>
    <t>Fleet Manager</t>
  </si>
  <si>
    <t>Bassam Gharib</t>
  </si>
  <si>
    <t>bassam.gharib@aertssen.be</t>
  </si>
  <si>
    <t>Surveyor</t>
  </si>
  <si>
    <t>Barry Forster</t>
  </si>
  <si>
    <t>barry.forster@AERTSSEN.BE</t>
  </si>
  <si>
    <t>Badar Alblooshi</t>
  </si>
  <si>
    <t>badar.alblooshi@aertssen.be</t>
  </si>
  <si>
    <t>Azarudeen Abubakkar</t>
  </si>
  <si>
    <t>azarudeen.abubakkar@aertssen.be</t>
  </si>
  <si>
    <t>Augustin Alexander</t>
  </si>
  <si>
    <t>augustin.alexander@aertssen.be</t>
  </si>
  <si>
    <t>Ashish Rana</t>
  </si>
  <si>
    <t>ashish.rana@aertssen.be</t>
  </si>
  <si>
    <t>Arthur Saegeman</t>
  </si>
  <si>
    <t>arthur.saegeman@aertssen.be</t>
  </si>
  <si>
    <t>Business Developper</t>
  </si>
  <si>
    <t>Arnoud Dom</t>
  </si>
  <si>
    <t>arnoud.dom@aertssen.be</t>
  </si>
  <si>
    <t>Country Manager</t>
  </si>
  <si>
    <t>Antonio Francisco Pinto</t>
  </si>
  <si>
    <t>francis.pinto@aertssen.be</t>
  </si>
  <si>
    <t>Sales Advisor</t>
  </si>
  <si>
    <t>Anton De Lange</t>
  </si>
  <si>
    <t>anton.de.lange@aertssen.be</t>
  </si>
  <si>
    <t>Andreas Roous</t>
  </si>
  <si>
    <t>andreas.roous@aertssen.be</t>
  </si>
  <si>
    <t>amstest</t>
  </si>
  <si>
    <t>amstest@AERTSSEN.BE</t>
  </si>
  <si>
    <t>Amin Ahmed</t>
  </si>
  <si>
    <t>amin.ahmed@aertssen.be</t>
  </si>
  <si>
    <t>Public Relations Manager</t>
  </si>
  <si>
    <t>Akshay Sunil</t>
  </si>
  <si>
    <t>akshay.sunil@aertssen.be</t>
  </si>
  <si>
    <t>Helper</t>
  </si>
  <si>
    <t>Muhammad Akmal Al Bhatti</t>
  </si>
  <si>
    <t>akmal.albhatti@aertssen.be</t>
  </si>
  <si>
    <t>Logistic Officer</t>
  </si>
  <si>
    <t>Akas Ramzan</t>
  </si>
  <si>
    <t>akas.ramzan@aertssen.be</t>
  </si>
  <si>
    <t>Ajan Hansaka</t>
  </si>
  <si>
    <t>ajan.hansaka@aertssen.be</t>
  </si>
  <si>
    <t>Store picker</t>
  </si>
  <si>
    <t>Ahmed Nasser</t>
  </si>
  <si>
    <t>ahmed.nasser@aertssen.be</t>
  </si>
  <si>
    <t>Afsalmon Majeed</t>
  </si>
  <si>
    <t>afsalmon.majeed@aertssen.be</t>
  </si>
  <si>
    <t>Adriaan Lourens</t>
  </si>
  <si>
    <t>adriaan.lourens@aertssen.be</t>
  </si>
  <si>
    <t>Adonis Tuazon</t>
  </si>
  <si>
    <t>adonis.tuazon@aertssen.be</t>
  </si>
  <si>
    <t>Aby Joseph</t>
  </si>
  <si>
    <t>aby.joseph@aertssen.be</t>
  </si>
  <si>
    <t>Aamir Arfat</t>
  </si>
  <si>
    <t>aamir.arfat@aertssen.be</t>
  </si>
  <si>
    <t>AMS - Oman</t>
  </si>
  <si>
    <t>WAREHOUSE REP</t>
  </si>
  <si>
    <t>BUYER</t>
  </si>
  <si>
    <t>SUPPLIER</t>
  </si>
  <si>
    <t>Data validation</t>
  </si>
  <si>
    <t>Warehouse representative</t>
  </si>
  <si>
    <t>EmailAddress1</t>
  </si>
  <si>
    <t>Item Sub type - Material</t>
  </si>
  <si>
    <t>Item Sub type - Service</t>
  </si>
  <si>
    <t>T_ENTITY</t>
  </si>
  <si>
    <t>T_BU</t>
  </si>
  <si>
    <t>T_REQUEST_TYPE</t>
  </si>
  <si>
    <t>T_ITEM_TYPE</t>
  </si>
  <si>
    <t>T_PROJECTS</t>
  </si>
  <si>
    <t>T_LOCATION</t>
  </si>
  <si>
    <t>T_REQUESTER</t>
  </si>
  <si>
    <t>T_WAREHOUSE_REP</t>
  </si>
  <si>
    <t>T_BUYER</t>
  </si>
  <si>
    <t>T_item_subtype_materials</t>
  </si>
  <si>
    <t>Buyer</t>
  </si>
  <si>
    <t>T_item_subtype_services</t>
  </si>
  <si>
    <t>Warehouse_representative</t>
  </si>
  <si>
    <t>T_Requester11</t>
  </si>
  <si>
    <t>T_item_type16</t>
  </si>
  <si>
    <t>Test_Display_name</t>
  </si>
  <si>
    <t>Dr. Mohamed Abd El Azeem SDF DFASD  DFD</t>
  </si>
  <si>
    <t>T_Locations</t>
  </si>
  <si>
    <t>J00000019 - Galfar - Habshan &amp; ASAB</t>
  </si>
  <si>
    <t xml:space="preserve">J00000044 - </t>
  </si>
  <si>
    <t>J00000046 - RAK Precast - Ras Al Khaimah FZ</t>
  </si>
  <si>
    <t>J00000047 - AMS220</t>
  </si>
  <si>
    <t>J00000071 - Robt. Stone - Habshan</t>
  </si>
  <si>
    <t>J00000102 - OFCO - Mina Free Port</t>
  </si>
  <si>
    <t>J00000114 - ADNOC LS - UZ and S</t>
  </si>
  <si>
    <t>J00000150 - Target Engineering - Arzanah Island</t>
  </si>
  <si>
    <t>J00000158 - NMDC - SIR BANIYAS BRIDGE WORKS PROJECT</t>
  </si>
  <si>
    <t>J00000161 - NMDC - Hudariyat</t>
  </si>
  <si>
    <t>J00000174 - NSH - Borouge 4</t>
  </si>
  <si>
    <t>J00000186 - NPCC - Musaffah Yard 300Te</t>
  </si>
  <si>
    <t>J00000191 - NMDC - Al Yasat Isl. 280Te</t>
  </si>
  <si>
    <t>J00000195 - Penta Global - Zirku Island</t>
  </si>
  <si>
    <t>J00000196 - Adnoc Drilling - Asseifiya Island</t>
  </si>
  <si>
    <t>J00000197 - NMDC - Taweelah Ramhan Project</t>
  </si>
  <si>
    <t>J00000201 - Motor Way General Transport - Mussafah onshore</t>
  </si>
  <si>
    <t>J00000204 - ST JV - Guggenheim Abu Dhabi</t>
  </si>
  <si>
    <t>J00000211 - Adnoc Drilling - Liwa</t>
  </si>
  <si>
    <t>J00000213 - Ali &amp; Sons - ASMEF Yard</t>
  </si>
  <si>
    <t>J00000218 - Denholm YSF - INEOS Project ICAD</t>
  </si>
  <si>
    <t>J00000224 - NBTC - Borouge</t>
  </si>
  <si>
    <t>J00000225 - Denholm Yam - Borouge Ruwais</t>
  </si>
  <si>
    <t>J00000229 - AMS BU135 - Internal rental</t>
  </si>
  <si>
    <t>J00000230 - Motorway - Hail &amp; Gasha</t>
  </si>
  <si>
    <t>J00000235 - Alas - Precast</t>
  </si>
  <si>
    <t>J00000237 - OFCO - Mugharraq Port</t>
  </si>
  <si>
    <t>J00000241 - Jan De Nul Dredging - Lightning Project</t>
  </si>
  <si>
    <t>J00000243 - Denholm Yam - Hail &amp; Gasha Onshore</t>
  </si>
  <si>
    <t>J00000244 - Jan De Nul Dredging - Omairah Island</t>
  </si>
  <si>
    <t>J00000246 - Jan De Nul Dredging - Dubai Water Front</t>
  </si>
  <si>
    <t>J00000248 - NSH - Hail &amp; Gasha Onshore</t>
  </si>
  <si>
    <t>J00000251 - ALAS - IMCC Yard</t>
  </si>
  <si>
    <t>J00000252 - Dhafir Technologies - Zirku Island</t>
  </si>
  <si>
    <t>J00000253 - TWMA - Gasha DC06 - Seebah Island</t>
  </si>
  <si>
    <t>J00000254 - TWMA - Assifiya Island</t>
  </si>
  <si>
    <t>J00000256 - Denholm Yam - Borouge 4 New Package</t>
  </si>
  <si>
    <t>J00000257 - Turbine - Sas Al Nakhl</t>
  </si>
  <si>
    <t>J00000258 - NMDC - Taziz Landing Project</t>
  </si>
  <si>
    <t>J00000259 - Motor Way - Taziz</t>
  </si>
  <si>
    <t>J00000261 - NMDC - Al Nawras</t>
  </si>
  <si>
    <t>J00000262 - Gulf Ready Mix - Hail &amp; Gasha Onshore</t>
  </si>
  <si>
    <t>J00000263 - Descon Engineering - Habshan 5</t>
  </si>
  <si>
    <t>J00000266 - Motorway - Shah Gas Expansion Project</t>
  </si>
  <si>
    <t>J00000268 - NMDC LTS - LNG – Ruwais</t>
  </si>
  <si>
    <t>J00000269 - NSH - Harvest Ammonia Project</t>
  </si>
  <si>
    <t>J00000270 - Sarens - H&amp;G Ruwais</t>
  </si>
  <si>
    <t>J00000271 - NSH - LNG Project Ruwais</t>
  </si>
  <si>
    <t>J00000272 - Roll Group - Test Weights &amp; Tray Mussafah</t>
  </si>
  <si>
    <t>J00000273 - Galfar - Mahani Sharjah</t>
  </si>
  <si>
    <t>J00000274 - NMDC - MERAM Habshan</t>
  </si>
  <si>
    <t>J00000275 - Penta Global - MEI Works Mussafah</t>
  </si>
  <si>
    <t>J00000276 - JDN - Palm Jebel Ali</t>
  </si>
  <si>
    <t>J00000277 - Falcor - Load Spreader Mats</t>
  </si>
  <si>
    <t>J00000278 - BAGC - Hail &amp; Gasha Onshore</t>
  </si>
  <si>
    <t>J00000279 - NPCC-SAIPEM jv - H&amp;G Package 1</t>
  </si>
  <si>
    <t>J00000280 - Cylingas - Habshan 5</t>
  </si>
  <si>
    <t>J00000281 - Al Jaber - H&amp;G Package 1</t>
  </si>
  <si>
    <t>J00000282 - Star Ocean - Bu Sikeen Island</t>
  </si>
  <si>
    <t>J00000283 - Eagle Ultra - Jabel Ali (Hire of Test Weights)</t>
  </si>
  <si>
    <t>R00000028 - Target DGD</t>
  </si>
  <si>
    <t>R00000043 - NMDC – NISI (Taweelah)</t>
  </si>
  <si>
    <t>R00000066 - Dredging International Saudi Arabia - Oxagon T2</t>
  </si>
  <si>
    <t>R00000074 - NPCC - Saudi Aramco KSA</t>
  </si>
  <si>
    <t>R00000078 - MBL - Jeddah</t>
  </si>
  <si>
    <t>R00000097 - NMDC - H&amp;G Island</t>
  </si>
  <si>
    <t>R00000100 - COWC - Port works Barbados</t>
  </si>
  <si>
    <t>R00000104 - All Marine - Dalma Island</t>
  </si>
  <si>
    <t>R00000109 - DMC - Ras Laffan</t>
  </si>
  <si>
    <t>R00000111 - NMDC - TAZIZ Logistics Project / Port Package</t>
  </si>
  <si>
    <t>R00000112 - Archirodon - M1 Project - Umluj</t>
  </si>
  <si>
    <t>R00000118 - Target - Wave Project</t>
  </si>
  <si>
    <t>R00000119 - AVR-Umm Al Naar Refinery</t>
  </si>
  <si>
    <t>R00000120 - ARCHIRODON – Salt Domes</t>
  </si>
  <si>
    <t>R00000123 - SAIPEM - Hail &amp; Gasha</t>
  </si>
  <si>
    <t>R00000124 - Target - Al Sahil Project</t>
  </si>
  <si>
    <t>R00000128 - DAEWOO - Immersed Tunnel Iraq</t>
  </si>
  <si>
    <t>R00000135 - Van Oord - Umm Suqeim</t>
  </si>
  <si>
    <t>R00000136 - NMDC - Hudariyat</t>
  </si>
  <si>
    <t>R00000138 - Masirah - LNG Sur</t>
  </si>
  <si>
    <t>R00000139 - NAEL General – Al Amerah, Al Ain</t>
  </si>
  <si>
    <t>R00000140 - Mar Marine - Cape Jumeirah</t>
  </si>
  <si>
    <t>R00000141 - Mar Marine - Port Rashid</t>
  </si>
  <si>
    <t>R00000143 - JDN - Palm Jebel Ali</t>
  </si>
  <si>
    <t>R00000147 - NMDC - Ruwais LNG</t>
  </si>
  <si>
    <t>R00000148 - NMDC - Zirku Project</t>
  </si>
  <si>
    <t>R00000151 - NPCC-SAIPEM jv - H&amp;G Package 1</t>
  </si>
  <si>
    <t>R00000153 - DBB - Peninsula Project</t>
  </si>
  <si>
    <t>R00000154 - PLC - Umm Suqeim</t>
  </si>
  <si>
    <t>R00000155 - TWMA - H&amp;G GOP</t>
  </si>
  <si>
    <t>R00000156 - ITD Cementation - Ruwais LNG</t>
  </si>
  <si>
    <t>R00000157 - PLC - C34 MBM</t>
  </si>
  <si>
    <t>R00000158 - DBB - Al Marjan Island</t>
  </si>
  <si>
    <t>R00000159 - DCS - Baitha Qassem</t>
  </si>
  <si>
    <t>R00000160 - AL QARYAN - Al Khobar</t>
  </si>
  <si>
    <t>R00000161 - TARGET - Mina Port</t>
  </si>
  <si>
    <t>R00000162 - JIATAI Contracting - Al Sila Port</t>
  </si>
  <si>
    <t>R00000163 - AL QARYAN - Shuaibah</t>
  </si>
  <si>
    <t>R00000164 - NMDC - Ghantoot Ora-Bayn Phase 1</t>
  </si>
  <si>
    <t>R00000165 - ALEC - The Sphere</t>
  </si>
  <si>
    <t>R00000166 - NMDC - Khalifa Port</t>
  </si>
  <si>
    <t>ICAD III - Abu dhabi</t>
  </si>
  <si>
    <t>T_bu20</t>
  </si>
  <si>
    <t>Projects</t>
  </si>
  <si>
    <t>1 Direct Labor_01 - Salary</t>
  </si>
  <si>
    <t>1 Direct Labor_02 - Extralegal</t>
  </si>
  <si>
    <t>1 Direct Labor_02_01 - Extralegal fuel</t>
  </si>
  <si>
    <t>1 Direct Labor_02_02 - Rental private cars</t>
  </si>
  <si>
    <t>1 Direct Labor_03 - Insurance</t>
  </si>
  <si>
    <t>1 Direct Labor_04 - Travel</t>
  </si>
  <si>
    <t>1 Direct Labor_05 - Training</t>
  </si>
  <si>
    <t>1 Direct Labor_06 - Temporary staff</t>
  </si>
  <si>
    <t>1 Direct Labor_07 - Personal Protection Equipment (PPE)</t>
  </si>
  <si>
    <t>1 Equipment_01_01 - Maintenance &amp; repair AMS Cranes</t>
  </si>
  <si>
    <t>1 Equipment_02 - Fuel</t>
  </si>
  <si>
    <t>1 Equipment_03 - Insurance</t>
  </si>
  <si>
    <t>1 Equipment_05 - Rent</t>
  </si>
  <si>
    <t>1 Equipment_06 - Intrest</t>
  </si>
  <si>
    <t>1 Equipment_07 - Depreciation</t>
  </si>
  <si>
    <t>1 Equipment_08 - Taxes (incl. Duties)</t>
  </si>
  <si>
    <t>1 Equipment_09 - Technical inspection</t>
  </si>
  <si>
    <t>1 Equipment_10 - Off-balance rent</t>
  </si>
  <si>
    <t>1 Overhead_01 - Communication</t>
  </si>
  <si>
    <t>1 Overhead_02 - Facilities</t>
  </si>
  <si>
    <t>1 Overhead_06 - Legal</t>
  </si>
  <si>
    <t>1 Overhead_06_01 - Legal general</t>
  </si>
  <si>
    <t>1 Overhead_06_02 - Legal insurance</t>
  </si>
  <si>
    <t>1 Overhead_07 - Management</t>
  </si>
  <si>
    <t>1 Overhead_10 - QESH</t>
  </si>
  <si>
    <t>1 Overhead_11 - Rent</t>
  </si>
  <si>
    <t>1 Overhead_12 - Sales</t>
  </si>
  <si>
    <t>1 Overhead_13 - Marketing</t>
  </si>
  <si>
    <t>1 Overhead_15 - White collars</t>
  </si>
  <si>
    <t>1 Overhead_15_01 - Salary</t>
  </si>
  <si>
    <t>1 Overhead_15_02 - Extralegal</t>
  </si>
  <si>
    <t>1 Overhead_15_02_02 - Rental private cars</t>
  </si>
  <si>
    <t>1 Overhead_15_03 - Insurance</t>
  </si>
  <si>
    <t>1 Overhead_15_04 - Travel &amp; entertainment</t>
  </si>
  <si>
    <t>1 Overhead_15_05 - Training</t>
  </si>
  <si>
    <t>1 Overhead_15_06 - Temporary staff</t>
  </si>
  <si>
    <t>1 Overhead_15_07 - Personal Protection Equipment (PPE)</t>
  </si>
  <si>
    <t>1 Overhead_15_08 - Other</t>
  </si>
  <si>
    <t>1 Overhead_18 - Treasury</t>
  </si>
  <si>
    <t>1 Overhead_19 - Taxes</t>
  </si>
  <si>
    <t>1 Overhead_20 - Non-assignable</t>
  </si>
  <si>
    <t>1 Overhead_21 - Other</t>
  </si>
  <si>
    <t>1 Overhead_02_23 - FAC AMS ICAD</t>
  </si>
  <si>
    <t>1 Overhead_03_09 - Finance &amp; Controlling AMS</t>
  </si>
  <si>
    <t>1 Overhead_04_09 - HR AMS</t>
  </si>
  <si>
    <t>1 Overhead_08_10 - Office management AMS</t>
  </si>
  <si>
    <t>1 Direct Labor_02_03 - Housing</t>
  </si>
  <si>
    <t>1 Direct Labor_02_04 - Utilities</t>
  </si>
  <si>
    <t>1 Direct Labor_02_07 - Laundry service</t>
  </si>
  <si>
    <t>1 Overhead_04_90 - HR Recruitment</t>
  </si>
  <si>
    <t>1 Direct Labor_08 - Other</t>
  </si>
  <si>
    <t>1 Direct Labor_02_08 - Food</t>
  </si>
  <si>
    <t>1 Direct Labor_02_09 - Visa &amp; licenses</t>
  </si>
  <si>
    <t>1 Overhead_26 - IT</t>
  </si>
  <si>
    <t>1 Equipment_00 - AMS Internal</t>
  </si>
  <si>
    <t>1 Equipment_01_02 - Maintenance &amp; repair Earth Works</t>
  </si>
  <si>
    <t>1 Equipment_04_01 - Assets non depreciated AMS Cranes</t>
  </si>
  <si>
    <t>1 Equipment_04_02 - Assets non depreciated Earth Works</t>
  </si>
  <si>
    <t>1 Overhead_15_02_03 - Housing</t>
  </si>
  <si>
    <t>1 Overhead_15_02_04 - Utilities</t>
  </si>
  <si>
    <t>1 Overhead_15_02_05 - School fees</t>
  </si>
  <si>
    <t>1 Overhead_15_02_06 - Child allowance</t>
  </si>
  <si>
    <t>1 Overhead_15_02_07 - Laundry service</t>
  </si>
  <si>
    <t>1 Overhead_15_02_08 - Food</t>
  </si>
  <si>
    <t>1 Overhead_15_02_09 - Visa &amp; Licenses</t>
  </si>
  <si>
    <t>1 Equipment_11_01 - Transport AMS Cranes</t>
  </si>
  <si>
    <t>1 Equipment_11_02 - Transport Earth Works</t>
  </si>
  <si>
    <t>Workshop EM - Workshop EM</t>
  </si>
  <si>
    <t>Workshop EM_01 - Maintenance &amp; Repair</t>
  </si>
  <si>
    <t>Workshop EM_02 - Fuel</t>
  </si>
  <si>
    <t>Workshop EM_03 - Insurance</t>
  </si>
  <si>
    <t>Workshop EM_04 - Assets non depreciated</t>
  </si>
  <si>
    <t>Workshop EM_05 - Rent</t>
  </si>
  <si>
    <t>Workshop EM_06 - Intrest</t>
  </si>
  <si>
    <t>Workshop EM_07 - Depreciation</t>
  </si>
  <si>
    <t>Workshop EM_08 - Taxes</t>
  </si>
  <si>
    <t>Workshop EM_09 - Technical inspection</t>
  </si>
  <si>
    <t>Workshop EM_10 - Off-balance rent</t>
  </si>
  <si>
    <t>Workshop EM_11 - Transport</t>
  </si>
  <si>
    <t>Workshop EM_12 - Personnel</t>
  </si>
  <si>
    <t>Workshop EM_12_01 - Salary</t>
  </si>
  <si>
    <t>Workshop EM_12_02 - Extralegal</t>
  </si>
  <si>
    <t>Workshop EM_12_02_01 - Extralegal fuel</t>
  </si>
  <si>
    <t>Workshop EM_12_02_02 - Rental private cars</t>
  </si>
  <si>
    <t>Workshop EM_12_02_03 - Housing</t>
  </si>
  <si>
    <t>Workshop EM_12_02_04 - Utilities</t>
  </si>
  <si>
    <t>Workshop EM_12_02_05 - School fees</t>
  </si>
  <si>
    <t>Workshop EM_12_02_06 - Child allowance</t>
  </si>
  <si>
    <t>Workshop EM_12_02_07 - Laundry service</t>
  </si>
  <si>
    <t>Workshop EM_12_02_08 - Food</t>
  </si>
  <si>
    <t>Workshop EM_12_02_09 - Visa &amp; licences</t>
  </si>
  <si>
    <t>Workshop EM_12_03 - Insurance</t>
  </si>
  <si>
    <t>Workshop EM_12_04 - Travel</t>
  </si>
  <si>
    <t>Workshop EM_12_05 - Training</t>
  </si>
  <si>
    <t>Workshop EM_12_06 - Temporary Staff</t>
  </si>
  <si>
    <t>Workshop EM_12_07 - Personel Protection Equipment (PPE)</t>
  </si>
  <si>
    <t>Workshop EM_12_08 - Other</t>
  </si>
  <si>
    <t>EMWYard - EMW Yard - Clean up</t>
  </si>
  <si>
    <t>1 Overhead_02_42 - AMS AD Workshop + office</t>
  </si>
  <si>
    <t>2 Project_02 - AMS AD</t>
  </si>
  <si>
    <t>J_Yard - J_Yard (operator hrs Yard)</t>
  </si>
  <si>
    <t>J_Workshop - J_Workshop (mechanic hrs Yard)</t>
  </si>
  <si>
    <t>R_Yard - R_Yard (operator hrs Yard)</t>
  </si>
  <si>
    <t>R_Workshop - R_Workshop (mechanic hrs Yard)</t>
  </si>
  <si>
    <t>1 Equipment_01_03 - Maintenance &amp; repair Shared Service</t>
  </si>
  <si>
    <t>CR Workshop - CR Workshop</t>
  </si>
  <si>
    <t>CR Workshop_01 - Maintenance &amp; Repair</t>
  </si>
  <si>
    <t>CR Workshop_02 - Fuel</t>
  </si>
  <si>
    <t>CR Workshop_03 - Insurance</t>
  </si>
  <si>
    <t>CR Workshop_04 - Assets non depreciated</t>
  </si>
  <si>
    <t>CR Workshop_05 - Rent</t>
  </si>
  <si>
    <t>CR Workshop_06 - Intrest</t>
  </si>
  <si>
    <t>CR Workshop_07 - Depreciation</t>
  </si>
  <si>
    <t>CR Workshop_08 - Taxes</t>
  </si>
  <si>
    <t>CR Workshop_09 - Technical inspection</t>
  </si>
  <si>
    <t>CR Workshop_10 - Off-balance rent</t>
  </si>
  <si>
    <t>CR Workshop_11 - Transport</t>
  </si>
  <si>
    <t>CR Workshop_12 - Personnel</t>
  </si>
  <si>
    <t>CR Workshop_12_01 - Salary</t>
  </si>
  <si>
    <t>CR Workshop_12_02 - Extralegal</t>
  </si>
  <si>
    <t>CR Workshop_12_03 - Insurance</t>
  </si>
  <si>
    <t>CR Workshop_12_04 - Travel</t>
  </si>
  <si>
    <t>CR Workshop_12_05 - Training</t>
  </si>
  <si>
    <t>CR Workshop_12_06 - Temporary Staff</t>
  </si>
  <si>
    <t>CR Workshop_12_07 - Personel Protection Equipment (PPE)</t>
  </si>
  <si>
    <t>CR Workshop_12_08 - Other</t>
  </si>
  <si>
    <t>CR Workshop_12_02_01 - Extralegal fuel</t>
  </si>
  <si>
    <t>CR Workshop_12_02_02 - Rental private cars</t>
  </si>
  <si>
    <t>CR Workshop_12_02_03 - Housing</t>
  </si>
  <si>
    <t>CR Workshop_12_02_04 - Utilities</t>
  </si>
  <si>
    <t>CR Workshop_12_02_05 - School fees</t>
  </si>
  <si>
    <t>CR Workshop_12_02_06 - Child allowance</t>
  </si>
  <si>
    <t>CR Workshop_12_02_07 - Laundry service</t>
  </si>
  <si>
    <t>CR Workshop_12_02_08 - Food</t>
  </si>
  <si>
    <t>CR Workshop_12_02_09 - Visa &amp; licences</t>
  </si>
  <si>
    <t>ETR-1162 - Trading asset ETR-1162  CAT D8R</t>
  </si>
  <si>
    <t>ETR-1163 - Trading asset ETR-1163 EX1200-6 raiser kit</t>
  </si>
  <si>
    <t>Workshop EM_13 - Batam</t>
  </si>
  <si>
    <t>T00000001 - AMS EM - Special External Transportation</t>
  </si>
  <si>
    <t>R90000000 - EM Training Yard</t>
  </si>
  <si>
    <t>R_Standby - R_Standby (operators hrs Standby)</t>
  </si>
  <si>
    <t>ETR-1196 - Trading asset 1196 - CAT D8T</t>
  </si>
  <si>
    <t>2 Project_02_42_03 - AD Floor Office UAE</t>
  </si>
  <si>
    <t>1 Equipment_04_03 - Assets non depreciated Shared Service</t>
  </si>
  <si>
    <t>T_Entity19</t>
  </si>
  <si>
    <t>R_bu</t>
  </si>
  <si>
    <t>DefinedName</t>
  </si>
  <si>
    <t>R_entity</t>
  </si>
  <si>
    <t>R_item_subtype_material</t>
  </si>
  <si>
    <t>R_item_subtype_service</t>
  </si>
  <si>
    <t>R_item_type</t>
  </si>
  <si>
    <t>R_location</t>
  </si>
  <si>
    <t>R_projects</t>
  </si>
  <si>
    <t>R_request_type</t>
  </si>
  <si>
    <t>R_requester_name</t>
  </si>
  <si>
    <t>R_warehouse_rep_name</t>
  </si>
  <si>
    <t>Business unit</t>
  </si>
  <si>
    <t>Warehouse (Inventory)</t>
  </si>
  <si>
    <t>1.0.3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</si>
</sst>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]d\ mmm\ yyyy;@" x16r2:formatCode16="[$-en-150,1]d\ mmm\ yyyy;@"/>
  </numFmts>
  <fonts count="18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color theme="1" tint="4.9989318521683403E-2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0"/>
      <color theme="1"/>
      <name val="Arial Unicode MS"/>
    </font>
    <font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vertAlign val="superscript"/>
      <sz val="9"/>
      <color theme="1"/>
      <name val="Aptos Narrow"/>
      <family val="2"/>
      <scheme val="minor"/>
    </font>
    <font>
      <b/>
      <sz val="11"/>
      <color theme="1" tint="0.34998626667073579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b/>
      <vertAlign val="superscript"/>
      <sz val="11"/>
      <color theme="1" tint="0.249977111117893"/>
      <name val="Aptos Narrow"/>
      <family val="2"/>
      <scheme val="minor"/>
    </font>
    <font>
      <sz val="11"/>
      <color theme="1"/>
      <name val="Aptos Display"/>
      <family val="2"/>
      <scheme val="maj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0C8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49" fontId="0" fillId="0" borderId="0" xfId="0" applyNumberFormat="1" applyAlignment="1" applyProtection="1">
      <alignment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11" xfId="0" applyNumberFormat="1" applyBorder="1" applyAlignment="1" applyProtection="1">
      <alignment vertical="center"/>
      <protection locked="0"/>
    </xf>
    <xf numFmtId="49" fontId="0" fillId="0" borderId="11" xfId="0" applyNumberFormat="1" applyBorder="1" applyAlignment="1" applyProtection="1">
      <alignment horizontal="center" vertical="center"/>
      <protection locked="0"/>
    </xf>
    <xf numFmtId="2" fontId="0" fillId="0" borderId="11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hidden="1"/>
    </xf>
    <xf numFmtId="0" fontId="6" fillId="0" borderId="10" xfId="0" applyFont="1" applyBorder="1" applyAlignment="1" applyProtection="1">
      <alignment horizontal="left" vertical="center" wrapText="1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6" fillId="0" borderId="2" xfId="0" applyFont="1" applyBorder="1" applyAlignment="1" applyProtection="1">
      <alignment horizontal="left" vertical="center" wrapText="1"/>
      <protection hidden="1"/>
    </xf>
    <xf numFmtId="0" fontId="0" fillId="0" borderId="8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left" vertical="center" wrapText="1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164" fontId="8" fillId="0" borderId="13" xfId="0" applyNumberFormat="1" applyFont="1" applyBorder="1" applyAlignment="1" applyProtection="1">
      <alignment vertical="center"/>
      <protection locked="0"/>
    </xf>
    <xf numFmtId="49" fontId="0" fillId="0" borderId="0" xfId="0" applyNumberFormat="1" applyAlignment="1">
      <alignment vertical="center"/>
    </xf>
    <xf numFmtId="164" fontId="8" fillId="0" borderId="0" xfId="0" applyNumberFormat="1" applyFont="1" applyAlignment="1">
      <alignment vertical="center"/>
    </xf>
    <xf numFmtId="0" fontId="9" fillId="0" borderId="13" xfId="0" applyFont="1" applyBorder="1" applyAlignment="1" applyProtection="1">
      <alignment horizontal="left" vertical="center"/>
      <protection locked="0"/>
    </xf>
    <xf numFmtId="0" fontId="1" fillId="0" borderId="5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 wrapText="1"/>
    </xf>
    <xf numFmtId="0" fontId="0" fillId="0" borderId="8" xfId="0" applyBorder="1"/>
    <xf numFmtId="0" fontId="4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3" borderId="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left" vertical="center"/>
      <protection locked="0"/>
    </xf>
    <xf numFmtId="0" fontId="0" fillId="5" borderId="13" xfId="0" applyFill="1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vertical="center"/>
      <protection locked="0"/>
    </xf>
    <xf numFmtId="0" fontId="0" fillId="5" borderId="13" xfId="0" applyFill="1" applyBorder="1" applyAlignment="1" applyProtection="1">
      <alignment vertical="center"/>
      <protection locked="0"/>
    </xf>
    <xf numFmtId="2" fontId="0" fillId="0" borderId="0" xfId="0" applyNumberFormat="1" applyAlignment="1" applyProtection="1">
      <alignment horizontal="center" vertical="center"/>
      <protection hidden="1"/>
    </xf>
    <xf numFmtId="2" fontId="0" fillId="0" borderId="11" xfId="0" applyNumberFormat="1" applyBorder="1" applyAlignment="1" applyProtection="1">
      <alignment horizontal="center" vertical="center"/>
      <protection hidden="1"/>
    </xf>
    <xf numFmtId="2" fontId="0" fillId="0" borderId="0" xfId="0" applyNumberFormat="1" applyAlignment="1">
      <alignment horizontal="center" vertical="center"/>
    </xf>
    <xf numFmtId="2" fontId="0" fillId="0" borderId="11" xfId="0" applyNumberFormat="1" applyBorder="1" applyAlignment="1">
      <alignment horizontal="center" vertical="center"/>
    </xf>
    <xf numFmtId="14" fontId="8" fillId="0" borderId="13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 applyProtection="1">
      <alignment horizontal="center" vertical="center"/>
      <protection locked="0"/>
    </xf>
    <xf numFmtId="49" fontId="4" fillId="0" borderId="3" xfId="0" applyNumberFormat="1" applyFont="1" applyBorder="1" applyAlignment="1" applyProtection="1">
      <alignment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  <xf numFmtId="49" fontId="4" fillId="0" borderId="13" xfId="0" applyNumberFormat="1" applyFont="1" applyBorder="1" applyAlignment="1" applyProtection="1">
      <alignment vertical="center"/>
      <protection locked="0"/>
    </xf>
    <xf numFmtId="164" fontId="4" fillId="0" borderId="3" xfId="0" applyNumberFormat="1" applyFont="1" applyBorder="1" applyAlignment="1" applyProtection="1">
      <alignment horizontal="center" vertical="center"/>
      <protection locked="0"/>
    </xf>
    <xf numFmtId="164" fontId="4" fillId="0" borderId="5" xfId="0" applyNumberFormat="1" applyFont="1" applyBorder="1" applyAlignment="1" applyProtection="1">
      <alignment horizontal="center" vertical="center"/>
      <protection locked="0"/>
    </xf>
    <xf numFmtId="0" fontId="4" fillId="0" borderId="5" xfId="0" applyFont="1" applyBorder="1" applyAlignment="1" applyProtection="1">
      <alignment vertical="center"/>
      <protection locked="0"/>
    </xf>
    <xf numFmtId="0" fontId="4" fillId="0" borderId="8" xfId="0" applyFont="1" applyBorder="1" applyAlignment="1" applyProtection="1">
      <alignment vertical="center"/>
      <protection locked="0"/>
    </xf>
    <xf numFmtId="0" fontId="4" fillId="0" borderId="3" xfId="0" applyFont="1" applyBorder="1" applyAlignment="1" applyProtection="1">
      <alignment vertical="center"/>
      <protection locked="0"/>
    </xf>
    <xf numFmtId="0" fontId="4" fillId="0" borderId="5" xfId="0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 applyProtection="1">
      <alignment horizontal="left" vertical="center"/>
      <protection locked="0"/>
    </xf>
    <xf numFmtId="0" fontId="17" fillId="0" borderId="13" xfId="0" applyFont="1" applyBorder="1" applyAlignment="1" applyProtection="1">
      <alignment vertical="center"/>
      <protection locked="0"/>
    </xf>
    <xf numFmtId="164" fontId="17" fillId="0" borderId="13" xfId="0" applyNumberFormat="1" applyFont="1" applyBorder="1" applyAlignment="1" applyProtection="1">
      <alignment vertical="center"/>
      <protection locked="0"/>
    </xf>
    <xf numFmtId="0" fontId="17" fillId="0" borderId="13" xfId="0" applyFont="1" applyBorder="1" applyAlignment="1">
      <alignment horizontal="left" vertical="center"/>
    </xf>
    <xf numFmtId="14" fontId="17" fillId="0" borderId="12" xfId="0" applyNumberFormat="1" applyFont="1" applyBorder="1" applyAlignment="1">
      <alignment horizontal="left" vertical="center"/>
    </xf>
    <xf numFmtId="0" fontId="0" fillId="5" borderId="12" xfId="0" applyFill="1" applyBorder="1" applyAlignment="1" applyProtection="1">
      <alignment horizontal="left" vertical="center"/>
      <protection locked="0"/>
    </xf>
    <xf numFmtId="0" fontId="15" fillId="5" borderId="14" xfId="0" applyFont="1" applyFill="1" applyBorder="1" applyAlignment="1">
      <alignment horizontal="left" vertical="center"/>
    </xf>
    <xf numFmtId="0" fontId="15" fillId="5" borderId="12" xfId="0" applyFont="1" applyFill="1" applyBorder="1" applyAlignment="1">
      <alignment horizontal="left" vertical="center"/>
    </xf>
    <xf numFmtId="0" fontId="15" fillId="5" borderId="15" xfId="0" applyFont="1" applyFill="1" applyBorder="1" applyAlignment="1">
      <alignment horizontal="left" vertical="center"/>
    </xf>
    <xf numFmtId="0" fontId="17" fillId="0" borderId="14" xfId="0" applyFont="1" applyBorder="1" applyAlignment="1">
      <alignment horizontal="left" vertical="center"/>
    </xf>
    <xf numFmtId="0" fontId="17" fillId="0" borderId="12" xfId="0" applyFont="1" applyBorder="1" applyAlignment="1">
      <alignment horizontal="left" vertical="center"/>
    </xf>
    <xf numFmtId="164" fontId="17" fillId="0" borderId="4" xfId="0" applyNumberFormat="1" applyFont="1" applyBorder="1" applyAlignment="1" applyProtection="1">
      <alignment horizontal="left" vertical="center"/>
      <protection locked="0"/>
    </xf>
    <xf numFmtId="0" fontId="17" fillId="0" borderId="3" xfId="0" applyFont="1" applyBorder="1" applyAlignment="1" applyProtection="1">
      <alignment horizontal="left" vertical="center"/>
      <protection locked="0"/>
    </xf>
    <xf numFmtId="164" fontId="17" fillId="0" borderId="16" xfId="0" applyNumberFormat="1" applyFont="1" applyBorder="1" applyAlignment="1" applyProtection="1">
      <alignment horizontal="left" vertical="center"/>
      <protection locked="0"/>
    </xf>
    <xf numFmtId="0" fontId="3" fillId="2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left" vertical="center"/>
    </xf>
    <xf numFmtId="0" fontId="17" fillId="0" borderId="13" xfId="0" applyFont="1" applyBorder="1" applyAlignment="1" applyProtection="1">
      <alignment horizontal="left" vertical="center"/>
      <protection locked="0"/>
    </xf>
    <xf numFmtId="0" fontId="12" fillId="0" borderId="0" xfId="0" applyFont="1" applyAlignment="1">
      <alignment horizontal="left" vertical="center" wrapText="1"/>
    </xf>
    <xf numFmtId="164" fontId="17" fillId="0" borderId="3" xfId="0" applyNumberFormat="1" applyFont="1" applyBorder="1" applyAlignment="1" applyProtection="1">
      <alignment horizontal="left" vertical="center"/>
      <protection locked="0"/>
    </xf>
    <xf numFmtId="0" fontId="14" fillId="4" borderId="14" xfId="0" applyFont="1" applyFill="1" applyBorder="1" applyAlignment="1">
      <alignment horizontal="left" vertical="center"/>
    </xf>
    <xf numFmtId="0" fontId="14" fillId="4" borderId="15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/>
      <protection locked="0"/>
    </xf>
    <xf numFmtId="164" fontId="17" fillId="0" borderId="2" xfId="0" applyNumberFormat="1" applyFont="1" applyBorder="1" applyAlignment="1" applyProtection="1">
      <alignment horizontal="center" vertical="center"/>
      <protection locked="0"/>
    </xf>
    <xf numFmtId="164" fontId="11" fillId="0" borderId="14" xfId="0" applyNumberFormat="1" applyFont="1" applyBorder="1" applyAlignment="1" applyProtection="1">
      <alignment horizontal="center" vertical="center"/>
      <protection locked="0"/>
    </xf>
    <xf numFmtId="164" fontId="11" fillId="0" borderId="12" xfId="0" applyNumberFormat="1" applyFont="1" applyBorder="1" applyAlignment="1" applyProtection="1">
      <alignment horizontal="center" vertical="center"/>
      <protection locked="0"/>
    </xf>
    <xf numFmtId="164" fontId="8" fillId="0" borderId="13" xfId="0" applyNumberFormat="1" applyFont="1" applyBorder="1" applyAlignment="1" applyProtection="1">
      <alignment horizontal="left" vertical="center"/>
      <protection locked="0"/>
    </xf>
    <xf numFmtId="0" fontId="14" fillId="4" borderId="12" xfId="0" applyFont="1" applyFill="1" applyBorder="1" applyAlignment="1">
      <alignment horizontal="left" vertical="center"/>
    </xf>
    <xf numFmtId="0" fontId="0" fillId="0" borderId="13" xfId="0" applyBorder="1" applyAlignment="1" applyProtection="1">
      <alignment horizontal="left" vertical="center"/>
      <protection locked="0"/>
    </xf>
    <xf numFmtId="0" fontId="9" fillId="0" borderId="13" xfId="0" applyFont="1" applyBorder="1" applyAlignment="1" applyProtection="1">
      <alignment horizontal="left" vertical="center"/>
      <protection locked="0"/>
    </xf>
    <xf numFmtId="164" fontId="0" fillId="0" borderId="13" xfId="0" applyNumberFormat="1" applyBorder="1" applyAlignment="1" applyProtection="1">
      <alignment horizontal="left" vertical="center"/>
      <protection locked="0"/>
    </xf>
  </cellXfs>
  <cellStyles count="1">
    <cellStyle name="Normal" xfId="0" builtinId="0"/>
  </cellStyles>
  <dxfs count="9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numFmt numFmtId="164" formatCode="[$]d\ mmm\ yyyy;@" x16r2:formatCode16="[$-en-150,1]d\ mmm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ont>
        <strike val="0"/>
        <outline val="0"/>
        <shadow val="0"/>
        <u val="none"/>
        <vertAlign val="baseline"/>
        <sz val="8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1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" formatCode="0.00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numFmt numFmtId="30" formatCode="@"/>
      <alignment horizontal="general" vertical="center" textRotation="0" wrapText="0" indent="0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general" vertical="center" textRotation="0" wrapText="0" indent="0" justifyLastLine="0" shrinkToFit="0" readingOrder="0"/>
      <protection locked="1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Aptos Narrow"/>
        <family val="2"/>
        <scheme val="minor"/>
      </font>
      <fill>
        <patternFill patternType="solid">
          <fgColor indexed="64"/>
          <bgColor rgb="FFF0C8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1"/>
    </dxf>
    <dxf>
      <fill>
        <patternFill patternType="solid">
          <fgColor rgb="FFDAF2D0"/>
          <bgColor rgb="FFDAF2D0"/>
        </patternFill>
      </fill>
    </dxf>
    <dxf>
      <fill>
        <patternFill patternType="solid">
          <fgColor rgb="FFDAF2D0"/>
          <bgColor rgb="FFDAF2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EA72E"/>
        </top>
      </border>
    </dxf>
    <dxf>
      <font>
        <b/>
        <color rgb="FFFFFFFF"/>
      </font>
      <fill>
        <patternFill patternType="solid">
          <fgColor rgb="FF4EA72E"/>
          <bgColor rgb="FF4EA72E"/>
        </patternFill>
      </fill>
    </dxf>
    <dxf>
      <font>
        <color rgb="FF000000"/>
      </font>
      <border>
        <left style="thin">
          <color rgb="FF8ED973"/>
        </left>
        <right style="thin">
          <color rgb="FF8ED973"/>
        </right>
        <top style="thin">
          <color rgb="FF8ED973"/>
        </top>
        <bottom style="thin">
          <color rgb="FF8ED973"/>
        </bottom>
        <horizontal style="thin">
          <color rgb="FF8ED973"/>
        </horizontal>
      </border>
    </dxf>
  </dxfs>
  <tableStyles count="2" defaultTableStyle="TableStyleMedium2" defaultPivotStyle="PivotStyleMedium9">
    <tableStyle name="Invisible" pivot="0" table="0" count="0" xr9:uid="{388B3D09-DBF0-43CF-9E4C-261707DBDD18}"/>
    <tableStyle name="TableStyleMedium7 2" pivot="0" count="7" xr9:uid="{A2414DBB-5C8D-46AB-A353-0B9A6BD04C43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F0C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3113" name="chbox_workorder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0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DFE2E61-CB46-6034-8E6D-384CC472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10</xdr:row>
          <xdr:rowOff>238125</xdr:rowOff>
        </xdr:from>
        <xdr:to>
          <xdr:col>3</xdr:col>
          <xdr:colOff>1533525</xdr:colOff>
          <xdr:row>11</xdr:row>
          <xdr:rowOff>266700</xdr:rowOff>
        </xdr:to>
        <xdr:sp macro="" textlink="">
          <xdr:nvSpPr>
            <xdr:cNvPr id="3124" name="btn_submit_request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0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1</xdr:col>
          <xdr:colOff>361950</xdr:colOff>
          <xdr:row>11</xdr:row>
          <xdr:rowOff>285750</xdr:rowOff>
        </xdr:to>
        <xdr:sp macro="" textlink="">
          <xdr:nvSpPr>
            <xdr:cNvPr id="3125" name="btn_new_request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0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DD6EBA0-B291-4F0D-1A7F-4BE258EAE42D}"/>
            </a:ext>
          </a:extLst>
        </xdr:cNvPr>
        <xdr:cNvSpPr txBox="1"/>
      </xdr:nvSpPr>
      <xdr:spPr>
        <a:xfrm>
          <a:off x="14173200" y="0"/>
          <a:ext cx="1647825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10</xdr:row>
          <xdr:rowOff>238125</xdr:rowOff>
        </xdr:from>
        <xdr:to>
          <xdr:col>2</xdr:col>
          <xdr:colOff>533400</xdr:colOff>
          <xdr:row>11</xdr:row>
          <xdr:rowOff>285750</xdr:rowOff>
        </xdr:to>
        <xdr:sp macro="" textlink="">
          <xdr:nvSpPr>
            <xdr:cNvPr id="3176" name="btn_reset_line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0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3178" name="Chbox_Sourcing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0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3179" name="chbox_rimses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0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11</xdr:col>
          <xdr:colOff>847725</xdr:colOff>
          <xdr:row>7</xdr:row>
          <xdr:rowOff>19050</xdr:rowOff>
        </xdr:to>
        <xdr:sp macro="" textlink="">
          <xdr:nvSpPr>
            <xdr:cNvPr id="3180" name="chbox_postfacto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0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ECB732B8-5F15-936A-F855-874ACF281FA8}"/>
            </a:ext>
          </a:extLst>
        </xdr:cNvPr>
        <xdr:cNvSpPr/>
      </xdr:nvSpPr>
      <xdr:spPr>
        <a:xfrm>
          <a:off x="0" y="1851085"/>
          <a:ext cx="178279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AA8AE71-9D63-442F-B464-30339F59E9B8}"/>
            </a:ext>
          </a:extLst>
        </xdr:cNvPr>
        <xdr:cNvSpPr/>
      </xdr:nvSpPr>
      <xdr:spPr>
        <a:xfrm>
          <a:off x="5603575" y="1355066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AFA86C47-4D5B-4F87-9719-52DD4EB7BB6C}"/>
            </a:ext>
          </a:extLst>
        </xdr:cNvPr>
        <xdr:cNvSpPr/>
      </xdr:nvSpPr>
      <xdr:spPr>
        <a:xfrm>
          <a:off x="5603575" y="1851085"/>
          <a:ext cx="1380227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9</xdr:col>
      <xdr:colOff>819149</xdr:colOff>
      <xdr:row>6</xdr:row>
      <xdr:rowOff>0</xdr:rowOff>
    </xdr:from>
    <xdr:to>
      <xdr:col>13</xdr:col>
      <xdr:colOff>0</xdr:colOff>
      <xdr:row>7</xdr:row>
      <xdr:rowOff>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C5849647-B497-46A2-BBFE-F3E5A705BBC3}"/>
            </a:ext>
          </a:extLst>
        </xdr:cNvPr>
        <xdr:cNvSpPr/>
      </xdr:nvSpPr>
      <xdr:spPr>
        <a:xfrm>
          <a:off x="10439399" y="1352550"/>
          <a:ext cx="2943226" cy="24765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9525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9217" name="chbox_workorder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0</xdr:colOff>
      <xdr:row>3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B59969-5370-490D-9405-4F2623402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781175" cy="742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11</xdr:row>
          <xdr:rowOff>0</xdr:rowOff>
        </xdr:from>
        <xdr:to>
          <xdr:col>8</xdr:col>
          <xdr:colOff>38100</xdr:colOff>
          <xdr:row>11</xdr:row>
          <xdr:rowOff>314325</xdr:rowOff>
        </xdr:to>
        <xdr:sp macro="" textlink="">
          <xdr:nvSpPr>
            <xdr:cNvPr id="9218" name="btn_submit_request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11</xdr:row>
          <xdr:rowOff>9525</xdr:rowOff>
        </xdr:from>
        <xdr:to>
          <xdr:col>2</xdr:col>
          <xdr:colOff>723900</xdr:colOff>
          <xdr:row>11</xdr:row>
          <xdr:rowOff>285750</xdr:rowOff>
        </xdr:to>
        <xdr:sp macro="" textlink="">
          <xdr:nvSpPr>
            <xdr:cNvPr id="9219" name="btn_new_request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1371600</xdr:colOff>
      <xdr:row>0</xdr:row>
      <xdr:rowOff>0</xdr:rowOff>
    </xdr:from>
    <xdr:to>
      <xdr:col>14</xdr:col>
      <xdr:colOff>0</xdr:colOff>
      <xdr:row>3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B0D1884-A5A3-4F27-817D-8936FC98934F}"/>
            </a:ext>
          </a:extLst>
        </xdr:cNvPr>
        <xdr:cNvSpPr txBox="1"/>
      </xdr:nvSpPr>
      <xdr:spPr>
        <a:xfrm>
          <a:off x="13573125" y="0"/>
          <a:ext cx="1638300" cy="742950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US" sz="1100"/>
            <a:t>Ref</a:t>
          </a:r>
          <a:br>
            <a:rPr lang="en-US" sz="1100"/>
          </a:br>
          <a:r>
            <a:rPr lang="en-US" sz="1100"/>
            <a:t>Rev</a:t>
          </a:r>
          <a:br>
            <a:rPr lang="en-US" sz="1100"/>
          </a:br>
          <a:r>
            <a:rPr lang="en-US" sz="1100"/>
            <a:t>Date</a:t>
          </a:r>
          <a:endParaRPr lang="en-A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11</xdr:row>
          <xdr:rowOff>19050</xdr:rowOff>
        </xdr:from>
        <xdr:to>
          <xdr:col>4</xdr:col>
          <xdr:colOff>571500</xdr:colOff>
          <xdr:row>11</xdr:row>
          <xdr:rowOff>304800</xdr:rowOff>
        </xdr:to>
        <xdr:sp macro="" textlink="">
          <xdr:nvSpPr>
            <xdr:cNvPr id="9220" name="btn_reset_line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</xdr:row>
          <xdr:rowOff>0</xdr:rowOff>
        </xdr:from>
        <xdr:to>
          <xdr:col>6</xdr:col>
          <xdr:colOff>800100</xdr:colOff>
          <xdr:row>7</xdr:row>
          <xdr:rowOff>0</xdr:rowOff>
        </xdr:to>
        <xdr:sp macro="" textlink="">
          <xdr:nvSpPr>
            <xdr:cNvPr id="9221" name="Chbox_Sourcing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9222" name="chbox_rimse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9525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3" name="chbox_postfacto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8</xdr:row>
      <xdr:rowOff>0</xdr:rowOff>
    </xdr:from>
    <xdr:to>
      <xdr:col>1</xdr:col>
      <xdr:colOff>1153783</xdr:colOff>
      <xdr:row>8</xdr:row>
      <xdr:rowOff>248009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80ED7FE1-7BE1-4DBB-BE1C-F638D98C9344}"/>
            </a:ext>
          </a:extLst>
        </xdr:cNvPr>
        <xdr:cNvSpPr/>
      </xdr:nvSpPr>
      <xdr:spPr>
        <a:xfrm>
          <a:off x="0" y="1847850"/>
          <a:ext cx="1782433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6</xdr:row>
      <xdr:rowOff>0</xdr:rowOff>
    </xdr:from>
    <xdr:to>
      <xdr:col>7</xdr:col>
      <xdr:colOff>0</xdr:colOff>
      <xdr:row>6</xdr:row>
      <xdr:rowOff>248009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9799B80-6109-41C1-9F6D-850C3BB05D32}"/>
            </a:ext>
          </a:extLst>
        </xdr:cNvPr>
        <xdr:cNvSpPr/>
      </xdr:nvSpPr>
      <xdr:spPr>
        <a:xfrm>
          <a:off x="5600700" y="13525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33D5949-D560-4260-9D5A-37207B25A796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859047</xdr:colOff>
      <xdr:row>6</xdr:row>
      <xdr:rowOff>248009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F48FB6F-5357-4601-95E9-02EEC9FB337B}"/>
            </a:ext>
          </a:extLst>
        </xdr:cNvPr>
        <xdr:cNvSpPr/>
      </xdr:nvSpPr>
      <xdr:spPr>
        <a:xfrm>
          <a:off x="10439400" y="1352550"/>
          <a:ext cx="1763922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  <xdr:twoCellAnchor>
    <xdr:from>
      <xdr:col>4</xdr:col>
      <xdr:colOff>952500</xdr:colOff>
      <xdr:row>8</xdr:row>
      <xdr:rowOff>0</xdr:rowOff>
    </xdr:from>
    <xdr:to>
      <xdr:col>7</xdr:col>
      <xdr:colOff>0</xdr:colOff>
      <xdr:row>8</xdr:row>
      <xdr:rowOff>248009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81E60794-2BD8-458E-AFA4-3F0853D8B5CF}"/>
            </a:ext>
          </a:extLst>
        </xdr:cNvPr>
        <xdr:cNvSpPr/>
      </xdr:nvSpPr>
      <xdr:spPr>
        <a:xfrm>
          <a:off x="5600700" y="1847850"/>
          <a:ext cx="1381125" cy="24800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E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D002CDE4-49EE-4635-B58B-8F6B1DBC4C40}" autoFormatId="16" applyNumberFormats="0" applyBorderFormats="0" applyFontFormats="0" applyPatternFormats="0" applyAlignmentFormats="0" applyWidthHeightFormats="0">
  <queryTableRefresh nextId="35">
    <queryTableFields count="34">
      <queryTableField id="1" name="Name" tableColumnId="1"/>
      <queryTableField id="2" name="Data.Column1" tableColumnId="2"/>
      <queryTableField id="3" name="Data.Column2" tableColumnId="3"/>
      <queryTableField id="4" name="Data.Column3" tableColumnId="4"/>
      <queryTableField id="5" name="Data.Column4" tableColumnId="5"/>
      <queryTableField id="6" name="Data.Column5" tableColumnId="6"/>
      <queryTableField id="7" name="Data.Column6" tableColumnId="7"/>
      <queryTableField id="8" name="Data.Column7" tableColumnId="8"/>
      <queryTableField id="9" name="Data.Column8" tableColumnId="9"/>
      <queryTableField id="10" name="Data.Column9" tableColumnId="10"/>
      <queryTableField id="11" name="Data.Column10" tableColumnId="11"/>
      <queryTableField id="12" name="Data.Entity" tableColumnId="12"/>
      <queryTableField id="13" name="Data.Business Unit" tableColumnId="13"/>
      <queryTableField id="14" name="Data.Request type" tableColumnId="14"/>
      <queryTableField id="15" name="Data.Item type - Primary" tableColumnId="15"/>
      <queryTableField id="16" name="Data.Item type - Secondary" tableColumnId="16"/>
      <queryTableField id="17" name="Data.Item type" tableColumnId="17"/>
      <queryTableField id="18" name="Data.ProjectID" tableColumnId="18"/>
      <queryTableField id="19" name="Data.ProjectID Abb" tableColumnId="19"/>
      <queryTableField id="20" name="Data.ProjectName" tableColumnId="20"/>
      <queryTableField id="21" name="Data.Location" tableColumnId="21"/>
      <queryTableField id="22" name="Data.dataAreaId" tableColumnId="22"/>
      <queryTableField id="23" name="Data.DimensionDisplayValue" tableColumnId="23"/>
      <queryTableField id="24" name="Data.ParentProject" tableColumnId="24"/>
      <queryTableField id="25" name="Data.ProjectStage" tableColumnId="25"/>
      <queryTableField id="26" name="Data.ProjectID_Name" tableColumnId="26"/>
      <queryTableField id="27" name="Data.DisplayName" tableColumnId="27"/>
      <queryTableField id="28" name="Data.CompanyName" tableColumnId="28"/>
      <queryTableField id="29" name="Data.EmailAddress" tableColumnId="29"/>
      <queryTableField id="30" name="Data.OfficeLocation" tableColumnId="30"/>
      <queryTableField id="31" name="Data.JobTitle" tableColumnId="31"/>
      <queryTableField id="32" name="Item" tableColumnId="32"/>
      <queryTableField id="33" name="Kind" tableColumnId="33"/>
      <queryTableField id="34" name="Hidden" tableColumnId="3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5F09544A-F25C-4D0F-94B8-85433D4043FC}" autoFormatId="16" applyNumberFormats="0" applyBorderFormats="0" applyFontFormats="0" applyPatternFormats="0" applyAlignmentFormats="0" applyWidthHeightFormats="0">
  <queryTableRefresh nextId="64">
    <queryTableFields count="34">
      <queryTableField id="1" name="Name" tableColumnId="1"/>
      <queryTableField id="2" name="Data.Column1" tableColumnId="2"/>
      <queryTableField id="6" name="Data.Column2" tableColumnId="6"/>
      <queryTableField id="7" name="Data.Column3" tableColumnId="7"/>
      <queryTableField id="8" name="Data.Column4" tableColumnId="8"/>
      <queryTableField id="9" name="Data.Column5" tableColumnId="9"/>
      <queryTableField id="10" name="Data.Column6" tableColumnId="10"/>
      <queryTableField id="11" name="Data.Column7" tableColumnId="11"/>
      <queryTableField id="12" name="Data.Column8" tableColumnId="12"/>
      <queryTableField id="13" name="Data.Column9" tableColumnId="13"/>
      <queryTableField id="14" name="Data.Column10" tableColumnId="14"/>
      <queryTableField id="15" name="Data.Entity" tableColumnId="15"/>
      <queryTableField id="16" name="Data.Business Unit" tableColumnId="16"/>
      <queryTableField id="17" name="Data.Request type" tableColumnId="17"/>
      <queryTableField id="18" name="Data.Item type - Primary" tableColumnId="18"/>
      <queryTableField id="19" name="Data.Item type - Secondary" tableColumnId="19"/>
      <queryTableField id="20" name="Data.Item type" tableColumnId="20"/>
      <queryTableField id="21" name="Data.ProjectID" tableColumnId="21"/>
      <queryTableField id="22" name="Data.ProjectID Abb" tableColumnId="22"/>
      <queryTableField id="23" name="Data.ProjectName" tableColumnId="23"/>
      <queryTableField id="24" name="Data.Location" tableColumnId="24"/>
      <queryTableField id="25" name="Data.dataAreaId" tableColumnId="25"/>
      <queryTableField id="26" name="Data.DimensionDisplayValue" tableColumnId="26"/>
      <queryTableField id="27" name="Data.ParentProject" tableColumnId="27"/>
      <queryTableField id="28" name="Data.ProjectStage" tableColumnId="28"/>
      <queryTableField id="29" name="Data.ProjectID_Name" tableColumnId="29"/>
      <queryTableField id="30" name="Data.DisplayName" tableColumnId="30"/>
      <queryTableField id="31" name="Data.CompanyName" tableColumnId="31"/>
      <queryTableField id="32" name="Data.EmailAddress" tableColumnId="32"/>
      <queryTableField id="33" name="Data.OfficeLocation" tableColumnId="33"/>
      <queryTableField id="34" name="Data.JobTitle" tableColumnId="34"/>
      <queryTableField id="3" name="Item" tableColumnId="3"/>
      <queryTableField id="4" name="Kind" tableColumnId="4"/>
      <queryTableField id="5" name="Hidde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973F3C0-BD53-45DD-BBE7-D2C51B23CF2F}" autoFormatId="16" applyNumberFormats="0" applyBorderFormats="0" applyFontFormats="0" applyPatternFormats="0" applyAlignmentFormats="0" applyWidthHeightFormats="0">
  <queryTableRefresh nextId="3">
    <queryTableFields count="1">
      <queryTableField id="2" name="Entity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18B8BC85-45B1-49F1-82E3-44F80637C6B6}" autoFormatId="16" applyNumberFormats="0" applyBorderFormats="0" applyFontFormats="0" applyPatternFormats="0" applyAlignmentFormats="0" applyWidthHeightFormats="0">
  <queryTableRefresh nextId="3">
    <queryTableFields count="1">
      <queryTableField id="2" name="Business unit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" xr16:uid="{37E4A26F-7DCA-4DB6-A68E-B4B78F55F8AA}" autoFormatId="16" applyNumberFormats="0" applyBorderFormats="0" applyFontFormats="0" applyPatternFormats="0" applyAlignmentFormats="0" applyWidthHeightFormats="0">
  <queryTableRefresh nextId="2">
    <queryTableFields count="1">
      <queryTableField id="1" name="Request type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6" xr16:uid="{F7D600E0-03C4-427F-9CA0-4038367689C0}" autoFormatId="16" applyNumberFormats="0" applyBorderFormats="0" applyFontFormats="0" applyPatternFormats="0" applyAlignmentFormats="0" applyWidthHeightFormats="0">
  <queryTableRefresh nextId="4">
    <queryTableFields count="3">
      <queryTableField id="1" name="Item type - Primary" tableColumnId="1"/>
      <queryTableField id="2" name="Item type - Secondary" tableColumnId="2"/>
      <queryTableField id="3" name="Item type" tableColumnId="3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7" xr16:uid="{E501C0C6-F320-4BBA-A3CA-0F64D02895C6}" autoFormatId="16" applyNumberFormats="0" applyBorderFormats="0" applyFontFormats="0" applyPatternFormats="0" applyAlignmentFormats="0" applyWidthHeightFormats="0">
  <queryTableRefresh nextId="5">
    <queryTableFields count="4">
      <queryTableField id="1" name="ProjectID" tableColumnId="1"/>
      <queryTableField id="2" name="ProjectID Abb" tableColumnId="2"/>
      <queryTableField id="3" name="ProjectName" tableColumnId="3"/>
      <queryTableField id="4" name="Location" tableColumnId="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8" xr16:uid="{5DB8BE74-031D-4902-8EEB-916AC09FB392}" autoFormatId="16" applyNumberFormats="0" applyBorderFormats="0" applyFontFormats="0" applyPatternFormats="0" applyAlignmentFormats="0" applyWidthHeightFormats="0">
  <queryTableRefresh nextId="9">
    <queryTableFields count="8">
      <queryTableField id="1" name="ProjectID" tableColumnId="1"/>
      <queryTableField id="2" name="ProjectID Abb" tableColumnId="2"/>
      <queryTableField id="3" name="ProjectName" tableColumnId="3"/>
      <queryTableField id="4" name="dataAreaId" tableColumnId="4"/>
      <queryTableField id="5" name="DimensionDisplayValue" tableColumnId="5"/>
      <queryTableField id="6" name="ParentProject" tableColumnId="6"/>
      <queryTableField id="7" name="ProjectStage" tableColumnId="7"/>
      <queryTableField id="8" name="ProjectID_Name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0" xr16:uid="{5589D2E1-B25E-48B3-89D9-4D5DF59D2506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" xr16:uid="{38CC49E1-9AEB-421A-989B-CCCD9EBC97FB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2" xr16:uid="{3455A2BD-79B6-4440-ABFD-A22768530749}" autoFormatId="16" applyNumberFormats="0" applyBorderFormats="0" applyFontFormats="0" applyPatternFormats="0" applyAlignmentFormats="0" applyWidthHeightFormats="0">
  <queryTableRefresh nextId="6">
    <queryTableFields count="5">
      <queryTableField id="1" name="DisplayName" tableColumnId="1"/>
      <queryTableField id="2" name="CompanyName" tableColumnId="2"/>
      <queryTableField id="3" name="EmailAddress" tableColumnId="3"/>
      <queryTableField id="4" name="OfficeLocation" tableColumnId="4"/>
      <queryTableField id="5" name="JobTitle" tableColumnId="5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F4D28C-ABCE-491B-A4C9-D2EE94995289}" name="IPRF_Lines" displayName="IPRF_Lines" ref="A15:N513" totalsRowShown="0" headerRowDxfId="90" dataDxfId="88" headerRowBorderDxfId="89">
  <autoFilter ref="A15:N513" xr:uid="{AAF4D28C-ABCE-491B-A4C9-D2EE94995289}"/>
  <tableColumns count="14">
    <tableColumn id="1" xr3:uid="{578DC884-C226-4181-A942-C6F05AFBBF7D}" name="Line num" dataDxfId="87">
      <calculatedColumnFormula>IF(
    OR(IPRF_Lines[[#This Row],[Item Description]]="",IPRF_Lines[[#This Row],[Requested Qty]]="",IPRF_Lines[[#This Row],[Unit]]=""),
    "",
    TEXT(ROW()-ROW(IPRF_Lines[[#Headers],[Line num]]), "000")
)</calculatedColumnFormula>
    </tableColumn>
    <tableColumn id="3" xr3:uid="{12E7E547-0A2F-4D85-A624-F6D6A7A1F9D3}" name="OEM Part number" dataDxfId="86"/>
    <tableColumn id="4" xr3:uid="{0E48D81F-BE1A-4B96-ADEA-3D97770A332D}" name="Work Order" dataDxfId="85"/>
    <tableColumn id="5" xr3:uid="{277D1136-7085-4C0A-A458-D5E4D46677EF}" name="Item Description" dataDxfId="84"/>
    <tableColumn id="6" xr3:uid="{CBDBFFAD-15F5-41AD-B0F5-B634C3DF8FFE}" name="Requested Qty" dataDxfId="83"/>
    <tableColumn id="9" xr3:uid="{16B8AA09-6C7B-4F94-926F-8C6EF3F03503}" name="Unit" dataDxfId="82"/>
    <tableColumn id="11" xr3:uid="{0735D067-CCAB-44AB-97E4-9C1FCD913F81}" name="Priority" dataDxfId="81"/>
    <tableColumn id="15" xr3:uid="{FF415555-D237-408D-80A6-2C0DA1709E64}" name="Object ID" dataDxfId="80"/>
    <tableColumn id="14" xr3:uid="{19D55DE9-E517-4376-9D89-134409A32586}" name="Object ID Short Desription" dataDxfId="79"/>
    <tableColumn id="12" xr3:uid="{53BF2286-669E-4E00-AD18-23198FCAF3AA}" name="Actual stock" dataDxfId="78"/>
    <tableColumn id="7" xr3:uid="{A783AF57-8F0D-4D2E-ABE6-056CEF4BD459}" name="Picked Qty" dataDxfId="77"/>
    <tableColumn id="8" xr3:uid="{9A5A0866-F1C0-4684-9829-A5ABBC090990}" name="Purchase Qty" dataDxfId="76">
      <calculatedColumnFormula>IF(OR(IPRF_Lines[[#This Row],[Requested Qty]]="",IPRF_Lines[[#This Row],[Picked Qty]]=""),"",IPRF_Lines[[#This Row],[Requested Qty]]-IPRF_Lines[[#This Row],[Picked Qty]])</calculatedColumnFormula>
    </tableColumn>
    <tableColumn id="2" xr3:uid="{EE3F0155-60BA-4E0D-B73C-11BD2CA4F956}" name="Item ID" dataDxfId="75">
      <calculatedColumnFormula array="1">IF(
    OR(IPRF_Lines[[#This Row],[Item Description]]="",IPRF_Lines[[#This Row],[Requested Qty]]="",IPRF_Lines[[#This Row],[Unit]]=""),
    "",UPPER(IPRF_Header[Request number] &amp; "-" &amp; IPRF_Lines[[#This Row],[Line num]]))</calculatedColumnFormula>
    </tableColumn>
    <tableColumn id="13" xr3:uid="{9E957C36-2CED-4806-85AE-46DB0034D2DB}" name="D365 Text Description" dataDxfId="74">
      <calculatedColumnFormula array="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B8D329-E26F-4D86-BD19-785285181789}" name="IPRF_Lines_Edit" displayName="IPRF_Lines_Edit" ref="A15:N513" totalsRowShown="0" headerRowDxfId="73" dataDxfId="71" headerRowBorderDxfId="72">
  <autoFilter ref="A15:N513" xr:uid="{AAF4D28C-ABCE-491B-A4C9-D2EE94995289}"/>
  <tableColumns count="14">
    <tableColumn id="1" xr3:uid="{40447059-F20E-4DDB-A400-FF4D5369E3BB}" name="Line num" dataDxfId="70">
      <calculatedColumnFormula>IF(
    OR(IPRF_Lines_Edit[[#This Row],[Item Description]]="",IPRF_Lines_Edit[[#This Row],[Requested Qty]]="",IPRF_Lines_Edit[[#This Row],[Unit]]=""),
    "",
    TEXT(ROW()-ROW(IPRF_Lines_Edit[[#Headers],[Line num]]), "000")
)</calculatedColumnFormula>
    </tableColumn>
    <tableColumn id="3" xr3:uid="{CF912286-D334-4261-9715-FB2FCFC3DE7A}" name="OEM Part number" dataDxfId="69"/>
    <tableColumn id="4" xr3:uid="{AEDDA452-EB72-49FD-A773-57509883F2B3}" name="Work Order" dataDxfId="68"/>
    <tableColumn id="5" xr3:uid="{6A726EFA-29B6-446D-9395-E97E5BF13A06}" name="Item Description" dataDxfId="67"/>
    <tableColumn id="6" xr3:uid="{BC60B6CF-4639-4906-AC01-7F23ED72356F}" name="Requested Qty" dataDxfId="66"/>
    <tableColumn id="9" xr3:uid="{67914EB1-EC60-4D96-B4E8-DACA30C7DD65}" name="Unit" dataDxfId="65"/>
    <tableColumn id="11" xr3:uid="{F98FD142-EB31-412A-AED2-8D40ABE642AD}" name="Priority" dataDxfId="64"/>
    <tableColumn id="15" xr3:uid="{7ABEB22B-8031-4F9D-B53B-A088D902B36B}" name="Object ID" dataDxfId="63"/>
    <tableColumn id="14" xr3:uid="{3182EB7C-13CE-4B85-A7FB-47F222CB8576}" name="Object ID Short Desription" dataDxfId="62"/>
    <tableColumn id="12" xr3:uid="{F54B0EA3-3132-4851-9A7D-4B03909D79AE}" name="Actual stock" dataDxfId="61"/>
    <tableColumn id="7" xr3:uid="{1A40385C-26D6-40F6-99C4-B9AFF144F581}" name="Picked Qty" dataDxfId="60"/>
    <tableColumn id="8" xr3:uid="{28E43926-ECF0-49A7-9639-D86BC907F871}" name="Purchase Qty" dataDxfId="59">
      <calculatedColumnFormula>IF(OR(IPRF_Lines_Edit[[#This Row],[Requested Qty]]="",IPRF_Lines_Edit[[#This Row],[Picked Qty]]=""),"",IPRF_Lines_Edit[[#This Row],[Requested Qty]]-IPRF_Lines_Edit[[#This Row],[Picked Qty]])</calculatedColumnFormula>
    </tableColumn>
    <tableColumn id="2" xr3:uid="{6E554879-7275-4456-AA06-402663632E85}" name="Item ID" dataDxfId="58">
      <calculatedColumnFormula array="1">IF(
    OR(IPRF_Lines_Edit[[#This Row],[Item Description]]="",IPRF_Lines_Edit[[#This Row],[Requested Qty]]="",IPRF_Lines_Edit[[#This Row],[Unit]]=""),
    "",UPPER(IPRF_Header[Request number] &amp; "-" &amp; IPRF_Lines_Edit[[#This Row],[Line num]]))</calculatedColumnFormula>
    </tableColumn>
    <tableColumn id="13" xr3:uid="{3352EA7B-C716-4077-A080-978142CC59A6}" name="D365 Text Description" dataDxfId="57">
      <calculatedColumnFormula array="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C6C3471-E566-4C9C-8E3A-0BC62FDA3439}" name="T_Default_Parameters" displayName="T_Default_Parameters" ref="A1:D22" totalsRowShown="0" headerRowDxfId="56" dataDxfId="55">
  <autoFilter ref="A1:D22" xr:uid="{CC6C3471-E566-4C9C-8E3A-0BC62FDA3439}"/>
  <tableColumns count="4">
    <tableColumn id="1" xr3:uid="{A8A0E5BB-7317-43D2-A607-77A5C3627EE4}" name="Parameters" dataDxfId="54"/>
    <tableColumn id="2" xr3:uid="{33D20711-0C72-411A-BC59-114801ED73AE}" name="Default value" dataDxfId="53"/>
    <tableColumn id="3" xr3:uid="{43BD9C19-A107-43B8-96A4-6E57559FDC83}" name="Related range" dataDxfId="52"/>
    <tableColumn id="4" xr3:uid="{8F4D767D-7D35-42EF-B64E-526E3B558467}" name="ActiveX control" dataDxfId="51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FAC3F-9D05-41C9-94B1-ED153B4EAF9E}" name="IPRF_Header" displayName="IPRF_Header" ref="A1:Y2" totalsRowShown="0" headerRowDxfId="49" dataDxfId="47" headerRowBorderDxfId="48" tableBorderDxfId="46" totalsRowBorderDxfId="45">
  <autoFilter ref="A1:Y2" xr:uid="{173FAC3F-9D05-41C9-94B1-ED153B4EAF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</autoFilter>
  <tableColumns count="25">
    <tableColumn id="3" xr3:uid="{2FCB20E5-9B02-405D-90CE-D3B4F7565834}" name="Request number" dataDxfId="44"/>
    <tableColumn id="4" xr3:uid="{A5C64650-D7CF-4FE4-B190-C85DE9DFD9ED}" name="Subject" dataDxfId="43"/>
    <tableColumn id="11" xr3:uid="{EAA20670-E0CD-4083-BBD5-2B63003E9975}" name="Request type" dataDxfId="42"/>
    <tableColumn id="12" xr3:uid="{BB8B42EC-B2A9-4D25-B3DC-3763C5471FED}" name="Item type" dataDxfId="41"/>
    <tableColumn id="1" xr3:uid="{D071B403-653F-4EE4-A210-A473BCDA83D1}" name="Entity" dataDxfId="40"/>
    <tableColumn id="2" xr3:uid="{A71ABBAE-2B43-4B83-AA24-D61326ED3DD3}" name="BU Unit" dataDxfId="39"/>
    <tableColumn id="14" xr3:uid="{1894280C-2AE3-4820-B008-E4F30B1DFCFD}" name="Sourcingrequired" dataDxfId="38"/>
    <tableColumn id="5" xr3:uid="{AA36CAAB-5703-4483-AB55-5B6CC568B425}" name="Sourcingref" dataDxfId="37"/>
    <tableColumn id="15" xr3:uid="{9CE6BF0B-8215-4ED2-AF65-FC912C626897}" name="Postfacto" dataDxfId="36"/>
    <tableColumn id="16" xr3:uid="{E2535574-F39A-4225-93BF-21A639FF4A89}" name="Postfactoref" dataDxfId="35"/>
    <tableColumn id="6" xr3:uid="{015273AD-59B4-4C29-BC29-26EEE8DE864A}" name="Request Date" dataDxfId="34"/>
    <tableColumn id="8" xr3:uid="{721DCA9C-7EDE-4D10-B49F-8BDA778C2148}" name="Required by" dataDxfId="33"/>
    <tableColumn id="17" xr3:uid="{8B99BBCC-4C55-4BB2-867E-9765A0330223}" name="RequestedInRimses" dataDxfId="32"/>
    <tableColumn id="18" xr3:uid="{4C7FFAF8-AA21-4559-BA61-D45AE5154453}" name="Rimsesref" dataDxfId="31"/>
    <tableColumn id="19" xr3:uid="{959EF2CE-51AE-46C5-BDDF-3A3A67BF89BB}" name="Workorderavailable" dataDxfId="30"/>
    <tableColumn id="20" xr3:uid="{F44EC7C1-66CD-4D6A-BFAE-47695CB0996C}" name="WorkorderRef" dataDxfId="29"/>
    <tableColumn id="21" xr3:uid="{5DD6B7C5-F70B-4152-B8A9-9415CDAF72F8}" name="Project ID" dataDxfId="28"/>
    <tableColumn id="24" xr3:uid="{CFD2E743-8A69-4F3C-8EB3-7A966722F15E}" name="Location" dataDxfId="27"/>
    <tableColumn id="10" xr3:uid="{0E3F9419-4090-40C4-90F4-65D60DFDA8E1}" name="Requester" dataDxfId="26"/>
    <tableColumn id="27" xr3:uid="{C56F0890-5C15-446C-AC93-0DDD4104F511}" name="Requester Email" dataDxfId="25"/>
    <tableColumn id="7" xr3:uid="{E842D90A-D009-483D-A2F2-4F83A45F16BD}" name="Warehouse Rep" dataDxfId="24"/>
    <tableColumn id="28" xr3:uid="{535A78DC-32BD-498A-A77C-EB4A169CDE57}" name="Warehouse Rep Email" dataDxfId="23"/>
    <tableColumn id="9" xr3:uid="{3CB12AF8-F18E-497C-AC43-35197E65806A}" name="Assigned Buyer" dataDxfId="22"/>
    <tableColumn id="29" xr3:uid="{FF2EE2F5-F610-48B0-8FF1-823DBDF6E249}" name="Buyer Email" dataDxfId="21"/>
    <tableColumn id="13" xr3:uid="{7FA3360B-0F43-4619-8728-BD88C91DF9E6}" name="Version" dataDxfId="2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9AF5143-6073-4CEF-B0DE-618244C0309D}" name="T_Headermap" displayName="T_Headermap" ref="A1:E26" totalsRowShown="0" headerRowDxfId="19" dataDxfId="18">
  <autoFilter ref="A1:E26" xr:uid="{49AF5143-6073-4CEF-B0DE-618244C0309D}"/>
  <tableColumns count="5">
    <tableColumn id="1" xr3:uid="{F19EDF1D-F0C4-48F7-B81A-4393A25EDEEE}" name="Header column name" dataDxfId="17"/>
    <tableColumn id="2" xr3:uid="{6EFD5190-925C-4615-AC35-D849D6305918}" name="Input reference" dataDxfId="16"/>
    <tableColumn id="3" xr3:uid="{6ABD105A-1EC2-4C17-9949-0EDCF075057D}" name="ActiveX" dataDxfId="15"/>
    <tableColumn id="4" xr3:uid="{3535AE2B-F097-45F0-A514-646E0249FC7A}" name="Validation" dataDxfId="14"/>
    <tableColumn id="5" xr3:uid="{982719B4-EC4E-4F6D-87A1-28393E0C1239}" name="Remarks" dataDxfId="13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C7268D-5EA4-48DA-961F-52649D8E0067}" name="T_ActiveX_map" displayName="T_ActiveX_map" ref="I1:M9" totalsRowShown="0" headerRowDxfId="12" dataDxfId="11">
  <autoFilter ref="I1:M9" xr:uid="{91C7268D-5EA4-48DA-961F-52649D8E0067}"/>
  <tableColumns count="5">
    <tableColumn id="3" xr3:uid="{3A1F8A8C-071A-4492-A715-80A735EE5BA6}" name="ActiveX" dataDxfId="10"/>
    <tableColumn id="1" xr3:uid="{800450DD-D99A-45DB-B587-76D32D58F509}" name="Value" dataDxfId="9"/>
    <tableColumn id="2" xr3:uid="{1F5DE1BD-DE8A-4A77-B0CD-B333178A35FC}" name="Related reference" dataDxfId="8"/>
    <tableColumn id="4" xr3:uid="{79E2A030-A707-49D8-BCC0-76AC16D63B19}" name="Content" dataDxfId="7"/>
    <tableColumn id="5" xr3:uid="{E248F177-3CB8-48A1-AE14-A39B4E53A611}" name="Properties" dataDxfId="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6ED8A2F-C4CC-44A0-B6FA-A3E4E2A62F44}" name="Q_DataValidation_Source_Master" displayName="Q_DataValidation_Source_Master" ref="A1:AH2805" tableType="queryTable" totalsRowShown="0">
  <autoFilter ref="A1:AH2805" xr:uid="{A6ED8A2F-C4CC-44A0-B6FA-A3E4E2A62F44}"/>
  <tableColumns count="34">
    <tableColumn id="1" xr3:uid="{1938E66F-BEC3-4224-A587-0071ADAF8D8B}" uniqueName="1" name="Name" queryTableFieldId="1" dataDxfId="5"/>
    <tableColumn id="2" xr3:uid="{144F996D-DD64-4E9B-A2AB-4F1FD2613CEE}" uniqueName="2" name="Data.Column1" queryTableFieldId="2"/>
    <tableColumn id="3" xr3:uid="{5DACE038-A329-4281-8D59-FACA3EDB5D1D}" uniqueName="3" name="Data.Column2" queryTableFieldId="3"/>
    <tableColumn id="4" xr3:uid="{2DE778D1-F2BD-419C-B3A3-9D96569BF0FF}" uniqueName="4" name="Data.Column3" queryTableFieldId="4"/>
    <tableColumn id="5" xr3:uid="{27113120-C3E9-463D-B514-5033F17D30E5}" uniqueName="5" name="Data.Column4" queryTableFieldId="5"/>
    <tableColumn id="6" xr3:uid="{B8CED0C6-9ABC-460A-9DA6-9355223CB803}" uniqueName="6" name="Data.Column5" queryTableFieldId="6"/>
    <tableColumn id="7" xr3:uid="{FD92C013-7AED-48A3-ADC9-1E763A38449E}" uniqueName="7" name="Data.Column6" queryTableFieldId="7"/>
    <tableColumn id="8" xr3:uid="{09147F7B-E6C6-48F3-9523-32991981013D}" uniqueName="8" name="Data.Column7" queryTableFieldId="8"/>
    <tableColumn id="9" xr3:uid="{5AAA24FF-680D-46B0-8C3B-10B3B2937D0F}" uniqueName="9" name="Data.Column8" queryTableFieldId="9"/>
    <tableColumn id="10" xr3:uid="{B6C76560-D23E-4A74-9E33-36A38BDA7861}" uniqueName="10" name="Data.Column9" queryTableFieldId="10"/>
    <tableColumn id="11" xr3:uid="{B488E705-E210-4963-9676-00A85629BC11}" uniqueName="11" name="Data.Column10" queryTableFieldId="11"/>
    <tableColumn id="12" xr3:uid="{20508388-0F99-4796-B3DB-E248B60299F7}" uniqueName="12" name="Data.Entity" queryTableFieldId="12"/>
    <tableColumn id="13" xr3:uid="{84F2E24C-93E2-40A8-9B35-EDCFC18659A0}" uniqueName="13" name="Data.Business Unit" queryTableFieldId="13"/>
    <tableColumn id="14" xr3:uid="{F9970B04-737E-42B3-86A8-096E6D2CB330}" uniqueName="14" name="Data.Request type" queryTableFieldId="14"/>
    <tableColumn id="15" xr3:uid="{D9E878FA-0D00-4336-83F4-37517F590210}" uniqueName="15" name="Data.Item type - Primary" queryTableFieldId="15"/>
    <tableColumn id="16" xr3:uid="{5EE137DC-F36D-45B7-A2E7-9A888EA3B363}" uniqueName="16" name="Data.Item type - Secondary" queryTableFieldId="16"/>
    <tableColumn id="17" xr3:uid="{860C8057-8ED3-4ED6-9302-4CDE329731E2}" uniqueName="17" name="Data.Item type" queryTableFieldId="17"/>
    <tableColumn id="18" xr3:uid="{0CB9CDC1-8F5B-4FBC-AE6D-8F9BBF3C9617}" uniqueName="18" name="Data.ProjectID" queryTableFieldId="18"/>
    <tableColumn id="19" xr3:uid="{6E8F5AF6-D024-4A02-8728-2483B07F40F8}" uniqueName="19" name="Data.ProjectID Abb" queryTableFieldId="19"/>
    <tableColumn id="20" xr3:uid="{4F736B94-0A2B-42F0-B1D9-35B0678FE883}" uniqueName="20" name="Data.ProjectName" queryTableFieldId="20"/>
    <tableColumn id="21" xr3:uid="{3BA7A7F6-F169-4C60-9E08-05EA1E08EF69}" uniqueName="21" name="Data.Location" queryTableFieldId="21"/>
    <tableColumn id="22" xr3:uid="{10C317D2-F129-4C26-959A-46E21CFA1E5A}" uniqueName="22" name="Data.dataAreaId" queryTableFieldId="22"/>
    <tableColumn id="23" xr3:uid="{1F9FE213-2411-4E03-B4C8-F50A566469F8}" uniqueName="23" name="Data.DimensionDisplayValue" queryTableFieldId="23"/>
    <tableColumn id="24" xr3:uid="{6EFD7359-4F40-4FAE-9408-E82B644C03B5}" uniqueName="24" name="Data.ParentProject" queryTableFieldId="24"/>
    <tableColumn id="25" xr3:uid="{FD9B05AD-562B-4CE9-A990-C635029A2138}" uniqueName="25" name="Data.ProjectStage" queryTableFieldId="25"/>
    <tableColumn id="26" xr3:uid="{1BA18A96-C398-4FAA-90B9-6DB70FEC1951}" uniqueName="26" name="Data.ProjectID_Name" queryTableFieldId="26"/>
    <tableColumn id="27" xr3:uid="{35D350D1-CE0A-48C1-9A45-55EBD681CECE}" uniqueName="27" name="Data.DisplayName" queryTableFieldId="27"/>
    <tableColumn id="28" xr3:uid="{FBA05B8B-CC0A-4789-9A88-80D92D155054}" uniqueName="28" name="Data.CompanyName" queryTableFieldId="28"/>
    <tableColumn id="29" xr3:uid="{59917460-313D-4845-8520-6268DE8432E6}" uniqueName="29" name="Data.EmailAddress" queryTableFieldId="29"/>
    <tableColumn id="30" xr3:uid="{ADEF9833-D2CD-45B3-A3C7-49FECEB7A357}" uniqueName="30" name="Data.OfficeLocation" queryTableFieldId="30"/>
    <tableColumn id="31" xr3:uid="{380EACAE-A5B7-4931-880F-F89636EE1923}" uniqueName="31" name="Data.JobTitle" queryTableFieldId="31"/>
    <tableColumn id="32" xr3:uid="{3D623911-B8AA-401B-B782-ED37EDBB84C9}" uniqueName="32" name="Item" queryTableFieldId="32" dataDxfId="4"/>
    <tableColumn id="33" xr3:uid="{B9D0969E-0AF8-48C8-B30A-2C330E821734}" uniqueName="33" name="Kind" queryTableFieldId="33" dataDxfId="3"/>
    <tableColumn id="34" xr3:uid="{D16E7633-2B8E-4B2C-846C-833917251DBD}" uniqueName="34" name="Hidden" queryTableFieldId="3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0D62B92-0345-4012-8793-0E407FBA560C}" name="Q_DataValidation_Cache" displayName="Q_DataValidation_Cache" ref="A1:AH2805" tableType="queryTable" totalsRowShown="0">
  <autoFilter ref="A1:AH2805" xr:uid="{10D62B92-0345-4012-8793-0E407FBA560C}"/>
  <tableColumns count="34">
    <tableColumn id="1" xr3:uid="{11290DDF-B753-402C-8AA9-B9D5465F1C20}" uniqueName="1" name="Name" queryTableFieldId="1" dataDxfId="2"/>
    <tableColumn id="2" xr3:uid="{02234B02-5009-4149-A2F5-90AA4CB8FF67}" uniqueName="2" name="Data.Column1" queryTableFieldId="2"/>
    <tableColumn id="6" xr3:uid="{45C7D76F-9541-48C6-B542-66130EAE296B}" uniqueName="6" name="Data.Column2" queryTableFieldId="6"/>
    <tableColumn id="7" xr3:uid="{CB512C3C-834F-4718-8AAB-88701BCD6172}" uniqueName="7" name="Data.Column3" queryTableFieldId="7"/>
    <tableColumn id="8" xr3:uid="{3F6C94F5-144E-4E68-9650-94CD03369B33}" uniqueName="8" name="Data.Column4" queryTableFieldId="8"/>
    <tableColumn id="9" xr3:uid="{944C9C60-49F0-4AAF-8932-7076226F0AE9}" uniqueName="9" name="Data.Column5" queryTableFieldId="9"/>
    <tableColumn id="10" xr3:uid="{BA020BA7-FD7A-481F-BE5C-3E116AC7AA9E}" uniqueName="10" name="Data.Column6" queryTableFieldId="10"/>
    <tableColumn id="11" xr3:uid="{EC5B55A3-FBED-4998-A6C6-BCB05D8D8FEA}" uniqueName="11" name="Data.Column7" queryTableFieldId="11"/>
    <tableColumn id="12" xr3:uid="{61F33934-48B9-4686-9F36-F0D876634B12}" uniqueName="12" name="Data.Column8" queryTableFieldId="12"/>
    <tableColumn id="13" xr3:uid="{0420CBCF-ADCF-4174-8202-54B0DD51D2AD}" uniqueName="13" name="Data.Column9" queryTableFieldId="13"/>
    <tableColumn id="14" xr3:uid="{26564A0D-073F-4F6F-B1AA-CC18B2BFBF68}" uniqueName="14" name="Data.Column10" queryTableFieldId="14"/>
    <tableColumn id="15" xr3:uid="{5B07FADA-01C5-4A75-890B-04F8502D2E03}" uniqueName="15" name="Data.Entity" queryTableFieldId="15"/>
    <tableColumn id="16" xr3:uid="{F6CFC4D3-A297-4DEB-822B-A29D9F475CCB}" uniqueName="16" name="Data.Business Unit" queryTableFieldId="16"/>
    <tableColumn id="17" xr3:uid="{47DA2B76-D1ED-4633-A514-4E844D6C4CFB}" uniqueName="17" name="Data.Request type" queryTableFieldId="17"/>
    <tableColumn id="18" xr3:uid="{B49D2D5D-30EF-4A48-B24F-0147D726E1D7}" uniqueName="18" name="Data.Item type - Primary" queryTableFieldId="18"/>
    <tableColumn id="19" xr3:uid="{0C04C216-8C07-499D-92C5-B2C7F5E6E507}" uniqueName="19" name="Data.Item type - Secondary" queryTableFieldId="19"/>
    <tableColumn id="20" xr3:uid="{BEE8A628-33B9-4AB3-8CDE-6092C07008FD}" uniqueName="20" name="Data.Item type" queryTableFieldId="20"/>
    <tableColumn id="21" xr3:uid="{3E9DA6DB-8A60-45D7-8114-D3D01AFA8879}" uniqueName="21" name="Data.ProjectID" queryTableFieldId="21"/>
    <tableColumn id="22" xr3:uid="{8469E5E3-E728-49BB-8DDB-D74A66AF2D81}" uniqueName="22" name="Data.ProjectID Abb" queryTableFieldId="22"/>
    <tableColumn id="23" xr3:uid="{52CA9AF2-3B5E-4795-9AF4-96552516FEBD}" uniqueName="23" name="Data.ProjectName" queryTableFieldId="23"/>
    <tableColumn id="24" xr3:uid="{8E2A2F75-BCFD-4E20-B4AB-90C450B01212}" uniqueName="24" name="Data.Location" queryTableFieldId="24"/>
    <tableColumn id="25" xr3:uid="{125A928B-25EA-4D8E-852F-948430B8D764}" uniqueName="25" name="Data.dataAreaId" queryTableFieldId="25"/>
    <tableColumn id="26" xr3:uid="{B0D974A5-FFD4-47F2-A286-D57131D13CB2}" uniqueName="26" name="Data.DimensionDisplayValue" queryTableFieldId="26"/>
    <tableColumn id="27" xr3:uid="{956EFE01-9763-4E18-AE4C-39B9C841855D}" uniqueName="27" name="Data.ParentProject" queryTableFieldId="27"/>
    <tableColumn id="28" xr3:uid="{8FD04735-AC1F-43E4-9374-07FE5277C0EC}" uniqueName="28" name="Data.ProjectStage" queryTableFieldId="28"/>
    <tableColumn id="29" xr3:uid="{36AE06E9-387B-439F-A360-C0A859C3D2FF}" uniqueName="29" name="Data.ProjectID_Name" queryTableFieldId="29"/>
    <tableColumn id="30" xr3:uid="{2925360C-C2B9-49CE-A5FB-5147672A272A}" uniqueName="30" name="Data.DisplayName" queryTableFieldId="30"/>
    <tableColumn id="31" xr3:uid="{25C3D7B3-D689-4C28-B6CB-DC4E1FFBD524}" uniqueName="31" name="Data.CompanyName" queryTableFieldId="31"/>
    <tableColumn id="32" xr3:uid="{61FAC438-BA47-4557-8F80-C00ADE92AA98}" uniqueName="32" name="Data.EmailAddress" queryTableFieldId="32"/>
    <tableColumn id="33" xr3:uid="{9E68DA71-EA6F-4678-8AEB-2F64FBBF357C}" uniqueName="33" name="Data.OfficeLocation" queryTableFieldId="33"/>
    <tableColumn id="34" xr3:uid="{FB7BE7D2-90C1-48A7-BA37-9A6113B8FEA6}" uniqueName="34" name="Data.JobTitle" queryTableFieldId="34"/>
    <tableColumn id="3" xr3:uid="{87E74362-C74B-4840-BD36-D8FD05C271CB}" uniqueName="3" name="Item" queryTableFieldId="3" dataDxfId="1"/>
    <tableColumn id="4" xr3:uid="{14A25A60-0A32-42E4-A33D-3824C97A75CD}" uniqueName="4" name="Kind" queryTableFieldId="4" dataDxfId="0"/>
    <tableColumn id="5" xr3:uid="{C3470B66-0B7E-4A46-8B12-F71376A25EA7}" uniqueName="5" name="Hidden" queryTableFieldId="5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6F65E3C-B94C-4616-8682-326D355EF96A}" name="Q_Entity" displayName="Q_Entity" ref="A1:A6" tableType="queryTable" totalsRowShown="0">
  <autoFilter ref="A1:A6" xr:uid="{E6F65E3C-B94C-4616-8682-326D355EF96A}"/>
  <tableColumns count="1">
    <tableColumn id="2" xr3:uid="{F371E951-187E-4C8D-BA9B-9AA0F6CC121B}" uniqueName="2" name="Entity" queryTableFieldId="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C0F9CEDB-D0E4-48E8-9940-52A8D6231D0C}" name="Q_BU" displayName="Q_BU" ref="C1:C5" tableType="queryTable" totalsRowShown="0">
  <autoFilter ref="C1:C5" xr:uid="{C0F9CEDB-D0E4-48E8-9940-52A8D6231D0C}"/>
  <tableColumns count="1">
    <tableColumn id="2" xr3:uid="{E4477935-ABB6-43FD-9AAF-EB5530152A5E}" uniqueName="2" name="Business unit" queryTableFieldId="2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6E46208-C3C2-4A81-8C28-9B572832D855}" name="Q_Request_type" displayName="Q_Request_type" ref="E1:E3" tableType="queryTable" totalsRowShown="0">
  <autoFilter ref="E1:E3" xr:uid="{B6E46208-C3C2-4A81-8C28-9B572832D855}"/>
  <tableColumns count="1">
    <tableColumn id="1" xr3:uid="{BCD065E0-C9D1-4205-9730-546238751818}" uniqueName="1" name="Request type" queryTableFieldId="1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FB563195-EC83-41A4-A80C-03DBDFFF3771}" name="Q_Item_type" displayName="Q_Item_type" ref="G1:I7" tableType="queryTable" totalsRowShown="0">
  <autoFilter ref="G1:I7" xr:uid="{FB563195-EC83-41A4-A80C-03DBDFFF3771}"/>
  <tableColumns count="3">
    <tableColumn id="1" xr3:uid="{3BC79E86-9ED1-4E03-9B31-8690040EA8DE}" uniqueName="1" name="Item type - Primary" queryTableFieldId="1"/>
    <tableColumn id="2" xr3:uid="{CEF61760-F24E-4816-9202-399A4A34169A}" uniqueName="2" name="Item type - Secondary" queryTableFieldId="2"/>
    <tableColumn id="3" xr3:uid="{09ECE53D-CD9D-4954-AD78-861F6B672333}" uniqueName="3" name="Item type" queryTableFieldId="3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9F425E-E4D0-49F0-8197-57B11F2A6A36}" name="Q_Location" displayName="Q_Location" ref="K1:N104" tableType="queryTable" totalsRowShown="0">
  <autoFilter ref="K1:N104" xr:uid="{929F425E-E4D0-49F0-8197-57B11F2A6A36}"/>
  <tableColumns count="4">
    <tableColumn id="1" xr3:uid="{34B41594-9C77-4A71-BA6D-278E375501D4}" uniqueName="1" name="ProjectID" queryTableFieldId="1"/>
    <tableColumn id="2" xr3:uid="{7769CFD8-1AFC-406C-B48E-29A854EEC63D}" uniqueName="2" name="ProjectID Abb" queryTableFieldId="2"/>
    <tableColumn id="3" xr3:uid="{124F471B-69BF-4623-B1C8-8EAD6FE77FB8}" uniqueName="3" name="ProjectName" queryTableFieldId="3"/>
    <tableColumn id="4" xr3:uid="{78D8FB32-5610-4879-AE78-FBAFCAE7692D}" uniqueName="4" name="Location" queryTableFieldId="4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0386258-D6BC-4B1E-AD01-EBA66DFB904F}" name="Q_Projects" displayName="Q_Projects" ref="P1:W247" tableType="queryTable" totalsRowShown="0">
  <autoFilter ref="P1:W247" xr:uid="{60386258-D6BC-4B1E-AD01-EBA66DFB904F}"/>
  <tableColumns count="8">
    <tableColumn id="1" xr3:uid="{F655011D-9F54-4260-8B2C-E320C5746062}" uniqueName="1" name="ProjectID" queryTableFieldId="1"/>
    <tableColumn id="2" xr3:uid="{FCCD1B2F-5399-43FC-8C3F-FD8416B1C8B9}" uniqueName="2" name="ProjectID Abb" queryTableFieldId="2"/>
    <tableColumn id="3" xr3:uid="{8776E2FB-8264-4239-9962-F4EFE1BFEABF}" uniqueName="3" name="ProjectName" queryTableFieldId="3"/>
    <tableColumn id="4" xr3:uid="{46379381-BEC3-483F-89D3-9517CB4B9ADC}" uniqueName="4" name="dataAreaId" queryTableFieldId="4"/>
    <tableColumn id="5" xr3:uid="{631A60B7-07D6-4458-A463-75B28B486D5B}" uniqueName="5" name="DimensionDisplayValue" queryTableFieldId="5"/>
    <tableColumn id="6" xr3:uid="{67E1B151-1F1F-4A2C-8AB0-93C3FB71E494}" uniqueName="6" name="ParentProject" queryTableFieldId="6"/>
    <tableColumn id="7" xr3:uid="{F3F9E0C7-C927-4C6E-A8C7-A7F199151C69}" uniqueName="7" name="ProjectStage" queryTableFieldId="7"/>
    <tableColumn id="8" xr3:uid="{1E817AD5-DADF-44B2-94E5-2124CE0222C5}" uniqueName="8" name="ProjectID_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7E3EF3D-ED4D-45B7-980D-E43CA269AFF2}" name="Q_Requester" displayName="Q_Requester" ref="Y1:AC190" tableType="queryTable" totalsRowShown="0">
  <autoFilter ref="Y1:AC190" xr:uid="{67E3EF3D-ED4D-45B7-980D-E43CA269AFF2}"/>
  <tableColumns count="5">
    <tableColumn id="1" xr3:uid="{CA21C9DF-584C-4CC5-B63A-3CD6D111BC2C}" uniqueName="1" name="DisplayName" queryTableFieldId="1"/>
    <tableColumn id="2" xr3:uid="{2DC7AADF-66BA-40F7-8FA7-CE29B7E67C44}" uniqueName="2" name="CompanyName" queryTableFieldId="2"/>
    <tableColumn id="3" xr3:uid="{B299C89B-A035-422F-B6B3-A6DC9BCE7A90}" uniqueName="3" name="EmailAddress" queryTableFieldId="3"/>
    <tableColumn id="4" xr3:uid="{733BBA80-51CB-4E89-AA1C-9B0DB42C40EE}" uniqueName="4" name="OfficeLocation" queryTableFieldId="4"/>
    <tableColumn id="5" xr3:uid="{43D57797-3B03-4FC0-BB23-A256CB78850A}" uniqueName="5" name="JobTitle" queryTableFieldId="5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B9FF1F-F3C0-4B7D-846D-F908004FA847}" name="Q_Warehouse_Rep" displayName="Q_Warehouse_Rep" ref="AE1:AI19" tableType="queryTable" totalsRowShown="0">
  <autoFilter ref="AE1:AI19" xr:uid="{00B9FF1F-F3C0-4B7D-846D-F908004FA847}"/>
  <tableColumns count="5">
    <tableColumn id="1" xr3:uid="{55D870EF-47BC-4D3F-AD2D-F595E9F517F0}" uniqueName="1" name="DisplayName" queryTableFieldId="1"/>
    <tableColumn id="2" xr3:uid="{8BF87A21-EAA0-4349-9D84-3D1FD9D88886}" uniqueName="2" name="CompanyName" queryTableFieldId="2"/>
    <tableColumn id="3" xr3:uid="{FF053B97-07F0-4BD5-AAA8-FEC523B7F486}" uniqueName="3" name="EmailAddress" queryTableFieldId="3"/>
    <tableColumn id="4" xr3:uid="{3675B1FB-0BEA-4726-A790-E9A09D09EB61}" uniqueName="4" name="OfficeLocation" queryTableFieldId="4"/>
    <tableColumn id="5" xr3:uid="{A0AE42A4-4CCC-40CE-A825-866E1CB7BCBE}" uniqueName="5" name="JobTitle" queryTableFieldId="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527484B-CEA8-4698-9D14-89A957C3ED14}" name="Q_Buyer" displayName="Q_Buyer" ref="AK1:AO13" tableType="queryTable" totalsRowShown="0">
  <autoFilter ref="AK1:AO13" xr:uid="{9527484B-CEA8-4698-9D14-89A957C3ED14}"/>
  <tableColumns count="5">
    <tableColumn id="1" xr3:uid="{A4917FB3-E29E-4FF4-9230-014C9BA179E7}" uniqueName="1" name="DisplayName" queryTableFieldId="1"/>
    <tableColumn id="2" xr3:uid="{52E3D7A6-1B6E-4100-BEC7-23FE1AF9B7D9}" uniqueName="2" name="CompanyName" queryTableFieldId="2"/>
    <tableColumn id="3" xr3:uid="{A3C90A58-C082-49D5-9F48-697F83FF8CA7}" uniqueName="3" name="EmailAddress" queryTableFieldId="3"/>
    <tableColumn id="4" xr3:uid="{5A552601-8D44-4DC0-BD7C-68354C14AB7A}" uniqueName="4" name="OfficeLocation" queryTableFieldId="4"/>
    <tableColumn id="5" xr3:uid="{C7EA04F7-8C36-4B5A-A5B8-DB55EFBB18C2}" uniqueName="5" name="JobTitl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13" Type="http://schemas.openxmlformats.org/officeDocument/2006/relationships/image" Target="../media/image13.emf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2.xml"/><Relationship Id="rId1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1.xml"/><Relationship Id="rId4" Type="http://schemas.openxmlformats.org/officeDocument/2006/relationships/control" Target="../activeX/activeX8.xml"/><Relationship Id="rId9" Type="http://schemas.openxmlformats.org/officeDocument/2006/relationships/image" Target="../media/image11.emf"/><Relationship Id="rId14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0FA0C-AC97-455B-81B6-1FCFA64AB3B5}">
  <sheetPr codeName="Sheet3">
    <pageSetUpPr fitToPage="1"/>
  </sheetPr>
  <dimension ref="A1:N513"/>
  <sheetViews>
    <sheetView showGridLines="0" tabSelected="1" zoomScaleNormal="100" workbookViewId="0">
      <selection activeCell="B19" sqref="B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90"/>
      <c r="D5" s="90"/>
      <c r="F5" s="80" t="s">
        <v>3</v>
      </c>
      <c r="G5" s="81"/>
      <c r="H5" s="91"/>
      <c r="I5" s="91"/>
      <c r="J5" s="38"/>
      <c r="K5" s="80" t="s">
        <v>4</v>
      </c>
      <c r="L5" s="82"/>
      <c r="M5" s="79"/>
      <c r="N5" s="78"/>
    </row>
    <row r="6" spans="1:14" s="15" customFormat="1" ht="20.100000000000001" customHeight="1">
      <c r="A6" s="80" t="s">
        <v>5</v>
      </c>
      <c r="B6" s="81"/>
      <c r="C6" s="91" t="s">
        <v>6</v>
      </c>
      <c r="D6" s="91"/>
      <c r="F6" s="80" t="s">
        <v>7</v>
      </c>
      <c r="G6" s="81"/>
      <c r="H6" s="86" t="s">
        <v>8</v>
      </c>
      <c r="I6" s="86"/>
      <c r="J6" s="38"/>
      <c r="K6" s="80" t="s">
        <v>9</v>
      </c>
      <c r="L6" s="82"/>
      <c r="M6" s="79"/>
      <c r="N6" s="74" t="s">
        <v>10</v>
      </c>
    </row>
    <row r="7" spans="1:14" s="15" customFormat="1" ht="20.100000000000001" customHeight="1">
      <c r="A7" s="80" t="s">
        <v>11</v>
      </c>
      <c r="B7" s="81"/>
      <c r="C7" s="91" t="s">
        <v>12</v>
      </c>
      <c r="D7" s="91"/>
      <c r="F7" s="80"/>
      <c r="G7" s="82"/>
      <c r="H7" s="83"/>
      <c r="I7" s="84"/>
      <c r="J7" s="38"/>
      <c r="K7" s="80"/>
      <c r="L7" s="82"/>
      <c r="M7" s="79"/>
      <c r="N7" s="77"/>
    </row>
    <row r="8" spans="1:14" s="15" customFormat="1" ht="20.100000000000001" customHeight="1">
      <c r="A8" s="80" t="s">
        <v>13</v>
      </c>
      <c r="B8" s="81"/>
      <c r="C8" s="93">
        <f ca="1">TODAY()+2</f>
        <v>46026</v>
      </c>
      <c r="D8" s="93"/>
      <c r="F8" s="80" t="s">
        <v>14</v>
      </c>
      <c r="G8" s="81"/>
      <c r="H8" s="87"/>
      <c r="I8" s="87"/>
      <c r="K8" s="80" t="s">
        <v>15</v>
      </c>
      <c r="L8" s="82"/>
      <c r="M8" s="79"/>
      <c r="N8" s="75"/>
    </row>
    <row r="9" spans="1:14" s="15" customFormat="1" ht="20.100000000000001" customHeight="1">
      <c r="A9" s="94"/>
      <c r="B9" s="95"/>
      <c r="C9" s="83"/>
      <c r="D9" s="84"/>
      <c r="F9" s="80"/>
      <c r="G9" s="82"/>
      <c r="H9" s="83"/>
      <c r="I9" s="84"/>
      <c r="J9" s="38"/>
      <c r="K9" s="80" t="s">
        <v>16</v>
      </c>
      <c r="L9" s="82"/>
      <c r="M9" s="79"/>
      <c r="N9" s="76" t="s">
        <v>17</v>
      </c>
    </row>
    <row r="10" spans="1:14" s="15" customFormat="1" ht="20.100000000000001" customHeight="1">
      <c r="A10" s="80" t="s">
        <v>18</v>
      </c>
      <c r="B10" s="81"/>
      <c r="C10" s="96"/>
      <c r="D10" s="97"/>
      <c r="F10" s="80" t="s">
        <v>19</v>
      </c>
      <c r="G10" s="81"/>
      <c r="H10" s="85"/>
      <c r="I10" s="85"/>
      <c r="J10" s="38"/>
      <c r="K10" s="80" t="s">
        <v>20</v>
      </c>
      <c r="L10" s="82"/>
      <c r="M10" s="79"/>
      <c r="N10" s="76"/>
    </row>
    <row r="11" spans="1:14" s="15" customFormat="1" ht="20.100000000000001" customHeight="1">
      <c r="I11" s="38"/>
      <c r="J11" s="38"/>
      <c r="K11" s="80" t="s">
        <v>2136</v>
      </c>
      <c r="L11" s="82"/>
      <c r="M11" s="79"/>
      <c r="N11" s="76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15.75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" s="6"/>
      <c r="C16" s="7"/>
      <c r="D16" s="8"/>
      <c r="E16" s="9"/>
      <c r="F16" s="10"/>
      <c r="G16" s="10"/>
      <c r="H16" s="10"/>
      <c r="I16" s="10"/>
      <c r="J16" s="60"/>
      <c r="K16" s="9"/>
      <c r="L16" s="58" t="str">
        <f>IF(OR(IPRF_Lines[[#This Row],[Requested Qty]]="",IPRF_Lines[[#This Row],[Picked Qty]]=""),"",IPRF_Lines[[#This Row],[Requested Qty]]-IPRF_Lines[[#This Row],[Picked Qty]])</f>
        <v/>
      </c>
      <c r="M16" s="18" t="str" cm="1">
        <f t="array" ref="M16">IF(
    OR(IPRF_Lines[[#This Row],[Item Description]]="",IPRF_Lines[[#This Row],[Requested Qty]]="",IPRF_Lines[[#This Row],[Unit]]=""),
    "",UPPER(IPRF_Header[Request number] &amp; "-" &amp; IPRF_Lines[[#This Row],[Line num]]))</f>
        <v/>
      </c>
      <c r="N16" s="19" t="str" cm="1">
        <f t="array" ref="N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" s="6"/>
      <c r="C17" s="7"/>
      <c r="D17" s="6"/>
      <c r="E17" s="9"/>
      <c r="F17" s="10"/>
      <c r="G17" s="10"/>
      <c r="H17" s="7"/>
      <c r="I17" s="7"/>
      <c r="J17" s="60"/>
      <c r="K17" s="9"/>
      <c r="L17" s="58" t="str">
        <f>IF(OR(IPRF_Lines[[#This Row],[Requested Qty]]="",IPRF_Lines[[#This Row],[Picked Qty]]=""),"",IPRF_Lines[[#This Row],[Requested Qty]]-IPRF_Lines[[#This Row],[Picked Qty]])</f>
        <v/>
      </c>
      <c r="M17" s="18" t="str" cm="1">
        <f t="array" ref="M17">IF(
    OR(IPRF_Lines[[#This Row],[Item Description]]="",IPRF_Lines[[#This Row],[Requested Qty]]="",IPRF_Lines[[#This Row],[Unit]]=""),
    "",UPPER(IPRF_Header[Request number] &amp; "-" &amp; IPRF_Lines[[#This Row],[Line num]]))</f>
        <v/>
      </c>
      <c r="N17" s="19" t="str" cm="1">
        <f t="array" ref="N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IF(OR(IPRF_Lines[[#This Row],[Requested Qty]]="",IPRF_Lines[[#This Row],[Picked Qty]]=""),"",IPRF_Lines[[#This Row],[Requested Qty]]-IPRF_Lines[[#This Row],[Picked Qty]])</f>
        <v/>
      </c>
      <c r="M18" s="18" t="str" cm="1">
        <f t="array" ref="M18">IF(
    OR(IPRF_Lines[[#This Row],[Item Description]]="",IPRF_Lines[[#This Row],[Requested Qty]]="",IPRF_Lines[[#This Row],[Unit]]=""),
    "",UPPER(IPRF_Header[Request number] &amp; "-" &amp; IPRF_Lines[[#This Row],[Line num]]))</f>
        <v/>
      </c>
      <c r="N18" s="19" t="str" cm="1">
        <f t="array" ref="N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IF(OR(IPRF_Lines[[#This Row],[Requested Qty]]="",IPRF_Lines[[#This Row],[Picked Qty]]=""),"",IPRF_Lines[[#This Row],[Requested Qty]]-IPRF_Lines[[#This Row],[Picked Qty]])</f>
        <v/>
      </c>
      <c r="M19" s="18" t="str" cm="1">
        <f t="array" ref="M19">IF(
    OR(IPRF_Lines[[#This Row],[Item Description]]="",IPRF_Lines[[#This Row],[Requested Qty]]="",IPRF_Lines[[#This Row],[Unit]]=""),
    "",UPPER(IPRF_Header[Request number] &amp; "-" &amp; IPRF_Lines[[#This Row],[Line num]]))</f>
        <v/>
      </c>
      <c r="N19" s="19" t="str" cm="1">
        <f t="array" ref="N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IF(OR(IPRF_Lines[[#This Row],[Requested Qty]]="",IPRF_Lines[[#This Row],[Picked Qty]]=""),"",IPRF_Lines[[#This Row],[Requested Qty]]-IPRF_Lines[[#This Row],[Picked Qty]])</f>
        <v/>
      </c>
      <c r="M20" s="18" t="str" cm="1">
        <f t="array" ref="M20">IF(
    OR(IPRF_Lines[[#This Row],[Item Description]]="",IPRF_Lines[[#This Row],[Requested Qty]]="",IPRF_Lines[[#This Row],[Unit]]=""),
    "",UPPER(IPRF_Header[Request number] &amp; "-" &amp; IPRF_Lines[[#This Row],[Line num]]))</f>
        <v/>
      </c>
      <c r="N20" s="19" t="str" cm="1">
        <f t="array" ref="N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IF(OR(IPRF_Lines[[#This Row],[Requested Qty]]="",IPRF_Lines[[#This Row],[Picked Qty]]=""),"",IPRF_Lines[[#This Row],[Requested Qty]]-IPRF_Lines[[#This Row],[Picked Qty]])</f>
        <v/>
      </c>
      <c r="M21" s="18" t="str" cm="1">
        <f t="array" ref="M21">IF(
    OR(IPRF_Lines[[#This Row],[Item Description]]="",IPRF_Lines[[#This Row],[Requested Qty]]="",IPRF_Lines[[#This Row],[Unit]]=""),
    "",UPPER(IPRF_Header[Request number] &amp; "-" &amp; IPRF_Lines[[#This Row],[Line num]]))</f>
        <v/>
      </c>
      <c r="N21" s="19" t="str" cm="1">
        <f t="array" ref="N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IF(OR(IPRF_Lines[[#This Row],[Requested Qty]]="",IPRF_Lines[[#This Row],[Picked Qty]]=""),"",IPRF_Lines[[#This Row],[Requested Qty]]-IPRF_Lines[[#This Row],[Picked Qty]])</f>
        <v/>
      </c>
      <c r="M22" s="18" t="str" cm="1">
        <f t="array" ref="M22">IF(
    OR(IPRF_Lines[[#This Row],[Item Description]]="",IPRF_Lines[[#This Row],[Requested Qty]]="",IPRF_Lines[[#This Row],[Unit]]=""),
    "",UPPER(IPRF_Header[Request number] &amp; "-" &amp; IPRF_Lines[[#This Row],[Line num]]))</f>
        <v/>
      </c>
      <c r="N22" s="19" t="str" cm="1">
        <f t="array" ref="N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IF(OR(IPRF_Lines[[#This Row],[Requested Qty]]="",IPRF_Lines[[#This Row],[Picked Qty]]=""),"",IPRF_Lines[[#This Row],[Requested Qty]]-IPRF_Lines[[#This Row],[Picked Qty]])</f>
        <v/>
      </c>
      <c r="M23" s="18" t="str" cm="1">
        <f t="array" ref="M23">IF(
    OR(IPRF_Lines[[#This Row],[Item Description]]="",IPRF_Lines[[#This Row],[Requested Qty]]="",IPRF_Lines[[#This Row],[Unit]]=""),
    "",UPPER(IPRF_Header[Request number] &amp; "-" &amp; IPRF_Lines[[#This Row],[Line num]]))</f>
        <v/>
      </c>
      <c r="N23" s="19" t="str" cm="1">
        <f t="array" ref="N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IF(OR(IPRF_Lines[[#This Row],[Requested Qty]]="",IPRF_Lines[[#This Row],[Picked Qty]]=""),"",IPRF_Lines[[#This Row],[Requested Qty]]-IPRF_Lines[[#This Row],[Picked Qty]])</f>
        <v/>
      </c>
      <c r="M24" s="18" t="str" cm="1">
        <f t="array" ref="M24">IF(
    OR(IPRF_Lines[[#This Row],[Item Description]]="",IPRF_Lines[[#This Row],[Requested Qty]]="",IPRF_Lines[[#This Row],[Unit]]=""),
    "",UPPER(IPRF_Header[Request number] &amp; "-" &amp; IPRF_Lines[[#This Row],[Line num]]))</f>
        <v/>
      </c>
      <c r="N24" s="19" t="str" cm="1">
        <f t="array" ref="N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IF(OR(IPRF_Lines[[#This Row],[Requested Qty]]="",IPRF_Lines[[#This Row],[Picked Qty]]=""),"",IPRF_Lines[[#This Row],[Requested Qty]]-IPRF_Lines[[#This Row],[Picked Qty]])</f>
        <v/>
      </c>
      <c r="M25" s="18" t="str" cm="1">
        <f t="array" ref="M25">IF(
    OR(IPRF_Lines[[#This Row],[Item Description]]="",IPRF_Lines[[#This Row],[Requested Qty]]="",IPRF_Lines[[#This Row],[Unit]]=""),
    "",UPPER(IPRF_Header[Request number] &amp; "-" &amp; IPRF_Lines[[#This Row],[Line num]]))</f>
        <v/>
      </c>
      <c r="N25" s="19" t="str" cm="1">
        <f t="array" ref="N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IF(OR(IPRF_Lines[[#This Row],[Requested Qty]]="",IPRF_Lines[[#This Row],[Picked Qty]]=""),"",IPRF_Lines[[#This Row],[Requested Qty]]-IPRF_Lines[[#This Row],[Picked Qty]])</f>
        <v/>
      </c>
      <c r="M26" s="18" t="str" cm="1">
        <f t="array" ref="M26">IF(
    OR(IPRF_Lines[[#This Row],[Item Description]]="",IPRF_Lines[[#This Row],[Requested Qty]]="",IPRF_Lines[[#This Row],[Unit]]=""),
    "",UPPER(IPRF_Header[Request number] &amp; "-" &amp; IPRF_Lines[[#This Row],[Line num]]))</f>
        <v/>
      </c>
      <c r="N26" s="19" t="str" cm="1">
        <f t="array" ref="N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IF(OR(IPRF_Lines[[#This Row],[Requested Qty]]="",IPRF_Lines[[#This Row],[Picked Qty]]=""),"",IPRF_Lines[[#This Row],[Requested Qty]]-IPRF_Lines[[#This Row],[Picked Qty]])</f>
        <v/>
      </c>
      <c r="M27" s="18" t="str" cm="1">
        <f t="array" ref="M27">IF(
    OR(IPRF_Lines[[#This Row],[Item Description]]="",IPRF_Lines[[#This Row],[Requested Qty]]="",IPRF_Lines[[#This Row],[Unit]]=""),
    "",UPPER(IPRF_Header[Request number] &amp; "-" &amp; IPRF_Lines[[#This Row],[Line num]]))</f>
        <v/>
      </c>
      <c r="N27" s="19" t="str" cm="1">
        <f t="array" ref="N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IF(OR(IPRF_Lines[[#This Row],[Requested Qty]]="",IPRF_Lines[[#This Row],[Picked Qty]]=""),"",IPRF_Lines[[#This Row],[Requested Qty]]-IPRF_Lines[[#This Row],[Picked Qty]])</f>
        <v/>
      </c>
      <c r="M28" s="18" t="str" cm="1">
        <f t="array" ref="M28">IF(
    OR(IPRF_Lines[[#This Row],[Item Description]]="",IPRF_Lines[[#This Row],[Requested Qty]]="",IPRF_Lines[[#This Row],[Unit]]=""),
    "",UPPER(IPRF_Header[Request number] &amp; "-" &amp; IPRF_Lines[[#This Row],[Line num]]))</f>
        <v/>
      </c>
      <c r="N28" s="19" t="str" cm="1">
        <f t="array" ref="N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IF(OR(IPRF_Lines[[#This Row],[Requested Qty]]="",IPRF_Lines[[#This Row],[Picked Qty]]=""),"",IPRF_Lines[[#This Row],[Requested Qty]]-IPRF_Lines[[#This Row],[Picked Qty]])</f>
        <v/>
      </c>
      <c r="M29" s="18" t="str" cm="1">
        <f t="array" ref="M29">IF(
    OR(IPRF_Lines[[#This Row],[Item Description]]="",IPRF_Lines[[#This Row],[Requested Qty]]="",IPRF_Lines[[#This Row],[Unit]]=""),
    "",UPPER(IPRF_Header[Request number] &amp; "-" &amp; IPRF_Lines[[#This Row],[Line num]]))</f>
        <v/>
      </c>
      <c r="N29" s="19" t="str" cm="1">
        <f t="array" ref="N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IF(OR(IPRF_Lines[[#This Row],[Requested Qty]]="",IPRF_Lines[[#This Row],[Picked Qty]]=""),"",IPRF_Lines[[#This Row],[Requested Qty]]-IPRF_Lines[[#This Row],[Picked Qty]])</f>
        <v/>
      </c>
      <c r="M30" s="18" t="str" cm="1">
        <f t="array" ref="M30">IF(
    OR(IPRF_Lines[[#This Row],[Item Description]]="",IPRF_Lines[[#This Row],[Requested Qty]]="",IPRF_Lines[[#This Row],[Unit]]=""),
    "",UPPER(IPRF_Header[Request number] &amp; "-" &amp; IPRF_Lines[[#This Row],[Line num]]))</f>
        <v/>
      </c>
      <c r="N30" s="19" t="str" cm="1">
        <f t="array" ref="N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IF(OR(IPRF_Lines[[#This Row],[Requested Qty]]="",IPRF_Lines[[#This Row],[Picked Qty]]=""),"",IPRF_Lines[[#This Row],[Requested Qty]]-IPRF_Lines[[#This Row],[Picked Qty]])</f>
        <v/>
      </c>
      <c r="M31" s="18" t="str" cm="1">
        <f t="array" ref="M31">IF(
    OR(IPRF_Lines[[#This Row],[Item Description]]="",IPRF_Lines[[#This Row],[Requested Qty]]="",IPRF_Lines[[#This Row],[Unit]]=""),
    "",UPPER(IPRF_Header[Request number] &amp; "-" &amp; IPRF_Lines[[#This Row],[Line num]]))</f>
        <v/>
      </c>
      <c r="N31" s="19" t="str" cm="1">
        <f t="array" ref="N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IF(OR(IPRF_Lines[[#This Row],[Requested Qty]]="",IPRF_Lines[[#This Row],[Picked Qty]]=""),"",IPRF_Lines[[#This Row],[Requested Qty]]-IPRF_Lines[[#This Row],[Picked Qty]])</f>
        <v/>
      </c>
      <c r="M32" s="18" t="str" cm="1">
        <f t="array" ref="M32">IF(
    OR(IPRF_Lines[[#This Row],[Item Description]]="",IPRF_Lines[[#This Row],[Requested Qty]]="",IPRF_Lines[[#This Row],[Unit]]=""),
    "",UPPER(IPRF_Header[Request number] &amp; "-" &amp; IPRF_Lines[[#This Row],[Line num]]))</f>
        <v/>
      </c>
      <c r="N32" s="19" t="str" cm="1">
        <f t="array" ref="N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IF(OR(IPRF_Lines[[#This Row],[Requested Qty]]="",IPRF_Lines[[#This Row],[Picked Qty]]=""),"",IPRF_Lines[[#This Row],[Requested Qty]]-IPRF_Lines[[#This Row],[Picked Qty]])</f>
        <v/>
      </c>
      <c r="M33" s="18" t="str" cm="1">
        <f t="array" ref="M33">IF(
    OR(IPRF_Lines[[#This Row],[Item Description]]="",IPRF_Lines[[#This Row],[Requested Qty]]="",IPRF_Lines[[#This Row],[Unit]]=""),
    "",UPPER(IPRF_Header[Request number] &amp; "-" &amp; IPRF_Lines[[#This Row],[Line num]]))</f>
        <v/>
      </c>
      <c r="N33" s="19" t="str" cm="1">
        <f t="array" ref="N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IF(OR(IPRF_Lines[[#This Row],[Requested Qty]]="",IPRF_Lines[[#This Row],[Picked Qty]]=""),"",IPRF_Lines[[#This Row],[Requested Qty]]-IPRF_Lines[[#This Row],[Picked Qty]])</f>
        <v/>
      </c>
      <c r="M34" s="18" t="str" cm="1">
        <f t="array" ref="M34">IF(
    OR(IPRF_Lines[[#This Row],[Item Description]]="",IPRF_Lines[[#This Row],[Requested Qty]]="",IPRF_Lines[[#This Row],[Unit]]=""),
    "",UPPER(IPRF_Header[Request number] &amp; "-" &amp; IPRF_Lines[[#This Row],[Line num]]))</f>
        <v/>
      </c>
      <c r="N34" s="19" t="str" cm="1">
        <f t="array" ref="N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IF(OR(IPRF_Lines[[#This Row],[Requested Qty]]="",IPRF_Lines[[#This Row],[Picked Qty]]=""),"",IPRF_Lines[[#This Row],[Requested Qty]]-IPRF_Lines[[#This Row],[Picked Qty]])</f>
        <v/>
      </c>
      <c r="M35" s="18" t="str" cm="1">
        <f t="array" ref="M35">IF(
    OR(IPRF_Lines[[#This Row],[Item Description]]="",IPRF_Lines[[#This Row],[Requested Qty]]="",IPRF_Lines[[#This Row],[Unit]]=""),
    "",UPPER(IPRF_Header[Request number] &amp; "-" &amp; IPRF_Lines[[#This Row],[Line num]]))</f>
        <v/>
      </c>
      <c r="N35" s="19" t="str" cm="1">
        <f t="array" ref="N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IF(OR(IPRF_Lines[[#This Row],[Requested Qty]]="",IPRF_Lines[[#This Row],[Picked Qty]]=""),"",IPRF_Lines[[#This Row],[Requested Qty]]-IPRF_Lines[[#This Row],[Picked Qty]])</f>
        <v/>
      </c>
      <c r="M36" s="18" t="str" cm="1">
        <f t="array" ref="M36">IF(
    OR(IPRF_Lines[[#This Row],[Item Description]]="",IPRF_Lines[[#This Row],[Requested Qty]]="",IPRF_Lines[[#This Row],[Unit]]=""),
    "",UPPER(IPRF_Header[Request number] &amp; "-" &amp; IPRF_Lines[[#This Row],[Line num]]))</f>
        <v/>
      </c>
      <c r="N36" s="19" t="str" cm="1">
        <f t="array" ref="N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IF(OR(IPRF_Lines[[#This Row],[Requested Qty]]="",IPRF_Lines[[#This Row],[Picked Qty]]=""),"",IPRF_Lines[[#This Row],[Requested Qty]]-IPRF_Lines[[#This Row],[Picked Qty]])</f>
        <v/>
      </c>
      <c r="M37" s="18" t="str" cm="1">
        <f t="array" ref="M37">IF(
    OR(IPRF_Lines[[#This Row],[Item Description]]="",IPRF_Lines[[#This Row],[Requested Qty]]="",IPRF_Lines[[#This Row],[Unit]]=""),
    "",UPPER(IPRF_Header[Request number] &amp; "-" &amp; IPRF_Lines[[#This Row],[Line num]]))</f>
        <v/>
      </c>
      <c r="N37" s="19" t="str" cm="1">
        <f t="array" ref="N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IF(OR(IPRF_Lines[[#This Row],[Requested Qty]]="",IPRF_Lines[[#This Row],[Picked Qty]]=""),"",IPRF_Lines[[#This Row],[Requested Qty]]-IPRF_Lines[[#This Row],[Picked Qty]])</f>
        <v/>
      </c>
      <c r="M38" s="18" t="str" cm="1">
        <f t="array" ref="M38">IF(
    OR(IPRF_Lines[[#This Row],[Item Description]]="",IPRF_Lines[[#This Row],[Requested Qty]]="",IPRF_Lines[[#This Row],[Unit]]=""),
    "",UPPER(IPRF_Header[Request number] &amp; "-" &amp; IPRF_Lines[[#This Row],[Line num]]))</f>
        <v/>
      </c>
      <c r="N38" s="19" t="str" cm="1">
        <f t="array" ref="N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IF(OR(IPRF_Lines[[#This Row],[Requested Qty]]="",IPRF_Lines[[#This Row],[Picked Qty]]=""),"",IPRF_Lines[[#This Row],[Requested Qty]]-IPRF_Lines[[#This Row],[Picked Qty]])</f>
        <v/>
      </c>
      <c r="M39" s="18" t="str" cm="1">
        <f t="array" ref="M39">IF(
    OR(IPRF_Lines[[#This Row],[Item Description]]="",IPRF_Lines[[#This Row],[Requested Qty]]="",IPRF_Lines[[#This Row],[Unit]]=""),
    "",UPPER(IPRF_Header[Request number] &amp; "-" &amp; IPRF_Lines[[#This Row],[Line num]]))</f>
        <v/>
      </c>
      <c r="N39" s="19" t="str" cm="1">
        <f t="array" ref="N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IF(OR(IPRF_Lines[[#This Row],[Requested Qty]]="",IPRF_Lines[[#This Row],[Picked Qty]]=""),"",IPRF_Lines[[#This Row],[Requested Qty]]-IPRF_Lines[[#This Row],[Picked Qty]])</f>
        <v/>
      </c>
      <c r="M40" s="18" t="str" cm="1">
        <f t="array" ref="M40">IF(
    OR(IPRF_Lines[[#This Row],[Item Description]]="",IPRF_Lines[[#This Row],[Requested Qty]]="",IPRF_Lines[[#This Row],[Unit]]=""),
    "",UPPER(IPRF_Header[Request number] &amp; "-" &amp; IPRF_Lines[[#This Row],[Line num]]))</f>
        <v/>
      </c>
      <c r="N40" s="19" t="str" cm="1">
        <f t="array" ref="N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IF(OR(IPRF_Lines[[#This Row],[Requested Qty]]="",IPRF_Lines[[#This Row],[Picked Qty]]=""),"",IPRF_Lines[[#This Row],[Requested Qty]]-IPRF_Lines[[#This Row],[Picked Qty]])</f>
        <v/>
      </c>
      <c r="M41" s="18" t="str" cm="1">
        <f t="array" ref="M41">IF(
    OR(IPRF_Lines[[#This Row],[Item Description]]="",IPRF_Lines[[#This Row],[Requested Qty]]="",IPRF_Lines[[#This Row],[Unit]]=""),
    "",UPPER(IPRF_Header[Request number] &amp; "-" &amp; IPRF_Lines[[#This Row],[Line num]]))</f>
        <v/>
      </c>
      <c r="N41" s="19" t="str" cm="1">
        <f t="array" ref="N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IF(OR(IPRF_Lines[[#This Row],[Requested Qty]]="",IPRF_Lines[[#This Row],[Picked Qty]]=""),"",IPRF_Lines[[#This Row],[Requested Qty]]-IPRF_Lines[[#This Row],[Picked Qty]])</f>
        <v/>
      </c>
      <c r="M42" s="18" t="str" cm="1">
        <f t="array" ref="M42">IF(
    OR(IPRF_Lines[[#This Row],[Item Description]]="",IPRF_Lines[[#This Row],[Requested Qty]]="",IPRF_Lines[[#This Row],[Unit]]=""),
    "",UPPER(IPRF_Header[Request number] &amp; "-" &amp; IPRF_Lines[[#This Row],[Line num]]))</f>
        <v/>
      </c>
      <c r="N42" s="19" t="str" cm="1">
        <f t="array" ref="N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IF(OR(IPRF_Lines[[#This Row],[Requested Qty]]="",IPRF_Lines[[#This Row],[Picked Qty]]=""),"",IPRF_Lines[[#This Row],[Requested Qty]]-IPRF_Lines[[#This Row],[Picked Qty]])</f>
        <v/>
      </c>
      <c r="M43" s="18" t="str" cm="1">
        <f t="array" ref="M43">IF(
    OR(IPRF_Lines[[#This Row],[Item Description]]="",IPRF_Lines[[#This Row],[Requested Qty]]="",IPRF_Lines[[#This Row],[Unit]]=""),
    "",UPPER(IPRF_Header[Request number] &amp; "-" &amp; IPRF_Lines[[#This Row],[Line num]]))</f>
        <v/>
      </c>
      <c r="N43" s="19" t="str" cm="1">
        <f t="array" ref="N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IF(OR(IPRF_Lines[[#This Row],[Requested Qty]]="",IPRF_Lines[[#This Row],[Picked Qty]]=""),"",IPRF_Lines[[#This Row],[Requested Qty]]-IPRF_Lines[[#This Row],[Picked Qty]])</f>
        <v/>
      </c>
      <c r="M44" s="18" t="str" cm="1">
        <f t="array" ref="M44">IF(
    OR(IPRF_Lines[[#This Row],[Item Description]]="",IPRF_Lines[[#This Row],[Requested Qty]]="",IPRF_Lines[[#This Row],[Unit]]=""),
    "",UPPER(IPRF_Header[Request number] &amp; "-" &amp; IPRF_Lines[[#This Row],[Line num]]))</f>
        <v/>
      </c>
      <c r="N44" s="19" t="str" cm="1">
        <f t="array" ref="N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IF(OR(IPRF_Lines[[#This Row],[Requested Qty]]="",IPRF_Lines[[#This Row],[Picked Qty]]=""),"",IPRF_Lines[[#This Row],[Requested Qty]]-IPRF_Lines[[#This Row],[Picked Qty]])</f>
        <v/>
      </c>
      <c r="M45" s="18" t="str" cm="1">
        <f t="array" ref="M45">IF(
    OR(IPRF_Lines[[#This Row],[Item Description]]="",IPRF_Lines[[#This Row],[Requested Qty]]="",IPRF_Lines[[#This Row],[Unit]]=""),
    "",UPPER(IPRF_Header[Request number] &amp; "-" &amp; IPRF_Lines[[#This Row],[Line num]]))</f>
        <v/>
      </c>
      <c r="N45" s="19" t="str" cm="1">
        <f t="array" ref="N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IF(OR(IPRF_Lines[[#This Row],[Requested Qty]]="",IPRF_Lines[[#This Row],[Picked Qty]]=""),"",IPRF_Lines[[#This Row],[Requested Qty]]-IPRF_Lines[[#This Row],[Picked Qty]])</f>
        <v/>
      </c>
      <c r="M46" s="18" t="str" cm="1">
        <f t="array" ref="M46">IF(
    OR(IPRF_Lines[[#This Row],[Item Description]]="",IPRF_Lines[[#This Row],[Requested Qty]]="",IPRF_Lines[[#This Row],[Unit]]=""),
    "",UPPER(IPRF_Header[Request number] &amp; "-" &amp; IPRF_Lines[[#This Row],[Line num]]))</f>
        <v/>
      </c>
      <c r="N46" s="19" t="str" cm="1">
        <f t="array" ref="N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IF(OR(IPRF_Lines[[#This Row],[Requested Qty]]="",IPRF_Lines[[#This Row],[Picked Qty]]=""),"",IPRF_Lines[[#This Row],[Requested Qty]]-IPRF_Lines[[#This Row],[Picked Qty]])</f>
        <v/>
      </c>
      <c r="M47" s="18" t="str" cm="1">
        <f t="array" ref="M47">IF(
    OR(IPRF_Lines[[#This Row],[Item Description]]="",IPRF_Lines[[#This Row],[Requested Qty]]="",IPRF_Lines[[#This Row],[Unit]]=""),
    "",UPPER(IPRF_Header[Request number] &amp; "-" &amp; IPRF_Lines[[#This Row],[Line num]]))</f>
        <v/>
      </c>
      <c r="N47" s="19" t="str" cm="1">
        <f t="array" ref="N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IF(OR(IPRF_Lines[[#This Row],[Requested Qty]]="",IPRF_Lines[[#This Row],[Picked Qty]]=""),"",IPRF_Lines[[#This Row],[Requested Qty]]-IPRF_Lines[[#This Row],[Picked Qty]])</f>
        <v/>
      </c>
      <c r="M48" s="18" t="str" cm="1">
        <f t="array" ref="M48">IF(
    OR(IPRF_Lines[[#This Row],[Item Description]]="",IPRF_Lines[[#This Row],[Requested Qty]]="",IPRF_Lines[[#This Row],[Unit]]=""),
    "",UPPER(IPRF_Header[Request number] &amp; "-" &amp; IPRF_Lines[[#This Row],[Line num]]))</f>
        <v/>
      </c>
      <c r="N48" s="19" t="str" cm="1">
        <f t="array" ref="N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IF(OR(IPRF_Lines[[#This Row],[Requested Qty]]="",IPRF_Lines[[#This Row],[Picked Qty]]=""),"",IPRF_Lines[[#This Row],[Requested Qty]]-IPRF_Lines[[#This Row],[Picked Qty]])</f>
        <v/>
      </c>
      <c r="M49" s="18" t="str" cm="1">
        <f t="array" ref="M49">IF(
    OR(IPRF_Lines[[#This Row],[Item Description]]="",IPRF_Lines[[#This Row],[Requested Qty]]="",IPRF_Lines[[#This Row],[Unit]]=""),
    "",UPPER(IPRF_Header[Request number] &amp; "-" &amp; IPRF_Lines[[#This Row],[Line num]]))</f>
        <v/>
      </c>
      <c r="N49" s="19" t="str" cm="1">
        <f t="array" ref="N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IF(OR(IPRF_Lines[[#This Row],[Requested Qty]]="",IPRF_Lines[[#This Row],[Picked Qty]]=""),"",IPRF_Lines[[#This Row],[Requested Qty]]-IPRF_Lines[[#This Row],[Picked Qty]])</f>
        <v/>
      </c>
      <c r="M50" s="18" t="str" cm="1">
        <f t="array" ref="M50">IF(
    OR(IPRF_Lines[[#This Row],[Item Description]]="",IPRF_Lines[[#This Row],[Requested Qty]]="",IPRF_Lines[[#This Row],[Unit]]=""),
    "",UPPER(IPRF_Header[Request number] &amp; "-" &amp; IPRF_Lines[[#This Row],[Line num]]))</f>
        <v/>
      </c>
      <c r="N50" s="19" t="str" cm="1">
        <f t="array" ref="N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IF(OR(IPRF_Lines[[#This Row],[Requested Qty]]="",IPRF_Lines[[#This Row],[Picked Qty]]=""),"",IPRF_Lines[[#This Row],[Requested Qty]]-IPRF_Lines[[#This Row],[Picked Qty]])</f>
        <v/>
      </c>
      <c r="M51" s="18" t="str" cm="1">
        <f t="array" ref="M51">IF(
    OR(IPRF_Lines[[#This Row],[Item Description]]="",IPRF_Lines[[#This Row],[Requested Qty]]="",IPRF_Lines[[#This Row],[Unit]]=""),
    "",UPPER(IPRF_Header[Request number] &amp; "-" &amp; IPRF_Lines[[#This Row],[Line num]]))</f>
        <v/>
      </c>
      <c r="N51" s="19" t="str" cm="1">
        <f t="array" ref="N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IF(OR(IPRF_Lines[[#This Row],[Requested Qty]]="",IPRF_Lines[[#This Row],[Picked Qty]]=""),"",IPRF_Lines[[#This Row],[Requested Qty]]-IPRF_Lines[[#This Row],[Picked Qty]])</f>
        <v/>
      </c>
      <c r="M52" s="18" t="str" cm="1">
        <f t="array" ref="M52">IF(
    OR(IPRF_Lines[[#This Row],[Item Description]]="",IPRF_Lines[[#This Row],[Requested Qty]]="",IPRF_Lines[[#This Row],[Unit]]=""),
    "",UPPER(IPRF_Header[Request number] &amp; "-" &amp; IPRF_Lines[[#This Row],[Line num]]))</f>
        <v/>
      </c>
      <c r="N52" s="19" t="str" cm="1">
        <f t="array" ref="N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IF(OR(IPRF_Lines[[#This Row],[Requested Qty]]="",IPRF_Lines[[#This Row],[Picked Qty]]=""),"",IPRF_Lines[[#This Row],[Requested Qty]]-IPRF_Lines[[#This Row],[Picked Qty]])</f>
        <v/>
      </c>
      <c r="M53" s="18" t="str" cm="1">
        <f t="array" ref="M53">IF(
    OR(IPRF_Lines[[#This Row],[Item Description]]="",IPRF_Lines[[#This Row],[Requested Qty]]="",IPRF_Lines[[#This Row],[Unit]]=""),
    "",UPPER(IPRF_Header[Request number] &amp; "-" &amp; IPRF_Lines[[#This Row],[Line num]]))</f>
        <v/>
      </c>
      <c r="N53" s="19" t="str" cm="1">
        <f t="array" ref="N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IF(OR(IPRF_Lines[[#This Row],[Requested Qty]]="",IPRF_Lines[[#This Row],[Picked Qty]]=""),"",IPRF_Lines[[#This Row],[Requested Qty]]-IPRF_Lines[[#This Row],[Picked Qty]])</f>
        <v/>
      </c>
      <c r="M54" s="18" t="str" cm="1">
        <f t="array" ref="M54">IF(
    OR(IPRF_Lines[[#This Row],[Item Description]]="",IPRF_Lines[[#This Row],[Requested Qty]]="",IPRF_Lines[[#This Row],[Unit]]=""),
    "",UPPER(IPRF_Header[Request number] &amp; "-" &amp; IPRF_Lines[[#This Row],[Line num]]))</f>
        <v/>
      </c>
      <c r="N54" s="19" t="str" cm="1">
        <f t="array" ref="N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IF(OR(IPRF_Lines[[#This Row],[Requested Qty]]="",IPRF_Lines[[#This Row],[Picked Qty]]=""),"",IPRF_Lines[[#This Row],[Requested Qty]]-IPRF_Lines[[#This Row],[Picked Qty]])</f>
        <v/>
      </c>
      <c r="M55" s="18" t="str" cm="1">
        <f t="array" ref="M55">IF(
    OR(IPRF_Lines[[#This Row],[Item Description]]="",IPRF_Lines[[#This Row],[Requested Qty]]="",IPRF_Lines[[#This Row],[Unit]]=""),
    "",UPPER(IPRF_Header[Request number] &amp; "-" &amp; IPRF_Lines[[#This Row],[Line num]]))</f>
        <v/>
      </c>
      <c r="N55" s="19" t="str" cm="1">
        <f t="array" ref="N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IF(OR(IPRF_Lines[[#This Row],[Requested Qty]]="",IPRF_Lines[[#This Row],[Picked Qty]]=""),"",IPRF_Lines[[#This Row],[Requested Qty]]-IPRF_Lines[[#This Row],[Picked Qty]])</f>
        <v/>
      </c>
      <c r="M56" s="18" t="str" cm="1">
        <f t="array" ref="M56">IF(
    OR(IPRF_Lines[[#This Row],[Item Description]]="",IPRF_Lines[[#This Row],[Requested Qty]]="",IPRF_Lines[[#This Row],[Unit]]=""),
    "",UPPER(IPRF_Header[Request number] &amp; "-" &amp; IPRF_Lines[[#This Row],[Line num]]))</f>
        <v/>
      </c>
      <c r="N56" s="19" t="str" cm="1">
        <f t="array" ref="N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IF(OR(IPRF_Lines[[#This Row],[Requested Qty]]="",IPRF_Lines[[#This Row],[Picked Qty]]=""),"",IPRF_Lines[[#This Row],[Requested Qty]]-IPRF_Lines[[#This Row],[Picked Qty]])</f>
        <v/>
      </c>
      <c r="M57" s="18" t="str" cm="1">
        <f t="array" ref="M57">IF(
    OR(IPRF_Lines[[#This Row],[Item Description]]="",IPRF_Lines[[#This Row],[Requested Qty]]="",IPRF_Lines[[#This Row],[Unit]]=""),
    "",UPPER(IPRF_Header[Request number] &amp; "-" &amp; IPRF_Lines[[#This Row],[Line num]]))</f>
        <v/>
      </c>
      <c r="N57" s="19" t="str" cm="1">
        <f t="array" ref="N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IF(OR(IPRF_Lines[[#This Row],[Requested Qty]]="",IPRF_Lines[[#This Row],[Picked Qty]]=""),"",IPRF_Lines[[#This Row],[Requested Qty]]-IPRF_Lines[[#This Row],[Picked Qty]])</f>
        <v/>
      </c>
      <c r="M58" s="18" t="str" cm="1">
        <f t="array" ref="M58">IF(
    OR(IPRF_Lines[[#This Row],[Item Description]]="",IPRF_Lines[[#This Row],[Requested Qty]]="",IPRF_Lines[[#This Row],[Unit]]=""),
    "",UPPER(IPRF_Header[Request number] &amp; "-" &amp; IPRF_Lines[[#This Row],[Line num]]))</f>
        <v/>
      </c>
      <c r="N58" s="19" t="str" cm="1">
        <f t="array" ref="N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IF(OR(IPRF_Lines[[#This Row],[Requested Qty]]="",IPRF_Lines[[#This Row],[Picked Qty]]=""),"",IPRF_Lines[[#This Row],[Requested Qty]]-IPRF_Lines[[#This Row],[Picked Qty]])</f>
        <v/>
      </c>
      <c r="M59" s="18" t="str" cm="1">
        <f t="array" ref="M59">IF(
    OR(IPRF_Lines[[#This Row],[Item Description]]="",IPRF_Lines[[#This Row],[Requested Qty]]="",IPRF_Lines[[#This Row],[Unit]]=""),
    "",UPPER(IPRF_Header[Request number] &amp; "-" &amp; IPRF_Lines[[#This Row],[Line num]]))</f>
        <v/>
      </c>
      <c r="N59" s="19" t="str" cm="1">
        <f t="array" ref="N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IF(OR(IPRF_Lines[[#This Row],[Requested Qty]]="",IPRF_Lines[[#This Row],[Picked Qty]]=""),"",IPRF_Lines[[#This Row],[Requested Qty]]-IPRF_Lines[[#This Row],[Picked Qty]])</f>
        <v/>
      </c>
      <c r="M60" s="18" t="str" cm="1">
        <f t="array" ref="M60">IF(
    OR(IPRF_Lines[[#This Row],[Item Description]]="",IPRF_Lines[[#This Row],[Requested Qty]]="",IPRF_Lines[[#This Row],[Unit]]=""),
    "",UPPER(IPRF_Header[Request number] &amp; "-" &amp; IPRF_Lines[[#This Row],[Line num]]))</f>
        <v/>
      </c>
      <c r="N60" s="19" t="str" cm="1">
        <f t="array" ref="N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IF(OR(IPRF_Lines[[#This Row],[Requested Qty]]="",IPRF_Lines[[#This Row],[Picked Qty]]=""),"",IPRF_Lines[[#This Row],[Requested Qty]]-IPRF_Lines[[#This Row],[Picked Qty]])</f>
        <v/>
      </c>
      <c r="M61" s="18" t="str" cm="1">
        <f t="array" ref="M61">IF(
    OR(IPRF_Lines[[#This Row],[Item Description]]="",IPRF_Lines[[#This Row],[Requested Qty]]="",IPRF_Lines[[#This Row],[Unit]]=""),
    "",UPPER(IPRF_Header[Request number] &amp; "-" &amp; IPRF_Lines[[#This Row],[Line num]]))</f>
        <v/>
      </c>
      <c r="N61" s="19" t="str" cm="1">
        <f t="array" ref="N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IF(OR(IPRF_Lines[[#This Row],[Requested Qty]]="",IPRF_Lines[[#This Row],[Picked Qty]]=""),"",IPRF_Lines[[#This Row],[Requested Qty]]-IPRF_Lines[[#This Row],[Picked Qty]])</f>
        <v/>
      </c>
      <c r="M62" s="18" t="str" cm="1">
        <f t="array" ref="M62">IF(
    OR(IPRF_Lines[[#This Row],[Item Description]]="",IPRF_Lines[[#This Row],[Requested Qty]]="",IPRF_Lines[[#This Row],[Unit]]=""),
    "",UPPER(IPRF_Header[Request number] &amp; "-" &amp; IPRF_Lines[[#This Row],[Line num]]))</f>
        <v/>
      </c>
      <c r="N62" s="19" t="str" cm="1">
        <f t="array" ref="N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IF(OR(IPRF_Lines[[#This Row],[Requested Qty]]="",IPRF_Lines[[#This Row],[Picked Qty]]=""),"",IPRF_Lines[[#This Row],[Requested Qty]]-IPRF_Lines[[#This Row],[Picked Qty]])</f>
        <v/>
      </c>
      <c r="M63" s="18" t="str" cm="1">
        <f t="array" ref="M63">IF(
    OR(IPRF_Lines[[#This Row],[Item Description]]="",IPRF_Lines[[#This Row],[Requested Qty]]="",IPRF_Lines[[#This Row],[Unit]]=""),
    "",UPPER(IPRF_Header[Request number] &amp; "-" &amp; IPRF_Lines[[#This Row],[Line num]]))</f>
        <v/>
      </c>
      <c r="N63" s="19" t="str" cm="1">
        <f t="array" ref="N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IF(OR(IPRF_Lines[[#This Row],[Requested Qty]]="",IPRF_Lines[[#This Row],[Picked Qty]]=""),"",IPRF_Lines[[#This Row],[Requested Qty]]-IPRF_Lines[[#This Row],[Picked Qty]])</f>
        <v/>
      </c>
      <c r="M64" s="18" t="str" cm="1">
        <f t="array" ref="M64">IF(
    OR(IPRF_Lines[[#This Row],[Item Description]]="",IPRF_Lines[[#This Row],[Requested Qty]]="",IPRF_Lines[[#This Row],[Unit]]=""),
    "",UPPER(IPRF_Header[Request number] &amp; "-" &amp; IPRF_Lines[[#This Row],[Line num]]))</f>
        <v/>
      </c>
      <c r="N64" s="19" t="str" cm="1">
        <f t="array" ref="N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IF(OR(IPRF_Lines[[#This Row],[Requested Qty]]="",IPRF_Lines[[#This Row],[Picked Qty]]=""),"",IPRF_Lines[[#This Row],[Requested Qty]]-IPRF_Lines[[#This Row],[Picked Qty]])</f>
        <v/>
      </c>
      <c r="M65" s="18" t="str" cm="1">
        <f t="array" ref="M65">IF(
    OR(IPRF_Lines[[#This Row],[Item Description]]="",IPRF_Lines[[#This Row],[Requested Qty]]="",IPRF_Lines[[#This Row],[Unit]]=""),
    "",UPPER(IPRF_Header[Request number] &amp; "-" &amp; IPRF_Lines[[#This Row],[Line num]]))</f>
        <v/>
      </c>
      <c r="N65" s="19" t="str" cm="1">
        <f t="array" ref="N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IF(OR(IPRF_Lines[[#This Row],[Requested Qty]]="",IPRF_Lines[[#This Row],[Picked Qty]]=""),"",IPRF_Lines[[#This Row],[Requested Qty]]-IPRF_Lines[[#This Row],[Picked Qty]])</f>
        <v/>
      </c>
      <c r="M66" s="18" t="str" cm="1">
        <f t="array" ref="M66">IF(
    OR(IPRF_Lines[[#This Row],[Item Description]]="",IPRF_Lines[[#This Row],[Requested Qty]]="",IPRF_Lines[[#This Row],[Unit]]=""),
    "",UPPER(IPRF_Header[Request number] &amp; "-" &amp; IPRF_Lines[[#This Row],[Line num]]))</f>
        <v/>
      </c>
      <c r="N66" s="19" t="str" cm="1">
        <f t="array" ref="N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IF(OR(IPRF_Lines[[#This Row],[Requested Qty]]="",IPRF_Lines[[#This Row],[Picked Qty]]=""),"",IPRF_Lines[[#This Row],[Requested Qty]]-IPRF_Lines[[#This Row],[Picked Qty]])</f>
        <v/>
      </c>
      <c r="M67" s="18" t="str" cm="1">
        <f t="array" ref="M67">IF(
    OR(IPRF_Lines[[#This Row],[Item Description]]="",IPRF_Lines[[#This Row],[Requested Qty]]="",IPRF_Lines[[#This Row],[Unit]]=""),
    "",UPPER(IPRF_Header[Request number] &amp; "-" &amp; IPRF_Lines[[#This Row],[Line num]]))</f>
        <v/>
      </c>
      <c r="N67" s="19" t="str" cm="1">
        <f t="array" ref="N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IF(OR(IPRF_Lines[[#This Row],[Requested Qty]]="",IPRF_Lines[[#This Row],[Picked Qty]]=""),"",IPRF_Lines[[#This Row],[Requested Qty]]-IPRF_Lines[[#This Row],[Picked Qty]])</f>
        <v/>
      </c>
      <c r="M68" s="18" t="str" cm="1">
        <f t="array" ref="M68">IF(
    OR(IPRF_Lines[[#This Row],[Item Description]]="",IPRF_Lines[[#This Row],[Requested Qty]]="",IPRF_Lines[[#This Row],[Unit]]=""),
    "",UPPER(IPRF_Header[Request number] &amp; "-" &amp; IPRF_Lines[[#This Row],[Line num]]))</f>
        <v/>
      </c>
      <c r="N68" s="19" t="str" cm="1">
        <f t="array" ref="N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IF(OR(IPRF_Lines[[#This Row],[Requested Qty]]="",IPRF_Lines[[#This Row],[Picked Qty]]=""),"",IPRF_Lines[[#This Row],[Requested Qty]]-IPRF_Lines[[#This Row],[Picked Qty]])</f>
        <v/>
      </c>
      <c r="M69" s="18" t="str" cm="1">
        <f t="array" ref="M69">IF(
    OR(IPRF_Lines[[#This Row],[Item Description]]="",IPRF_Lines[[#This Row],[Requested Qty]]="",IPRF_Lines[[#This Row],[Unit]]=""),
    "",UPPER(IPRF_Header[Request number] &amp; "-" &amp; IPRF_Lines[[#This Row],[Line num]]))</f>
        <v/>
      </c>
      <c r="N69" s="19" t="str" cm="1">
        <f t="array" ref="N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IF(OR(IPRF_Lines[[#This Row],[Requested Qty]]="",IPRF_Lines[[#This Row],[Picked Qty]]=""),"",IPRF_Lines[[#This Row],[Requested Qty]]-IPRF_Lines[[#This Row],[Picked Qty]])</f>
        <v/>
      </c>
      <c r="M70" s="18" t="str" cm="1">
        <f t="array" ref="M70">IF(
    OR(IPRF_Lines[[#This Row],[Item Description]]="",IPRF_Lines[[#This Row],[Requested Qty]]="",IPRF_Lines[[#This Row],[Unit]]=""),
    "",UPPER(IPRF_Header[Request number] &amp; "-" &amp; IPRF_Lines[[#This Row],[Line num]]))</f>
        <v/>
      </c>
      <c r="N70" s="19" t="str" cm="1">
        <f t="array" ref="N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IF(OR(IPRF_Lines[[#This Row],[Requested Qty]]="",IPRF_Lines[[#This Row],[Picked Qty]]=""),"",IPRF_Lines[[#This Row],[Requested Qty]]-IPRF_Lines[[#This Row],[Picked Qty]])</f>
        <v/>
      </c>
      <c r="M71" s="18" t="str" cm="1">
        <f t="array" ref="M71">IF(
    OR(IPRF_Lines[[#This Row],[Item Description]]="",IPRF_Lines[[#This Row],[Requested Qty]]="",IPRF_Lines[[#This Row],[Unit]]=""),
    "",UPPER(IPRF_Header[Request number] &amp; "-" &amp; IPRF_Lines[[#This Row],[Line num]]))</f>
        <v/>
      </c>
      <c r="N71" s="19" t="str" cm="1">
        <f t="array" ref="N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IF(OR(IPRF_Lines[[#This Row],[Requested Qty]]="",IPRF_Lines[[#This Row],[Picked Qty]]=""),"",IPRF_Lines[[#This Row],[Requested Qty]]-IPRF_Lines[[#This Row],[Picked Qty]])</f>
        <v/>
      </c>
      <c r="M72" s="18" t="str" cm="1">
        <f t="array" ref="M72">IF(
    OR(IPRF_Lines[[#This Row],[Item Description]]="",IPRF_Lines[[#This Row],[Requested Qty]]="",IPRF_Lines[[#This Row],[Unit]]=""),
    "",UPPER(IPRF_Header[Request number] &amp; "-" &amp; IPRF_Lines[[#This Row],[Line num]]))</f>
        <v/>
      </c>
      <c r="N72" s="19" t="str" cm="1">
        <f t="array" ref="N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IF(OR(IPRF_Lines[[#This Row],[Requested Qty]]="",IPRF_Lines[[#This Row],[Picked Qty]]=""),"",IPRF_Lines[[#This Row],[Requested Qty]]-IPRF_Lines[[#This Row],[Picked Qty]])</f>
        <v/>
      </c>
      <c r="M73" s="18" t="str" cm="1">
        <f t="array" ref="M73">IF(
    OR(IPRF_Lines[[#This Row],[Item Description]]="",IPRF_Lines[[#This Row],[Requested Qty]]="",IPRF_Lines[[#This Row],[Unit]]=""),
    "",UPPER(IPRF_Header[Request number] &amp; "-" &amp; IPRF_Lines[[#This Row],[Line num]]))</f>
        <v/>
      </c>
      <c r="N73" s="19" t="str" cm="1">
        <f t="array" ref="N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IF(OR(IPRF_Lines[[#This Row],[Requested Qty]]="",IPRF_Lines[[#This Row],[Picked Qty]]=""),"",IPRF_Lines[[#This Row],[Requested Qty]]-IPRF_Lines[[#This Row],[Picked Qty]])</f>
        <v/>
      </c>
      <c r="M74" s="18" t="str" cm="1">
        <f t="array" ref="M74">IF(
    OR(IPRF_Lines[[#This Row],[Item Description]]="",IPRF_Lines[[#This Row],[Requested Qty]]="",IPRF_Lines[[#This Row],[Unit]]=""),
    "",UPPER(IPRF_Header[Request number] &amp; "-" &amp; IPRF_Lines[[#This Row],[Line num]]))</f>
        <v/>
      </c>
      <c r="N74" s="19" t="str" cm="1">
        <f t="array" ref="N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IF(OR(IPRF_Lines[[#This Row],[Requested Qty]]="",IPRF_Lines[[#This Row],[Picked Qty]]=""),"",IPRF_Lines[[#This Row],[Requested Qty]]-IPRF_Lines[[#This Row],[Picked Qty]])</f>
        <v/>
      </c>
      <c r="M75" s="18" t="str" cm="1">
        <f t="array" ref="M75">IF(
    OR(IPRF_Lines[[#This Row],[Item Description]]="",IPRF_Lines[[#This Row],[Requested Qty]]="",IPRF_Lines[[#This Row],[Unit]]=""),
    "",UPPER(IPRF_Header[Request number] &amp; "-" &amp; IPRF_Lines[[#This Row],[Line num]]))</f>
        <v/>
      </c>
      <c r="N75" s="19" t="str" cm="1">
        <f t="array" ref="N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IF(OR(IPRF_Lines[[#This Row],[Requested Qty]]="",IPRF_Lines[[#This Row],[Picked Qty]]=""),"",IPRF_Lines[[#This Row],[Requested Qty]]-IPRF_Lines[[#This Row],[Picked Qty]])</f>
        <v/>
      </c>
      <c r="M76" s="18" t="str" cm="1">
        <f t="array" ref="M76">IF(
    OR(IPRF_Lines[[#This Row],[Item Description]]="",IPRF_Lines[[#This Row],[Requested Qty]]="",IPRF_Lines[[#This Row],[Unit]]=""),
    "",UPPER(IPRF_Header[Request number] &amp; "-" &amp; IPRF_Lines[[#This Row],[Line num]]))</f>
        <v/>
      </c>
      <c r="N76" s="19" t="str" cm="1">
        <f t="array" ref="N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IF(OR(IPRF_Lines[[#This Row],[Requested Qty]]="",IPRF_Lines[[#This Row],[Picked Qty]]=""),"",IPRF_Lines[[#This Row],[Requested Qty]]-IPRF_Lines[[#This Row],[Picked Qty]])</f>
        <v/>
      </c>
      <c r="M77" s="18" t="str" cm="1">
        <f t="array" ref="M77">IF(
    OR(IPRF_Lines[[#This Row],[Item Description]]="",IPRF_Lines[[#This Row],[Requested Qty]]="",IPRF_Lines[[#This Row],[Unit]]=""),
    "",UPPER(IPRF_Header[Request number] &amp; "-" &amp; IPRF_Lines[[#This Row],[Line num]]))</f>
        <v/>
      </c>
      <c r="N77" s="19" t="str" cm="1">
        <f t="array" ref="N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IF(OR(IPRF_Lines[[#This Row],[Requested Qty]]="",IPRF_Lines[[#This Row],[Picked Qty]]=""),"",IPRF_Lines[[#This Row],[Requested Qty]]-IPRF_Lines[[#This Row],[Picked Qty]])</f>
        <v/>
      </c>
      <c r="M78" s="18" t="str" cm="1">
        <f t="array" ref="M78">IF(
    OR(IPRF_Lines[[#This Row],[Item Description]]="",IPRF_Lines[[#This Row],[Requested Qty]]="",IPRF_Lines[[#This Row],[Unit]]=""),
    "",UPPER(IPRF_Header[Request number] &amp; "-" &amp; IPRF_Lines[[#This Row],[Line num]]))</f>
        <v/>
      </c>
      <c r="N78" s="19" t="str" cm="1">
        <f t="array" ref="N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IF(OR(IPRF_Lines[[#This Row],[Requested Qty]]="",IPRF_Lines[[#This Row],[Picked Qty]]=""),"",IPRF_Lines[[#This Row],[Requested Qty]]-IPRF_Lines[[#This Row],[Picked Qty]])</f>
        <v/>
      </c>
      <c r="M79" s="18" t="str" cm="1">
        <f t="array" ref="M79">IF(
    OR(IPRF_Lines[[#This Row],[Item Description]]="",IPRF_Lines[[#This Row],[Requested Qty]]="",IPRF_Lines[[#This Row],[Unit]]=""),
    "",UPPER(IPRF_Header[Request number] &amp; "-" &amp; IPRF_Lines[[#This Row],[Line num]]))</f>
        <v/>
      </c>
      <c r="N79" s="19" t="str" cm="1">
        <f t="array" ref="N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IF(OR(IPRF_Lines[[#This Row],[Requested Qty]]="",IPRF_Lines[[#This Row],[Picked Qty]]=""),"",IPRF_Lines[[#This Row],[Requested Qty]]-IPRF_Lines[[#This Row],[Picked Qty]])</f>
        <v/>
      </c>
      <c r="M80" s="18" t="str" cm="1">
        <f t="array" ref="M80">IF(
    OR(IPRF_Lines[[#This Row],[Item Description]]="",IPRF_Lines[[#This Row],[Requested Qty]]="",IPRF_Lines[[#This Row],[Unit]]=""),
    "",UPPER(IPRF_Header[Request number] &amp; "-" &amp; IPRF_Lines[[#This Row],[Line num]]))</f>
        <v/>
      </c>
      <c r="N80" s="19" t="str" cm="1">
        <f t="array" ref="N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IF(OR(IPRF_Lines[[#This Row],[Requested Qty]]="",IPRF_Lines[[#This Row],[Picked Qty]]=""),"",IPRF_Lines[[#This Row],[Requested Qty]]-IPRF_Lines[[#This Row],[Picked Qty]])</f>
        <v/>
      </c>
      <c r="M81" s="18" t="str" cm="1">
        <f t="array" ref="M81">IF(
    OR(IPRF_Lines[[#This Row],[Item Description]]="",IPRF_Lines[[#This Row],[Requested Qty]]="",IPRF_Lines[[#This Row],[Unit]]=""),
    "",UPPER(IPRF_Header[Request number] &amp; "-" &amp; IPRF_Lines[[#This Row],[Line num]]))</f>
        <v/>
      </c>
      <c r="N81" s="19" t="str" cm="1">
        <f t="array" ref="N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IF(OR(IPRF_Lines[[#This Row],[Requested Qty]]="",IPRF_Lines[[#This Row],[Picked Qty]]=""),"",IPRF_Lines[[#This Row],[Requested Qty]]-IPRF_Lines[[#This Row],[Picked Qty]])</f>
        <v/>
      </c>
      <c r="M82" s="18" t="str" cm="1">
        <f t="array" ref="M82">IF(
    OR(IPRF_Lines[[#This Row],[Item Description]]="",IPRF_Lines[[#This Row],[Requested Qty]]="",IPRF_Lines[[#This Row],[Unit]]=""),
    "",UPPER(IPRF_Header[Request number] &amp; "-" &amp; IPRF_Lines[[#This Row],[Line num]]))</f>
        <v/>
      </c>
      <c r="N82" s="19" t="str" cm="1">
        <f t="array" ref="N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IF(OR(IPRF_Lines[[#This Row],[Requested Qty]]="",IPRF_Lines[[#This Row],[Picked Qty]]=""),"",IPRF_Lines[[#This Row],[Requested Qty]]-IPRF_Lines[[#This Row],[Picked Qty]])</f>
        <v/>
      </c>
      <c r="M83" s="18" t="str" cm="1">
        <f t="array" ref="M83">IF(
    OR(IPRF_Lines[[#This Row],[Item Description]]="",IPRF_Lines[[#This Row],[Requested Qty]]="",IPRF_Lines[[#This Row],[Unit]]=""),
    "",UPPER(IPRF_Header[Request number] &amp; "-" &amp; IPRF_Lines[[#This Row],[Line num]]))</f>
        <v/>
      </c>
      <c r="N83" s="19" t="str" cm="1">
        <f t="array" ref="N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IF(OR(IPRF_Lines[[#This Row],[Requested Qty]]="",IPRF_Lines[[#This Row],[Picked Qty]]=""),"",IPRF_Lines[[#This Row],[Requested Qty]]-IPRF_Lines[[#This Row],[Picked Qty]])</f>
        <v/>
      </c>
      <c r="M84" s="18" t="str" cm="1">
        <f t="array" ref="M84">IF(
    OR(IPRF_Lines[[#This Row],[Item Description]]="",IPRF_Lines[[#This Row],[Requested Qty]]="",IPRF_Lines[[#This Row],[Unit]]=""),
    "",UPPER(IPRF_Header[Request number] &amp; "-" &amp; IPRF_Lines[[#This Row],[Line num]]))</f>
        <v/>
      </c>
      <c r="N84" s="19" t="str" cm="1">
        <f t="array" ref="N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IF(OR(IPRF_Lines[[#This Row],[Requested Qty]]="",IPRF_Lines[[#This Row],[Picked Qty]]=""),"",IPRF_Lines[[#This Row],[Requested Qty]]-IPRF_Lines[[#This Row],[Picked Qty]])</f>
        <v/>
      </c>
      <c r="M85" s="18" t="str" cm="1">
        <f t="array" ref="M85">IF(
    OR(IPRF_Lines[[#This Row],[Item Description]]="",IPRF_Lines[[#This Row],[Requested Qty]]="",IPRF_Lines[[#This Row],[Unit]]=""),
    "",UPPER(IPRF_Header[Request number] &amp; "-" &amp; IPRF_Lines[[#This Row],[Line num]]))</f>
        <v/>
      </c>
      <c r="N85" s="19" t="str" cm="1">
        <f t="array" ref="N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IF(OR(IPRF_Lines[[#This Row],[Requested Qty]]="",IPRF_Lines[[#This Row],[Picked Qty]]=""),"",IPRF_Lines[[#This Row],[Requested Qty]]-IPRF_Lines[[#This Row],[Picked Qty]])</f>
        <v/>
      </c>
      <c r="M86" s="18" t="str" cm="1">
        <f t="array" ref="M86">IF(
    OR(IPRF_Lines[[#This Row],[Item Description]]="",IPRF_Lines[[#This Row],[Requested Qty]]="",IPRF_Lines[[#This Row],[Unit]]=""),
    "",UPPER(IPRF_Header[Request number] &amp; "-" &amp; IPRF_Lines[[#This Row],[Line num]]))</f>
        <v/>
      </c>
      <c r="N86" s="19" t="str" cm="1">
        <f t="array" ref="N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IF(OR(IPRF_Lines[[#This Row],[Requested Qty]]="",IPRF_Lines[[#This Row],[Picked Qty]]=""),"",IPRF_Lines[[#This Row],[Requested Qty]]-IPRF_Lines[[#This Row],[Picked Qty]])</f>
        <v/>
      </c>
      <c r="M87" s="18" t="str" cm="1">
        <f t="array" ref="M87">IF(
    OR(IPRF_Lines[[#This Row],[Item Description]]="",IPRF_Lines[[#This Row],[Requested Qty]]="",IPRF_Lines[[#This Row],[Unit]]=""),
    "",UPPER(IPRF_Header[Request number] &amp; "-" &amp; IPRF_Lines[[#This Row],[Line num]]))</f>
        <v/>
      </c>
      <c r="N87" s="19" t="str" cm="1">
        <f t="array" ref="N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IF(OR(IPRF_Lines[[#This Row],[Requested Qty]]="",IPRF_Lines[[#This Row],[Picked Qty]]=""),"",IPRF_Lines[[#This Row],[Requested Qty]]-IPRF_Lines[[#This Row],[Picked Qty]])</f>
        <v/>
      </c>
      <c r="M88" s="18" t="str" cm="1">
        <f t="array" ref="M88">IF(
    OR(IPRF_Lines[[#This Row],[Item Description]]="",IPRF_Lines[[#This Row],[Requested Qty]]="",IPRF_Lines[[#This Row],[Unit]]=""),
    "",UPPER(IPRF_Header[Request number] &amp; "-" &amp; IPRF_Lines[[#This Row],[Line num]]))</f>
        <v/>
      </c>
      <c r="N88" s="19" t="str" cm="1">
        <f t="array" ref="N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IF(OR(IPRF_Lines[[#This Row],[Requested Qty]]="",IPRF_Lines[[#This Row],[Picked Qty]]=""),"",IPRF_Lines[[#This Row],[Requested Qty]]-IPRF_Lines[[#This Row],[Picked Qty]])</f>
        <v/>
      </c>
      <c r="M89" s="18" t="str" cm="1">
        <f t="array" ref="M89">IF(
    OR(IPRF_Lines[[#This Row],[Item Description]]="",IPRF_Lines[[#This Row],[Requested Qty]]="",IPRF_Lines[[#This Row],[Unit]]=""),
    "",UPPER(IPRF_Header[Request number] &amp; "-" &amp; IPRF_Lines[[#This Row],[Line num]]))</f>
        <v/>
      </c>
      <c r="N89" s="19" t="str" cm="1">
        <f t="array" ref="N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IF(OR(IPRF_Lines[[#This Row],[Requested Qty]]="",IPRF_Lines[[#This Row],[Picked Qty]]=""),"",IPRF_Lines[[#This Row],[Requested Qty]]-IPRF_Lines[[#This Row],[Picked Qty]])</f>
        <v/>
      </c>
      <c r="M90" s="18" t="str" cm="1">
        <f t="array" ref="M90">IF(
    OR(IPRF_Lines[[#This Row],[Item Description]]="",IPRF_Lines[[#This Row],[Requested Qty]]="",IPRF_Lines[[#This Row],[Unit]]=""),
    "",UPPER(IPRF_Header[Request number] &amp; "-" &amp; IPRF_Lines[[#This Row],[Line num]]))</f>
        <v/>
      </c>
      <c r="N90" s="19" t="str" cm="1">
        <f t="array" ref="N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IF(OR(IPRF_Lines[[#This Row],[Requested Qty]]="",IPRF_Lines[[#This Row],[Picked Qty]]=""),"",IPRF_Lines[[#This Row],[Requested Qty]]-IPRF_Lines[[#This Row],[Picked Qty]])</f>
        <v/>
      </c>
      <c r="M91" s="18" t="str" cm="1">
        <f t="array" ref="M91">IF(
    OR(IPRF_Lines[[#This Row],[Item Description]]="",IPRF_Lines[[#This Row],[Requested Qty]]="",IPRF_Lines[[#This Row],[Unit]]=""),
    "",UPPER(IPRF_Header[Request number] &amp; "-" &amp; IPRF_Lines[[#This Row],[Line num]]))</f>
        <v/>
      </c>
      <c r="N91" s="19" t="str" cm="1">
        <f t="array" ref="N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IF(OR(IPRF_Lines[[#This Row],[Requested Qty]]="",IPRF_Lines[[#This Row],[Picked Qty]]=""),"",IPRF_Lines[[#This Row],[Requested Qty]]-IPRF_Lines[[#This Row],[Picked Qty]])</f>
        <v/>
      </c>
      <c r="M92" s="18" t="str" cm="1">
        <f t="array" ref="M92">IF(
    OR(IPRF_Lines[[#This Row],[Item Description]]="",IPRF_Lines[[#This Row],[Requested Qty]]="",IPRF_Lines[[#This Row],[Unit]]=""),
    "",UPPER(IPRF_Header[Request number] &amp; "-" &amp; IPRF_Lines[[#This Row],[Line num]]))</f>
        <v/>
      </c>
      <c r="N92" s="19" t="str" cm="1">
        <f t="array" ref="N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IF(OR(IPRF_Lines[[#This Row],[Requested Qty]]="",IPRF_Lines[[#This Row],[Picked Qty]]=""),"",IPRF_Lines[[#This Row],[Requested Qty]]-IPRF_Lines[[#This Row],[Picked Qty]])</f>
        <v/>
      </c>
      <c r="M93" s="18" t="str" cm="1">
        <f t="array" ref="M93">IF(
    OR(IPRF_Lines[[#This Row],[Item Description]]="",IPRF_Lines[[#This Row],[Requested Qty]]="",IPRF_Lines[[#This Row],[Unit]]=""),
    "",UPPER(IPRF_Header[Request number] &amp; "-" &amp; IPRF_Lines[[#This Row],[Line num]]))</f>
        <v/>
      </c>
      <c r="N93" s="19" t="str" cm="1">
        <f t="array" ref="N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IF(OR(IPRF_Lines[[#This Row],[Requested Qty]]="",IPRF_Lines[[#This Row],[Picked Qty]]=""),"",IPRF_Lines[[#This Row],[Requested Qty]]-IPRF_Lines[[#This Row],[Picked Qty]])</f>
        <v/>
      </c>
      <c r="M94" s="18" t="str" cm="1">
        <f t="array" ref="M94">IF(
    OR(IPRF_Lines[[#This Row],[Item Description]]="",IPRF_Lines[[#This Row],[Requested Qty]]="",IPRF_Lines[[#This Row],[Unit]]=""),
    "",UPPER(IPRF_Header[Request number] &amp; "-" &amp; IPRF_Lines[[#This Row],[Line num]]))</f>
        <v/>
      </c>
      <c r="N94" s="19" t="str" cm="1">
        <f t="array" ref="N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IF(OR(IPRF_Lines[[#This Row],[Requested Qty]]="",IPRF_Lines[[#This Row],[Picked Qty]]=""),"",IPRF_Lines[[#This Row],[Requested Qty]]-IPRF_Lines[[#This Row],[Picked Qty]])</f>
        <v/>
      </c>
      <c r="M95" s="18" t="str" cm="1">
        <f t="array" ref="M95">IF(
    OR(IPRF_Lines[[#This Row],[Item Description]]="",IPRF_Lines[[#This Row],[Requested Qty]]="",IPRF_Lines[[#This Row],[Unit]]=""),
    "",UPPER(IPRF_Header[Request number] &amp; "-" &amp; IPRF_Lines[[#This Row],[Line num]]))</f>
        <v/>
      </c>
      <c r="N95" s="19" t="str" cm="1">
        <f t="array" ref="N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IF(OR(IPRF_Lines[[#This Row],[Requested Qty]]="",IPRF_Lines[[#This Row],[Picked Qty]]=""),"",IPRF_Lines[[#This Row],[Requested Qty]]-IPRF_Lines[[#This Row],[Picked Qty]])</f>
        <v/>
      </c>
      <c r="M96" s="18" t="str" cm="1">
        <f t="array" ref="M96">IF(
    OR(IPRF_Lines[[#This Row],[Item Description]]="",IPRF_Lines[[#This Row],[Requested Qty]]="",IPRF_Lines[[#This Row],[Unit]]=""),
    "",UPPER(IPRF_Header[Request number] &amp; "-" &amp; IPRF_Lines[[#This Row],[Line num]]))</f>
        <v/>
      </c>
      <c r="N96" s="19" t="str" cm="1">
        <f t="array" ref="N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IF(OR(IPRF_Lines[[#This Row],[Requested Qty]]="",IPRF_Lines[[#This Row],[Picked Qty]]=""),"",IPRF_Lines[[#This Row],[Requested Qty]]-IPRF_Lines[[#This Row],[Picked Qty]])</f>
        <v/>
      </c>
      <c r="M97" s="18" t="str" cm="1">
        <f t="array" ref="M97">IF(
    OR(IPRF_Lines[[#This Row],[Item Description]]="",IPRF_Lines[[#This Row],[Requested Qty]]="",IPRF_Lines[[#This Row],[Unit]]=""),
    "",UPPER(IPRF_Header[Request number] &amp; "-" &amp; IPRF_Lines[[#This Row],[Line num]]))</f>
        <v/>
      </c>
      <c r="N97" s="19" t="str" cm="1">
        <f t="array" ref="N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IF(OR(IPRF_Lines[[#This Row],[Requested Qty]]="",IPRF_Lines[[#This Row],[Picked Qty]]=""),"",IPRF_Lines[[#This Row],[Requested Qty]]-IPRF_Lines[[#This Row],[Picked Qty]])</f>
        <v/>
      </c>
      <c r="M98" s="18" t="str" cm="1">
        <f t="array" ref="M98">IF(
    OR(IPRF_Lines[[#This Row],[Item Description]]="",IPRF_Lines[[#This Row],[Requested Qty]]="",IPRF_Lines[[#This Row],[Unit]]=""),
    "",UPPER(IPRF_Header[Request number] &amp; "-" &amp; IPRF_Lines[[#This Row],[Line num]]))</f>
        <v/>
      </c>
      <c r="N98" s="19" t="str" cm="1">
        <f t="array" ref="N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IF(OR(IPRF_Lines[[#This Row],[Requested Qty]]="",IPRF_Lines[[#This Row],[Picked Qty]]=""),"",IPRF_Lines[[#This Row],[Requested Qty]]-IPRF_Lines[[#This Row],[Picked Qty]])</f>
        <v/>
      </c>
      <c r="M99" s="18" t="str" cm="1">
        <f t="array" ref="M99">IF(
    OR(IPRF_Lines[[#This Row],[Item Description]]="",IPRF_Lines[[#This Row],[Requested Qty]]="",IPRF_Lines[[#This Row],[Unit]]=""),
    "",UPPER(IPRF_Header[Request number] &amp; "-" &amp; IPRF_Lines[[#This Row],[Line num]]))</f>
        <v/>
      </c>
      <c r="N99" s="19" t="str" cm="1">
        <f t="array" ref="N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IF(OR(IPRF_Lines[[#This Row],[Requested Qty]]="",IPRF_Lines[[#This Row],[Picked Qty]]=""),"",IPRF_Lines[[#This Row],[Requested Qty]]-IPRF_Lines[[#This Row],[Picked Qty]])</f>
        <v/>
      </c>
      <c r="M100" s="18" t="str" cm="1">
        <f t="array" ref="M100">IF(
    OR(IPRF_Lines[[#This Row],[Item Description]]="",IPRF_Lines[[#This Row],[Requested Qty]]="",IPRF_Lines[[#This Row],[Unit]]=""),
    "",UPPER(IPRF_Header[Request number] &amp; "-" &amp; IPRF_Lines[[#This Row],[Line num]]))</f>
        <v/>
      </c>
      <c r="N100" s="19" t="str" cm="1">
        <f t="array" ref="N1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IF(OR(IPRF_Lines[[#This Row],[Requested Qty]]="",IPRF_Lines[[#This Row],[Picked Qty]]=""),"",IPRF_Lines[[#This Row],[Requested Qty]]-IPRF_Lines[[#This Row],[Picked Qty]])</f>
        <v/>
      </c>
      <c r="M101" s="18" t="str" cm="1">
        <f t="array" ref="M101">IF(
    OR(IPRF_Lines[[#This Row],[Item Description]]="",IPRF_Lines[[#This Row],[Requested Qty]]="",IPRF_Lines[[#This Row],[Unit]]=""),
    "",UPPER(IPRF_Header[Request number] &amp; "-" &amp; IPRF_Lines[[#This Row],[Line num]]))</f>
        <v/>
      </c>
      <c r="N101" s="19" t="str" cm="1">
        <f t="array" ref="N1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IF(OR(IPRF_Lines[[#This Row],[Requested Qty]]="",IPRF_Lines[[#This Row],[Picked Qty]]=""),"",IPRF_Lines[[#This Row],[Requested Qty]]-IPRF_Lines[[#This Row],[Picked Qty]])</f>
        <v/>
      </c>
      <c r="M102" s="18" t="str" cm="1">
        <f t="array" ref="M102">IF(
    OR(IPRF_Lines[[#This Row],[Item Description]]="",IPRF_Lines[[#This Row],[Requested Qty]]="",IPRF_Lines[[#This Row],[Unit]]=""),
    "",UPPER(IPRF_Header[Request number] &amp; "-" &amp; IPRF_Lines[[#This Row],[Line num]]))</f>
        <v/>
      </c>
      <c r="N102" s="19" t="str" cm="1">
        <f t="array" ref="N1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IF(OR(IPRF_Lines[[#This Row],[Requested Qty]]="",IPRF_Lines[[#This Row],[Picked Qty]]=""),"",IPRF_Lines[[#This Row],[Requested Qty]]-IPRF_Lines[[#This Row],[Picked Qty]])</f>
        <v/>
      </c>
      <c r="M103" s="18" t="str" cm="1">
        <f t="array" ref="M103">IF(
    OR(IPRF_Lines[[#This Row],[Item Description]]="",IPRF_Lines[[#This Row],[Requested Qty]]="",IPRF_Lines[[#This Row],[Unit]]=""),
    "",UPPER(IPRF_Header[Request number] &amp; "-" &amp; IPRF_Lines[[#This Row],[Line num]]))</f>
        <v/>
      </c>
      <c r="N103" s="19" t="str" cm="1">
        <f t="array" ref="N1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IF(OR(IPRF_Lines[[#This Row],[Requested Qty]]="",IPRF_Lines[[#This Row],[Picked Qty]]=""),"",IPRF_Lines[[#This Row],[Requested Qty]]-IPRF_Lines[[#This Row],[Picked Qty]])</f>
        <v/>
      </c>
      <c r="M104" s="18" t="str" cm="1">
        <f t="array" ref="M104">IF(
    OR(IPRF_Lines[[#This Row],[Item Description]]="",IPRF_Lines[[#This Row],[Requested Qty]]="",IPRF_Lines[[#This Row],[Unit]]=""),
    "",UPPER(IPRF_Header[Request number] &amp; "-" &amp; IPRF_Lines[[#This Row],[Line num]]))</f>
        <v/>
      </c>
      <c r="N104" s="19" t="str" cm="1">
        <f t="array" ref="N1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IF(OR(IPRF_Lines[[#This Row],[Requested Qty]]="",IPRF_Lines[[#This Row],[Picked Qty]]=""),"",IPRF_Lines[[#This Row],[Requested Qty]]-IPRF_Lines[[#This Row],[Picked Qty]])</f>
        <v/>
      </c>
      <c r="M105" s="18" t="str" cm="1">
        <f t="array" ref="M105">IF(
    OR(IPRF_Lines[[#This Row],[Item Description]]="",IPRF_Lines[[#This Row],[Requested Qty]]="",IPRF_Lines[[#This Row],[Unit]]=""),
    "",UPPER(IPRF_Header[Request number] &amp; "-" &amp; IPRF_Lines[[#This Row],[Line num]]))</f>
        <v/>
      </c>
      <c r="N105" s="19" t="str" cm="1">
        <f t="array" ref="N1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IF(OR(IPRF_Lines[[#This Row],[Requested Qty]]="",IPRF_Lines[[#This Row],[Picked Qty]]=""),"",IPRF_Lines[[#This Row],[Requested Qty]]-IPRF_Lines[[#This Row],[Picked Qty]])</f>
        <v/>
      </c>
      <c r="M106" s="18" t="str" cm="1">
        <f t="array" ref="M106">IF(
    OR(IPRF_Lines[[#This Row],[Item Description]]="",IPRF_Lines[[#This Row],[Requested Qty]]="",IPRF_Lines[[#This Row],[Unit]]=""),
    "",UPPER(IPRF_Header[Request number] &amp; "-" &amp; IPRF_Lines[[#This Row],[Line num]]))</f>
        <v/>
      </c>
      <c r="N106" s="19" t="str" cm="1">
        <f t="array" ref="N1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IF(OR(IPRF_Lines[[#This Row],[Requested Qty]]="",IPRF_Lines[[#This Row],[Picked Qty]]=""),"",IPRF_Lines[[#This Row],[Requested Qty]]-IPRF_Lines[[#This Row],[Picked Qty]])</f>
        <v/>
      </c>
      <c r="M107" s="18" t="str" cm="1">
        <f t="array" ref="M107">IF(
    OR(IPRF_Lines[[#This Row],[Item Description]]="",IPRF_Lines[[#This Row],[Requested Qty]]="",IPRF_Lines[[#This Row],[Unit]]=""),
    "",UPPER(IPRF_Header[Request number] &amp; "-" &amp; IPRF_Lines[[#This Row],[Line num]]))</f>
        <v/>
      </c>
      <c r="N107" s="19" t="str" cm="1">
        <f t="array" ref="N1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IF(OR(IPRF_Lines[[#This Row],[Requested Qty]]="",IPRF_Lines[[#This Row],[Picked Qty]]=""),"",IPRF_Lines[[#This Row],[Requested Qty]]-IPRF_Lines[[#This Row],[Picked Qty]])</f>
        <v/>
      </c>
      <c r="M108" s="18" t="str" cm="1">
        <f t="array" ref="M108">IF(
    OR(IPRF_Lines[[#This Row],[Item Description]]="",IPRF_Lines[[#This Row],[Requested Qty]]="",IPRF_Lines[[#This Row],[Unit]]=""),
    "",UPPER(IPRF_Header[Request number] &amp; "-" &amp; IPRF_Lines[[#This Row],[Line num]]))</f>
        <v/>
      </c>
      <c r="N108" s="19" t="str" cm="1">
        <f t="array" ref="N1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IF(OR(IPRF_Lines[[#This Row],[Requested Qty]]="",IPRF_Lines[[#This Row],[Picked Qty]]=""),"",IPRF_Lines[[#This Row],[Requested Qty]]-IPRF_Lines[[#This Row],[Picked Qty]])</f>
        <v/>
      </c>
      <c r="M109" s="18" t="str" cm="1">
        <f t="array" ref="M109">IF(
    OR(IPRF_Lines[[#This Row],[Item Description]]="",IPRF_Lines[[#This Row],[Requested Qty]]="",IPRF_Lines[[#This Row],[Unit]]=""),
    "",UPPER(IPRF_Header[Request number] &amp; "-" &amp; IPRF_Lines[[#This Row],[Line num]]))</f>
        <v/>
      </c>
      <c r="N109" s="19" t="str" cm="1">
        <f t="array" ref="N1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IF(OR(IPRF_Lines[[#This Row],[Requested Qty]]="",IPRF_Lines[[#This Row],[Picked Qty]]=""),"",IPRF_Lines[[#This Row],[Requested Qty]]-IPRF_Lines[[#This Row],[Picked Qty]])</f>
        <v/>
      </c>
      <c r="M110" s="18" t="str" cm="1">
        <f t="array" ref="M110">IF(
    OR(IPRF_Lines[[#This Row],[Item Description]]="",IPRF_Lines[[#This Row],[Requested Qty]]="",IPRF_Lines[[#This Row],[Unit]]=""),
    "",UPPER(IPRF_Header[Request number] &amp; "-" &amp; IPRF_Lines[[#This Row],[Line num]]))</f>
        <v/>
      </c>
      <c r="N110" s="19" t="str" cm="1">
        <f t="array" ref="N1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IF(OR(IPRF_Lines[[#This Row],[Requested Qty]]="",IPRF_Lines[[#This Row],[Picked Qty]]=""),"",IPRF_Lines[[#This Row],[Requested Qty]]-IPRF_Lines[[#This Row],[Picked Qty]])</f>
        <v/>
      </c>
      <c r="M111" s="18" t="str" cm="1">
        <f t="array" ref="M111">IF(
    OR(IPRF_Lines[[#This Row],[Item Description]]="",IPRF_Lines[[#This Row],[Requested Qty]]="",IPRF_Lines[[#This Row],[Unit]]=""),
    "",UPPER(IPRF_Header[Request number] &amp; "-" &amp; IPRF_Lines[[#This Row],[Line num]]))</f>
        <v/>
      </c>
      <c r="N111" s="19" t="str" cm="1">
        <f t="array" ref="N1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IF(OR(IPRF_Lines[[#This Row],[Requested Qty]]="",IPRF_Lines[[#This Row],[Picked Qty]]=""),"",IPRF_Lines[[#This Row],[Requested Qty]]-IPRF_Lines[[#This Row],[Picked Qty]])</f>
        <v/>
      </c>
      <c r="M112" s="18" t="str" cm="1">
        <f t="array" ref="M112">IF(
    OR(IPRF_Lines[[#This Row],[Item Description]]="",IPRF_Lines[[#This Row],[Requested Qty]]="",IPRF_Lines[[#This Row],[Unit]]=""),
    "",UPPER(IPRF_Header[Request number] &amp; "-" &amp; IPRF_Lines[[#This Row],[Line num]]))</f>
        <v/>
      </c>
      <c r="N112" s="19" t="str" cm="1">
        <f t="array" ref="N1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IF(OR(IPRF_Lines[[#This Row],[Requested Qty]]="",IPRF_Lines[[#This Row],[Picked Qty]]=""),"",IPRF_Lines[[#This Row],[Requested Qty]]-IPRF_Lines[[#This Row],[Picked Qty]])</f>
        <v/>
      </c>
      <c r="M113" s="18" t="str" cm="1">
        <f t="array" ref="M113">IF(
    OR(IPRF_Lines[[#This Row],[Item Description]]="",IPRF_Lines[[#This Row],[Requested Qty]]="",IPRF_Lines[[#This Row],[Unit]]=""),
    "",UPPER(IPRF_Header[Request number] &amp; "-" &amp; IPRF_Lines[[#This Row],[Line num]]))</f>
        <v/>
      </c>
      <c r="N113" s="19" t="str" cm="1">
        <f t="array" ref="N1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IF(OR(IPRF_Lines[[#This Row],[Requested Qty]]="",IPRF_Lines[[#This Row],[Picked Qty]]=""),"",IPRF_Lines[[#This Row],[Requested Qty]]-IPRF_Lines[[#This Row],[Picked Qty]])</f>
        <v/>
      </c>
      <c r="M114" s="18" t="str" cm="1">
        <f t="array" ref="M114">IF(
    OR(IPRF_Lines[[#This Row],[Item Description]]="",IPRF_Lines[[#This Row],[Requested Qty]]="",IPRF_Lines[[#This Row],[Unit]]=""),
    "",UPPER(IPRF_Header[Request number] &amp; "-" &amp; IPRF_Lines[[#This Row],[Line num]]))</f>
        <v/>
      </c>
      <c r="N114" s="19" t="str" cm="1">
        <f t="array" ref="N1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IF(OR(IPRF_Lines[[#This Row],[Requested Qty]]="",IPRF_Lines[[#This Row],[Picked Qty]]=""),"",IPRF_Lines[[#This Row],[Requested Qty]]-IPRF_Lines[[#This Row],[Picked Qty]])</f>
        <v/>
      </c>
      <c r="M115" s="18" t="str" cm="1">
        <f t="array" ref="M115">IF(
    OR(IPRF_Lines[[#This Row],[Item Description]]="",IPRF_Lines[[#This Row],[Requested Qty]]="",IPRF_Lines[[#This Row],[Unit]]=""),
    "",UPPER(IPRF_Header[Request number] &amp; "-" &amp; IPRF_Lines[[#This Row],[Line num]]))</f>
        <v/>
      </c>
      <c r="N115" s="19" t="str" cm="1">
        <f t="array" ref="N1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IF(OR(IPRF_Lines[[#This Row],[Requested Qty]]="",IPRF_Lines[[#This Row],[Picked Qty]]=""),"",IPRF_Lines[[#This Row],[Requested Qty]]-IPRF_Lines[[#This Row],[Picked Qty]])</f>
        <v/>
      </c>
      <c r="M116" s="18" t="str" cm="1">
        <f t="array" ref="M116">IF(
    OR(IPRF_Lines[[#This Row],[Item Description]]="",IPRF_Lines[[#This Row],[Requested Qty]]="",IPRF_Lines[[#This Row],[Unit]]=""),
    "",UPPER(IPRF_Header[Request number] &amp; "-" &amp; IPRF_Lines[[#This Row],[Line num]]))</f>
        <v/>
      </c>
      <c r="N116" s="19" t="str" cm="1">
        <f t="array" ref="N1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IF(OR(IPRF_Lines[[#This Row],[Requested Qty]]="",IPRF_Lines[[#This Row],[Picked Qty]]=""),"",IPRF_Lines[[#This Row],[Requested Qty]]-IPRF_Lines[[#This Row],[Picked Qty]])</f>
        <v/>
      </c>
      <c r="M117" s="18" t="str" cm="1">
        <f t="array" ref="M117">IF(
    OR(IPRF_Lines[[#This Row],[Item Description]]="",IPRF_Lines[[#This Row],[Requested Qty]]="",IPRF_Lines[[#This Row],[Unit]]=""),
    "",UPPER(IPRF_Header[Request number] &amp; "-" &amp; IPRF_Lines[[#This Row],[Line num]]))</f>
        <v/>
      </c>
      <c r="N117" s="19" t="str" cm="1">
        <f t="array" ref="N1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IF(OR(IPRF_Lines[[#This Row],[Requested Qty]]="",IPRF_Lines[[#This Row],[Picked Qty]]=""),"",IPRF_Lines[[#This Row],[Requested Qty]]-IPRF_Lines[[#This Row],[Picked Qty]])</f>
        <v/>
      </c>
      <c r="M118" s="18" t="str" cm="1">
        <f t="array" ref="M118">IF(
    OR(IPRF_Lines[[#This Row],[Item Description]]="",IPRF_Lines[[#This Row],[Requested Qty]]="",IPRF_Lines[[#This Row],[Unit]]=""),
    "",UPPER(IPRF_Header[Request number] &amp; "-" &amp; IPRF_Lines[[#This Row],[Line num]]))</f>
        <v/>
      </c>
      <c r="N118" s="19" t="str" cm="1">
        <f t="array" ref="N1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IF(OR(IPRF_Lines[[#This Row],[Requested Qty]]="",IPRF_Lines[[#This Row],[Picked Qty]]=""),"",IPRF_Lines[[#This Row],[Requested Qty]]-IPRF_Lines[[#This Row],[Picked Qty]])</f>
        <v/>
      </c>
      <c r="M119" s="18" t="str" cm="1">
        <f t="array" ref="M119">IF(
    OR(IPRF_Lines[[#This Row],[Item Description]]="",IPRF_Lines[[#This Row],[Requested Qty]]="",IPRF_Lines[[#This Row],[Unit]]=""),
    "",UPPER(IPRF_Header[Request number] &amp; "-" &amp; IPRF_Lines[[#This Row],[Line num]]))</f>
        <v/>
      </c>
      <c r="N119" s="19" t="str" cm="1">
        <f t="array" ref="N1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IF(OR(IPRF_Lines[[#This Row],[Requested Qty]]="",IPRF_Lines[[#This Row],[Picked Qty]]=""),"",IPRF_Lines[[#This Row],[Requested Qty]]-IPRF_Lines[[#This Row],[Picked Qty]])</f>
        <v/>
      </c>
      <c r="M120" s="18" t="str" cm="1">
        <f t="array" ref="M120">IF(
    OR(IPRF_Lines[[#This Row],[Item Description]]="",IPRF_Lines[[#This Row],[Requested Qty]]="",IPRF_Lines[[#This Row],[Unit]]=""),
    "",UPPER(IPRF_Header[Request number] &amp; "-" &amp; IPRF_Lines[[#This Row],[Line num]]))</f>
        <v/>
      </c>
      <c r="N120" s="19" t="str" cm="1">
        <f t="array" ref="N1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IF(OR(IPRF_Lines[[#This Row],[Requested Qty]]="",IPRF_Lines[[#This Row],[Picked Qty]]=""),"",IPRF_Lines[[#This Row],[Requested Qty]]-IPRF_Lines[[#This Row],[Picked Qty]])</f>
        <v/>
      </c>
      <c r="M121" s="18" t="str" cm="1">
        <f t="array" ref="M121">IF(
    OR(IPRF_Lines[[#This Row],[Item Description]]="",IPRF_Lines[[#This Row],[Requested Qty]]="",IPRF_Lines[[#This Row],[Unit]]=""),
    "",UPPER(IPRF_Header[Request number] &amp; "-" &amp; IPRF_Lines[[#This Row],[Line num]]))</f>
        <v/>
      </c>
      <c r="N121" s="19" t="str" cm="1">
        <f t="array" ref="N1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IF(OR(IPRF_Lines[[#This Row],[Requested Qty]]="",IPRF_Lines[[#This Row],[Picked Qty]]=""),"",IPRF_Lines[[#This Row],[Requested Qty]]-IPRF_Lines[[#This Row],[Picked Qty]])</f>
        <v/>
      </c>
      <c r="M122" s="18" t="str" cm="1">
        <f t="array" ref="M122">IF(
    OR(IPRF_Lines[[#This Row],[Item Description]]="",IPRF_Lines[[#This Row],[Requested Qty]]="",IPRF_Lines[[#This Row],[Unit]]=""),
    "",UPPER(IPRF_Header[Request number] &amp; "-" &amp; IPRF_Lines[[#This Row],[Line num]]))</f>
        <v/>
      </c>
      <c r="N122" s="19" t="str" cm="1">
        <f t="array" ref="N1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IF(OR(IPRF_Lines[[#This Row],[Requested Qty]]="",IPRF_Lines[[#This Row],[Picked Qty]]=""),"",IPRF_Lines[[#This Row],[Requested Qty]]-IPRF_Lines[[#This Row],[Picked Qty]])</f>
        <v/>
      </c>
      <c r="M123" s="18" t="str" cm="1">
        <f t="array" ref="M123">IF(
    OR(IPRF_Lines[[#This Row],[Item Description]]="",IPRF_Lines[[#This Row],[Requested Qty]]="",IPRF_Lines[[#This Row],[Unit]]=""),
    "",UPPER(IPRF_Header[Request number] &amp; "-" &amp; IPRF_Lines[[#This Row],[Line num]]))</f>
        <v/>
      </c>
      <c r="N123" s="19" t="str" cm="1">
        <f t="array" ref="N1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IF(OR(IPRF_Lines[[#This Row],[Requested Qty]]="",IPRF_Lines[[#This Row],[Picked Qty]]=""),"",IPRF_Lines[[#This Row],[Requested Qty]]-IPRF_Lines[[#This Row],[Picked Qty]])</f>
        <v/>
      </c>
      <c r="M124" s="18" t="str" cm="1">
        <f t="array" ref="M124">IF(
    OR(IPRF_Lines[[#This Row],[Item Description]]="",IPRF_Lines[[#This Row],[Requested Qty]]="",IPRF_Lines[[#This Row],[Unit]]=""),
    "",UPPER(IPRF_Header[Request number] &amp; "-" &amp; IPRF_Lines[[#This Row],[Line num]]))</f>
        <v/>
      </c>
      <c r="N124" s="19" t="str" cm="1">
        <f t="array" ref="N1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IF(OR(IPRF_Lines[[#This Row],[Requested Qty]]="",IPRF_Lines[[#This Row],[Picked Qty]]=""),"",IPRF_Lines[[#This Row],[Requested Qty]]-IPRF_Lines[[#This Row],[Picked Qty]])</f>
        <v/>
      </c>
      <c r="M125" s="18" t="str" cm="1">
        <f t="array" ref="M125">IF(
    OR(IPRF_Lines[[#This Row],[Item Description]]="",IPRF_Lines[[#This Row],[Requested Qty]]="",IPRF_Lines[[#This Row],[Unit]]=""),
    "",UPPER(IPRF_Header[Request number] &amp; "-" &amp; IPRF_Lines[[#This Row],[Line num]]))</f>
        <v/>
      </c>
      <c r="N125" s="19" t="str" cm="1">
        <f t="array" ref="N1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IF(OR(IPRF_Lines[[#This Row],[Requested Qty]]="",IPRF_Lines[[#This Row],[Picked Qty]]=""),"",IPRF_Lines[[#This Row],[Requested Qty]]-IPRF_Lines[[#This Row],[Picked Qty]])</f>
        <v/>
      </c>
      <c r="M126" s="18" t="str" cm="1">
        <f t="array" ref="M126">IF(
    OR(IPRF_Lines[[#This Row],[Item Description]]="",IPRF_Lines[[#This Row],[Requested Qty]]="",IPRF_Lines[[#This Row],[Unit]]=""),
    "",UPPER(IPRF_Header[Request number] &amp; "-" &amp; IPRF_Lines[[#This Row],[Line num]]))</f>
        <v/>
      </c>
      <c r="N126" s="19" t="str" cm="1">
        <f t="array" ref="N1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IF(OR(IPRF_Lines[[#This Row],[Requested Qty]]="",IPRF_Lines[[#This Row],[Picked Qty]]=""),"",IPRF_Lines[[#This Row],[Requested Qty]]-IPRF_Lines[[#This Row],[Picked Qty]])</f>
        <v/>
      </c>
      <c r="M127" s="18" t="str" cm="1">
        <f t="array" ref="M127">IF(
    OR(IPRF_Lines[[#This Row],[Item Description]]="",IPRF_Lines[[#This Row],[Requested Qty]]="",IPRF_Lines[[#This Row],[Unit]]=""),
    "",UPPER(IPRF_Header[Request number] &amp; "-" &amp; IPRF_Lines[[#This Row],[Line num]]))</f>
        <v/>
      </c>
      <c r="N127" s="19" t="str" cm="1">
        <f t="array" ref="N1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IF(OR(IPRF_Lines[[#This Row],[Requested Qty]]="",IPRF_Lines[[#This Row],[Picked Qty]]=""),"",IPRF_Lines[[#This Row],[Requested Qty]]-IPRF_Lines[[#This Row],[Picked Qty]])</f>
        <v/>
      </c>
      <c r="M128" s="18" t="str" cm="1">
        <f t="array" ref="M128">IF(
    OR(IPRF_Lines[[#This Row],[Item Description]]="",IPRF_Lines[[#This Row],[Requested Qty]]="",IPRF_Lines[[#This Row],[Unit]]=""),
    "",UPPER(IPRF_Header[Request number] &amp; "-" &amp; IPRF_Lines[[#This Row],[Line num]]))</f>
        <v/>
      </c>
      <c r="N128" s="19" t="str" cm="1">
        <f t="array" ref="N1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IF(OR(IPRF_Lines[[#This Row],[Requested Qty]]="",IPRF_Lines[[#This Row],[Picked Qty]]=""),"",IPRF_Lines[[#This Row],[Requested Qty]]-IPRF_Lines[[#This Row],[Picked Qty]])</f>
        <v/>
      </c>
      <c r="M129" s="18" t="str" cm="1">
        <f t="array" ref="M129">IF(
    OR(IPRF_Lines[[#This Row],[Item Description]]="",IPRF_Lines[[#This Row],[Requested Qty]]="",IPRF_Lines[[#This Row],[Unit]]=""),
    "",UPPER(IPRF_Header[Request number] &amp; "-" &amp; IPRF_Lines[[#This Row],[Line num]]))</f>
        <v/>
      </c>
      <c r="N129" s="19" t="str" cm="1">
        <f t="array" ref="N1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IF(OR(IPRF_Lines[[#This Row],[Requested Qty]]="",IPRF_Lines[[#This Row],[Picked Qty]]=""),"",IPRF_Lines[[#This Row],[Requested Qty]]-IPRF_Lines[[#This Row],[Picked Qty]])</f>
        <v/>
      </c>
      <c r="M130" s="18" t="str" cm="1">
        <f t="array" ref="M130">IF(
    OR(IPRF_Lines[[#This Row],[Item Description]]="",IPRF_Lines[[#This Row],[Requested Qty]]="",IPRF_Lines[[#This Row],[Unit]]=""),
    "",UPPER(IPRF_Header[Request number] &amp; "-" &amp; IPRF_Lines[[#This Row],[Line num]]))</f>
        <v/>
      </c>
      <c r="N130" s="19" t="str" cm="1">
        <f t="array" ref="N1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IF(OR(IPRF_Lines[[#This Row],[Requested Qty]]="",IPRF_Lines[[#This Row],[Picked Qty]]=""),"",IPRF_Lines[[#This Row],[Requested Qty]]-IPRF_Lines[[#This Row],[Picked Qty]])</f>
        <v/>
      </c>
      <c r="M131" s="18" t="str" cm="1">
        <f t="array" ref="M131">IF(
    OR(IPRF_Lines[[#This Row],[Item Description]]="",IPRF_Lines[[#This Row],[Requested Qty]]="",IPRF_Lines[[#This Row],[Unit]]=""),
    "",UPPER(IPRF_Header[Request number] &amp; "-" &amp; IPRF_Lines[[#This Row],[Line num]]))</f>
        <v/>
      </c>
      <c r="N131" s="19" t="str" cm="1">
        <f t="array" ref="N1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IF(OR(IPRF_Lines[[#This Row],[Requested Qty]]="",IPRF_Lines[[#This Row],[Picked Qty]]=""),"",IPRF_Lines[[#This Row],[Requested Qty]]-IPRF_Lines[[#This Row],[Picked Qty]])</f>
        <v/>
      </c>
      <c r="M132" s="18" t="str" cm="1">
        <f t="array" ref="M132">IF(
    OR(IPRF_Lines[[#This Row],[Item Description]]="",IPRF_Lines[[#This Row],[Requested Qty]]="",IPRF_Lines[[#This Row],[Unit]]=""),
    "",UPPER(IPRF_Header[Request number] &amp; "-" &amp; IPRF_Lines[[#This Row],[Line num]]))</f>
        <v/>
      </c>
      <c r="N132" s="19" t="str" cm="1">
        <f t="array" ref="N1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IF(OR(IPRF_Lines[[#This Row],[Requested Qty]]="",IPRF_Lines[[#This Row],[Picked Qty]]=""),"",IPRF_Lines[[#This Row],[Requested Qty]]-IPRF_Lines[[#This Row],[Picked Qty]])</f>
        <v/>
      </c>
      <c r="M133" s="18" t="str" cm="1">
        <f t="array" ref="M133">IF(
    OR(IPRF_Lines[[#This Row],[Item Description]]="",IPRF_Lines[[#This Row],[Requested Qty]]="",IPRF_Lines[[#This Row],[Unit]]=""),
    "",UPPER(IPRF_Header[Request number] &amp; "-" &amp; IPRF_Lines[[#This Row],[Line num]]))</f>
        <v/>
      </c>
      <c r="N133" s="19" t="str" cm="1">
        <f t="array" ref="N1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IF(OR(IPRF_Lines[[#This Row],[Requested Qty]]="",IPRF_Lines[[#This Row],[Picked Qty]]=""),"",IPRF_Lines[[#This Row],[Requested Qty]]-IPRF_Lines[[#This Row],[Picked Qty]])</f>
        <v/>
      </c>
      <c r="M134" s="18" t="str" cm="1">
        <f t="array" ref="M134">IF(
    OR(IPRF_Lines[[#This Row],[Item Description]]="",IPRF_Lines[[#This Row],[Requested Qty]]="",IPRF_Lines[[#This Row],[Unit]]=""),
    "",UPPER(IPRF_Header[Request number] &amp; "-" &amp; IPRF_Lines[[#This Row],[Line num]]))</f>
        <v/>
      </c>
      <c r="N134" s="19" t="str" cm="1">
        <f t="array" ref="N1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IF(OR(IPRF_Lines[[#This Row],[Requested Qty]]="",IPRF_Lines[[#This Row],[Picked Qty]]=""),"",IPRF_Lines[[#This Row],[Requested Qty]]-IPRF_Lines[[#This Row],[Picked Qty]])</f>
        <v/>
      </c>
      <c r="M135" s="18" t="str" cm="1">
        <f t="array" ref="M135">IF(
    OR(IPRF_Lines[[#This Row],[Item Description]]="",IPRF_Lines[[#This Row],[Requested Qty]]="",IPRF_Lines[[#This Row],[Unit]]=""),
    "",UPPER(IPRF_Header[Request number] &amp; "-" &amp; IPRF_Lines[[#This Row],[Line num]]))</f>
        <v/>
      </c>
      <c r="N135" s="19" t="str" cm="1">
        <f t="array" ref="N1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IF(OR(IPRF_Lines[[#This Row],[Requested Qty]]="",IPRF_Lines[[#This Row],[Picked Qty]]=""),"",IPRF_Lines[[#This Row],[Requested Qty]]-IPRF_Lines[[#This Row],[Picked Qty]])</f>
        <v/>
      </c>
      <c r="M136" s="18" t="str" cm="1">
        <f t="array" ref="M136">IF(
    OR(IPRF_Lines[[#This Row],[Item Description]]="",IPRF_Lines[[#This Row],[Requested Qty]]="",IPRF_Lines[[#This Row],[Unit]]=""),
    "",UPPER(IPRF_Header[Request number] &amp; "-" &amp; IPRF_Lines[[#This Row],[Line num]]))</f>
        <v/>
      </c>
      <c r="N136" s="19" t="str" cm="1">
        <f t="array" ref="N1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IF(OR(IPRF_Lines[[#This Row],[Requested Qty]]="",IPRF_Lines[[#This Row],[Picked Qty]]=""),"",IPRF_Lines[[#This Row],[Requested Qty]]-IPRF_Lines[[#This Row],[Picked Qty]])</f>
        <v/>
      </c>
      <c r="M137" s="18" t="str" cm="1">
        <f t="array" ref="M137">IF(
    OR(IPRF_Lines[[#This Row],[Item Description]]="",IPRF_Lines[[#This Row],[Requested Qty]]="",IPRF_Lines[[#This Row],[Unit]]=""),
    "",UPPER(IPRF_Header[Request number] &amp; "-" &amp; IPRF_Lines[[#This Row],[Line num]]))</f>
        <v/>
      </c>
      <c r="N137" s="19" t="str" cm="1">
        <f t="array" ref="N1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IF(OR(IPRF_Lines[[#This Row],[Requested Qty]]="",IPRF_Lines[[#This Row],[Picked Qty]]=""),"",IPRF_Lines[[#This Row],[Requested Qty]]-IPRF_Lines[[#This Row],[Picked Qty]])</f>
        <v/>
      </c>
      <c r="M138" s="18" t="str" cm="1">
        <f t="array" ref="M138">IF(
    OR(IPRF_Lines[[#This Row],[Item Description]]="",IPRF_Lines[[#This Row],[Requested Qty]]="",IPRF_Lines[[#This Row],[Unit]]=""),
    "",UPPER(IPRF_Header[Request number] &amp; "-" &amp; IPRF_Lines[[#This Row],[Line num]]))</f>
        <v/>
      </c>
      <c r="N138" s="19" t="str" cm="1">
        <f t="array" ref="N1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IF(OR(IPRF_Lines[[#This Row],[Requested Qty]]="",IPRF_Lines[[#This Row],[Picked Qty]]=""),"",IPRF_Lines[[#This Row],[Requested Qty]]-IPRF_Lines[[#This Row],[Picked Qty]])</f>
        <v/>
      </c>
      <c r="M139" s="18" t="str" cm="1">
        <f t="array" ref="M139">IF(
    OR(IPRF_Lines[[#This Row],[Item Description]]="",IPRF_Lines[[#This Row],[Requested Qty]]="",IPRF_Lines[[#This Row],[Unit]]=""),
    "",UPPER(IPRF_Header[Request number] &amp; "-" &amp; IPRF_Lines[[#This Row],[Line num]]))</f>
        <v/>
      </c>
      <c r="N139" s="19" t="str" cm="1">
        <f t="array" ref="N1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IF(OR(IPRF_Lines[[#This Row],[Requested Qty]]="",IPRF_Lines[[#This Row],[Picked Qty]]=""),"",IPRF_Lines[[#This Row],[Requested Qty]]-IPRF_Lines[[#This Row],[Picked Qty]])</f>
        <v/>
      </c>
      <c r="M140" s="18" t="str" cm="1">
        <f t="array" ref="M140">IF(
    OR(IPRF_Lines[[#This Row],[Item Description]]="",IPRF_Lines[[#This Row],[Requested Qty]]="",IPRF_Lines[[#This Row],[Unit]]=""),
    "",UPPER(IPRF_Header[Request number] &amp; "-" &amp; IPRF_Lines[[#This Row],[Line num]]))</f>
        <v/>
      </c>
      <c r="N140" s="19" t="str" cm="1">
        <f t="array" ref="N1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IF(OR(IPRF_Lines[[#This Row],[Requested Qty]]="",IPRF_Lines[[#This Row],[Picked Qty]]=""),"",IPRF_Lines[[#This Row],[Requested Qty]]-IPRF_Lines[[#This Row],[Picked Qty]])</f>
        <v/>
      </c>
      <c r="M141" s="18" t="str" cm="1">
        <f t="array" ref="M141">IF(
    OR(IPRF_Lines[[#This Row],[Item Description]]="",IPRF_Lines[[#This Row],[Requested Qty]]="",IPRF_Lines[[#This Row],[Unit]]=""),
    "",UPPER(IPRF_Header[Request number] &amp; "-" &amp; IPRF_Lines[[#This Row],[Line num]]))</f>
        <v/>
      </c>
      <c r="N141" s="19" t="str" cm="1">
        <f t="array" ref="N1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IF(OR(IPRF_Lines[[#This Row],[Requested Qty]]="",IPRF_Lines[[#This Row],[Picked Qty]]=""),"",IPRF_Lines[[#This Row],[Requested Qty]]-IPRF_Lines[[#This Row],[Picked Qty]])</f>
        <v/>
      </c>
      <c r="M142" s="18" t="str" cm="1">
        <f t="array" ref="M142">IF(
    OR(IPRF_Lines[[#This Row],[Item Description]]="",IPRF_Lines[[#This Row],[Requested Qty]]="",IPRF_Lines[[#This Row],[Unit]]=""),
    "",UPPER(IPRF_Header[Request number] &amp; "-" &amp; IPRF_Lines[[#This Row],[Line num]]))</f>
        <v/>
      </c>
      <c r="N142" s="19" t="str" cm="1">
        <f t="array" ref="N1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IF(OR(IPRF_Lines[[#This Row],[Requested Qty]]="",IPRF_Lines[[#This Row],[Picked Qty]]=""),"",IPRF_Lines[[#This Row],[Requested Qty]]-IPRF_Lines[[#This Row],[Picked Qty]])</f>
        <v/>
      </c>
      <c r="M143" s="18" t="str" cm="1">
        <f t="array" ref="M143">IF(
    OR(IPRF_Lines[[#This Row],[Item Description]]="",IPRF_Lines[[#This Row],[Requested Qty]]="",IPRF_Lines[[#This Row],[Unit]]=""),
    "",UPPER(IPRF_Header[Request number] &amp; "-" &amp; IPRF_Lines[[#This Row],[Line num]]))</f>
        <v/>
      </c>
      <c r="N143" s="19" t="str" cm="1">
        <f t="array" ref="N1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IF(OR(IPRF_Lines[[#This Row],[Requested Qty]]="",IPRF_Lines[[#This Row],[Picked Qty]]=""),"",IPRF_Lines[[#This Row],[Requested Qty]]-IPRF_Lines[[#This Row],[Picked Qty]])</f>
        <v/>
      </c>
      <c r="M144" s="18" t="str" cm="1">
        <f t="array" ref="M144">IF(
    OR(IPRF_Lines[[#This Row],[Item Description]]="",IPRF_Lines[[#This Row],[Requested Qty]]="",IPRF_Lines[[#This Row],[Unit]]=""),
    "",UPPER(IPRF_Header[Request number] &amp; "-" &amp; IPRF_Lines[[#This Row],[Line num]]))</f>
        <v/>
      </c>
      <c r="N144" s="19" t="str" cm="1">
        <f t="array" ref="N1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IF(OR(IPRF_Lines[[#This Row],[Requested Qty]]="",IPRF_Lines[[#This Row],[Picked Qty]]=""),"",IPRF_Lines[[#This Row],[Requested Qty]]-IPRF_Lines[[#This Row],[Picked Qty]])</f>
        <v/>
      </c>
      <c r="M145" s="18" t="str" cm="1">
        <f t="array" ref="M145">IF(
    OR(IPRF_Lines[[#This Row],[Item Description]]="",IPRF_Lines[[#This Row],[Requested Qty]]="",IPRF_Lines[[#This Row],[Unit]]=""),
    "",UPPER(IPRF_Header[Request number] &amp; "-" &amp; IPRF_Lines[[#This Row],[Line num]]))</f>
        <v/>
      </c>
      <c r="N145" s="19" t="str" cm="1">
        <f t="array" ref="N1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IF(OR(IPRF_Lines[[#This Row],[Requested Qty]]="",IPRF_Lines[[#This Row],[Picked Qty]]=""),"",IPRF_Lines[[#This Row],[Requested Qty]]-IPRF_Lines[[#This Row],[Picked Qty]])</f>
        <v/>
      </c>
      <c r="M146" s="18" t="str" cm="1">
        <f t="array" ref="M146">IF(
    OR(IPRF_Lines[[#This Row],[Item Description]]="",IPRF_Lines[[#This Row],[Requested Qty]]="",IPRF_Lines[[#This Row],[Unit]]=""),
    "",UPPER(IPRF_Header[Request number] &amp; "-" &amp; IPRF_Lines[[#This Row],[Line num]]))</f>
        <v/>
      </c>
      <c r="N146" s="19" t="str" cm="1">
        <f t="array" ref="N1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IF(OR(IPRF_Lines[[#This Row],[Requested Qty]]="",IPRF_Lines[[#This Row],[Picked Qty]]=""),"",IPRF_Lines[[#This Row],[Requested Qty]]-IPRF_Lines[[#This Row],[Picked Qty]])</f>
        <v/>
      </c>
      <c r="M147" s="18" t="str" cm="1">
        <f t="array" ref="M147">IF(
    OR(IPRF_Lines[[#This Row],[Item Description]]="",IPRF_Lines[[#This Row],[Requested Qty]]="",IPRF_Lines[[#This Row],[Unit]]=""),
    "",UPPER(IPRF_Header[Request number] &amp; "-" &amp; IPRF_Lines[[#This Row],[Line num]]))</f>
        <v/>
      </c>
      <c r="N147" s="19" t="str" cm="1">
        <f t="array" ref="N1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IF(OR(IPRF_Lines[[#This Row],[Requested Qty]]="",IPRF_Lines[[#This Row],[Picked Qty]]=""),"",IPRF_Lines[[#This Row],[Requested Qty]]-IPRF_Lines[[#This Row],[Picked Qty]])</f>
        <v/>
      </c>
      <c r="M148" s="18" t="str" cm="1">
        <f t="array" ref="M148">IF(
    OR(IPRF_Lines[[#This Row],[Item Description]]="",IPRF_Lines[[#This Row],[Requested Qty]]="",IPRF_Lines[[#This Row],[Unit]]=""),
    "",UPPER(IPRF_Header[Request number] &amp; "-" &amp; IPRF_Lines[[#This Row],[Line num]]))</f>
        <v/>
      </c>
      <c r="N148" s="19" t="str" cm="1">
        <f t="array" ref="N1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IF(OR(IPRF_Lines[[#This Row],[Requested Qty]]="",IPRF_Lines[[#This Row],[Picked Qty]]=""),"",IPRF_Lines[[#This Row],[Requested Qty]]-IPRF_Lines[[#This Row],[Picked Qty]])</f>
        <v/>
      </c>
      <c r="M149" s="18" t="str" cm="1">
        <f t="array" ref="M149">IF(
    OR(IPRF_Lines[[#This Row],[Item Description]]="",IPRF_Lines[[#This Row],[Requested Qty]]="",IPRF_Lines[[#This Row],[Unit]]=""),
    "",UPPER(IPRF_Header[Request number] &amp; "-" &amp; IPRF_Lines[[#This Row],[Line num]]))</f>
        <v/>
      </c>
      <c r="N149" s="19" t="str" cm="1">
        <f t="array" ref="N1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IF(OR(IPRF_Lines[[#This Row],[Requested Qty]]="",IPRF_Lines[[#This Row],[Picked Qty]]=""),"",IPRF_Lines[[#This Row],[Requested Qty]]-IPRF_Lines[[#This Row],[Picked Qty]])</f>
        <v/>
      </c>
      <c r="M150" s="18" t="str" cm="1">
        <f t="array" ref="M150">IF(
    OR(IPRF_Lines[[#This Row],[Item Description]]="",IPRF_Lines[[#This Row],[Requested Qty]]="",IPRF_Lines[[#This Row],[Unit]]=""),
    "",UPPER(IPRF_Header[Request number] &amp; "-" &amp; IPRF_Lines[[#This Row],[Line num]]))</f>
        <v/>
      </c>
      <c r="N150" s="19" t="str" cm="1">
        <f t="array" ref="N1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IF(OR(IPRF_Lines[[#This Row],[Requested Qty]]="",IPRF_Lines[[#This Row],[Picked Qty]]=""),"",IPRF_Lines[[#This Row],[Requested Qty]]-IPRF_Lines[[#This Row],[Picked Qty]])</f>
        <v/>
      </c>
      <c r="M151" s="18" t="str" cm="1">
        <f t="array" ref="M151">IF(
    OR(IPRF_Lines[[#This Row],[Item Description]]="",IPRF_Lines[[#This Row],[Requested Qty]]="",IPRF_Lines[[#This Row],[Unit]]=""),
    "",UPPER(IPRF_Header[Request number] &amp; "-" &amp; IPRF_Lines[[#This Row],[Line num]]))</f>
        <v/>
      </c>
      <c r="N151" s="19" t="str" cm="1">
        <f t="array" ref="N1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IF(OR(IPRF_Lines[[#This Row],[Requested Qty]]="",IPRF_Lines[[#This Row],[Picked Qty]]=""),"",IPRF_Lines[[#This Row],[Requested Qty]]-IPRF_Lines[[#This Row],[Picked Qty]])</f>
        <v/>
      </c>
      <c r="M152" s="18" t="str" cm="1">
        <f t="array" ref="M152">IF(
    OR(IPRF_Lines[[#This Row],[Item Description]]="",IPRF_Lines[[#This Row],[Requested Qty]]="",IPRF_Lines[[#This Row],[Unit]]=""),
    "",UPPER(IPRF_Header[Request number] &amp; "-" &amp; IPRF_Lines[[#This Row],[Line num]]))</f>
        <v/>
      </c>
      <c r="N152" s="19" t="str" cm="1">
        <f t="array" ref="N1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IF(OR(IPRF_Lines[[#This Row],[Requested Qty]]="",IPRF_Lines[[#This Row],[Picked Qty]]=""),"",IPRF_Lines[[#This Row],[Requested Qty]]-IPRF_Lines[[#This Row],[Picked Qty]])</f>
        <v/>
      </c>
      <c r="M153" s="18" t="str" cm="1">
        <f t="array" ref="M153">IF(
    OR(IPRF_Lines[[#This Row],[Item Description]]="",IPRF_Lines[[#This Row],[Requested Qty]]="",IPRF_Lines[[#This Row],[Unit]]=""),
    "",UPPER(IPRF_Header[Request number] &amp; "-" &amp; IPRF_Lines[[#This Row],[Line num]]))</f>
        <v/>
      </c>
      <c r="N153" s="19" t="str" cm="1">
        <f t="array" ref="N1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IF(OR(IPRF_Lines[[#This Row],[Requested Qty]]="",IPRF_Lines[[#This Row],[Picked Qty]]=""),"",IPRF_Lines[[#This Row],[Requested Qty]]-IPRF_Lines[[#This Row],[Picked Qty]])</f>
        <v/>
      </c>
      <c r="M154" s="18" t="str" cm="1">
        <f t="array" ref="M154">IF(
    OR(IPRF_Lines[[#This Row],[Item Description]]="",IPRF_Lines[[#This Row],[Requested Qty]]="",IPRF_Lines[[#This Row],[Unit]]=""),
    "",UPPER(IPRF_Header[Request number] &amp; "-" &amp; IPRF_Lines[[#This Row],[Line num]]))</f>
        <v/>
      </c>
      <c r="N154" s="19" t="str" cm="1">
        <f t="array" ref="N1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IF(OR(IPRF_Lines[[#This Row],[Requested Qty]]="",IPRF_Lines[[#This Row],[Picked Qty]]=""),"",IPRF_Lines[[#This Row],[Requested Qty]]-IPRF_Lines[[#This Row],[Picked Qty]])</f>
        <v/>
      </c>
      <c r="M155" s="18" t="str" cm="1">
        <f t="array" ref="M155">IF(
    OR(IPRF_Lines[[#This Row],[Item Description]]="",IPRF_Lines[[#This Row],[Requested Qty]]="",IPRF_Lines[[#This Row],[Unit]]=""),
    "",UPPER(IPRF_Header[Request number] &amp; "-" &amp; IPRF_Lines[[#This Row],[Line num]]))</f>
        <v/>
      </c>
      <c r="N155" s="19" t="str" cm="1">
        <f t="array" ref="N1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IF(OR(IPRF_Lines[[#This Row],[Requested Qty]]="",IPRF_Lines[[#This Row],[Picked Qty]]=""),"",IPRF_Lines[[#This Row],[Requested Qty]]-IPRF_Lines[[#This Row],[Picked Qty]])</f>
        <v/>
      </c>
      <c r="M156" s="18" t="str" cm="1">
        <f t="array" ref="M156">IF(
    OR(IPRF_Lines[[#This Row],[Item Description]]="",IPRF_Lines[[#This Row],[Requested Qty]]="",IPRF_Lines[[#This Row],[Unit]]=""),
    "",UPPER(IPRF_Header[Request number] &amp; "-" &amp; IPRF_Lines[[#This Row],[Line num]]))</f>
        <v/>
      </c>
      <c r="N156" s="19" t="str" cm="1">
        <f t="array" ref="N1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IF(OR(IPRF_Lines[[#This Row],[Requested Qty]]="",IPRF_Lines[[#This Row],[Picked Qty]]=""),"",IPRF_Lines[[#This Row],[Requested Qty]]-IPRF_Lines[[#This Row],[Picked Qty]])</f>
        <v/>
      </c>
      <c r="M157" s="18" t="str" cm="1">
        <f t="array" ref="M157">IF(
    OR(IPRF_Lines[[#This Row],[Item Description]]="",IPRF_Lines[[#This Row],[Requested Qty]]="",IPRF_Lines[[#This Row],[Unit]]=""),
    "",UPPER(IPRF_Header[Request number] &amp; "-" &amp; IPRF_Lines[[#This Row],[Line num]]))</f>
        <v/>
      </c>
      <c r="N157" s="19" t="str" cm="1">
        <f t="array" ref="N1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IF(OR(IPRF_Lines[[#This Row],[Requested Qty]]="",IPRF_Lines[[#This Row],[Picked Qty]]=""),"",IPRF_Lines[[#This Row],[Requested Qty]]-IPRF_Lines[[#This Row],[Picked Qty]])</f>
        <v/>
      </c>
      <c r="M158" s="18" t="str" cm="1">
        <f t="array" ref="M158">IF(
    OR(IPRF_Lines[[#This Row],[Item Description]]="",IPRF_Lines[[#This Row],[Requested Qty]]="",IPRF_Lines[[#This Row],[Unit]]=""),
    "",UPPER(IPRF_Header[Request number] &amp; "-" &amp; IPRF_Lines[[#This Row],[Line num]]))</f>
        <v/>
      </c>
      <c r="N158" s="19" t="str" cm="1">
        <f t="array" ref="N1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IF(OR(IPRF_Lines[[#This Row],[Requested Qty]]="",IPRF_Lines[[#This Row],[Picked Qty]]=""),"",IPRF_Lines[[#This Row],[Requested Qty]]-IPRF_Lines[[#This Row],[Picked Qty]])</f>
        <v/>
      </c>
      <c r="M159" s="18" t="str" cm="1">
        <f t="array" ref="M159">IF(
    OR(IPRF_Lines[[#This Row],[Item Description]]="",IPRF_Lines[[#This Row],[Requested Qty]]="",IPRF_Lines[[#This Row],[Unit]]=""),
    "",UPPER(IPRF_Header[Request number] &amp; "-" &amp; IPRF_Lines[[#This Row],[Line num]]))</f>
        <v/>
      </c>
      <c r="N159" s="19" t="str" cm="1">
        <f t="array" ref="N1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IF(OR(IPRF_Lines[[#This Row],[Requested Qty]]="",IPRF_Lines[[#This Row],[Picked Qty]]=""),"",IPRF_Lines[[#This Row],[Requested Qty]]-IPRF_Lines[[#This Row],[Picked Qty]])</f>
        <v/>
      </c>
      <c r="M160" s="18" t="str" cm="1">
        <f t="array" ref="M160">IF(
    OR(IPRF_Lines[[#This Row],[Item Description]]="",IPRF_Lines[[#This Row],[Requested Qty]]="",IPRF_Lines[[#This Row],[Unit]]=""),
    "",UPPER(IPRF_Header[Request number] &amp; "-" &amp; IPRF_Lines[[#This Row],[Line num]]))</f>
        <v/>
      </c>
      <c r="N160" s="19" t="str" cm="1">
        <f t="array" ref="N1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IF(OR(IPRF_Lines[[#This Row],[Requested Qty]]="",IPRF_Lines[[#This Row],[Picked Qty]]=""),"",IPRF_Lines[[#This Row],[Requested Qty]]-IPRF_Lines[[#This Row],[Picked Qty]])</f>
        <v/>
      </c>
      <c r="M161" s="18" t="str" cm="1">
        <f t="array" ref="M161">IF(
    OR(IPRF_Lines[[#This Row],[Item Description]]="",IPRF_Lines[[#This Row],[Requested Qty]]="",IPRF_Lines[[#This Row],[Unit]]=""),
    "",UPPER(IPRF_Header[Request number] &amp; "-" &amp; IPRF_Lines[[#This Row],[Line num]]))</f>
        <v/>
      </c>
      <c r="N161" s="19" t="str" cm="1">
        <f t="array" ref="N1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IF(OR(IPRF_Lines[[#This Row],[Requested Qty]]="",IPRF_Lines[[#This Row],[Picked Qty]]=""),"",IPRF_Lines[[#This Row],[Requested Qty]]-IPRF_Lines[[#This Row],[Picked Qty]])</f>
        <v/>
      </c>
      <c r="M162" s="18" t="str" cm="1">
        <f t="array" ref="M162">IF(
    OR(IPRF_Lines[[#This Row],[Item Description]]="",IPRF_Lines[[#This Row],[Requested Qty]]="",IPRF_Lines[[#This Row],[Unit]]=""),
    "",UPPER(IPRF_Header[Request number] &amp; "-" &amp; IPRF_Lines[[#This Row],[Line num]]))</f>
        <v/>
      </c>
      <c r="N162" s="19" t="str" cm="1">
        <f t="array" ref="N1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IF(OR(IPRF_Lines[[#This Row],[Requested Qty]]="",IPRF_Lines[[#This Row],[Picked Qty]]=""),"",IPRF_Lines[[#This Row],[Requested Qty]]-IPRF_Lines[[#This Row],[Picked Qty]])</f>
        <v/>
      </c>
      <c r="M163" s="18" t="str" cm="1">
        <f t="array" ref="M163">IF(
    OR(IPRF_Lines[[#This Row],[Item Description]]="",IPRF_Lines[[#This Row],[Requested Qty]]="",IPRF_Lines[[#This Row],[Unit]]=""),
    "",UPPER(IPRF_Header[Request number] &amp; "-" &amp; IPRF_Lines[[#This Row],[Line num]]))</f>
        <v/>
      </c>
      <c r="N163" s="19" t="str" cm="1">
        <f t="array" ref="N1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IF(OR(IPRF_Lines[[#This Row],[Requested Qty]]="",IPRF_Lines[[#This Row],[Picked Qty]]=""),"",IPRF_Lines[[#This Row],[Requested Qty]]-IPRF_Lines[[#This Row],[Picked Qty]])</f>
        <v/>
      </c>
      <c r="M164" s="18" t="str" cm="1">
        <f t="array" ref="M164">IF(
    OR(IPRF_Lines[[#This Row],[Item Description]]="",IPRF_Lines[[#This Row],[Requested Qty]]="",IPRF_Lines[[#This Row],[Unit]]=""),
    "",UPPER(IPRF_Header[Request number] &amp; "-" &amp; IPRF_Lines[[#This Row],[Line num]]))</f>
        <v/>
      </c>
      <c r="N164" s="19" t="str" cm="1">
        <f t="array" ref="N1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IF(OR(IPRF_Lines[[#This Row],[Requested Qty]]="",IPRF_Lines[[#This Row],[Picked Qty]]=""),"",IPRF_Lines[[#This Row],[Requested Qty]]-IPRF_Lines[[#This Row],[Picked Qty]])</f>
        <v/>
      </c>
      <c r="M165" s="18" t="str" cm="1">
        <f t="array" ref="M165">IF(
    OR(IPRF_Lines[[#This Row],[Item Description]]="",IPRF_Lines[[#This Row],[Requested Qty]]="",IPRF_Lines[[#This Row],[Unit]]=""),
    "",UPPER(IPRF_Header[Request number] &amp; "-" &amp; IPRF_Lines[[#This Row],[Line num]]))</f>
        <v/>
      </c>
      <c r="N165" s="19" t="str" cm="1">
        <f t="array" ref="N1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IF(OR(IPRF_Lines[[#This Row],[Requested Qty]]="",IPRF_Lines[[#This Row],[Picked Qty]]=""),"",IPRF_Lines[[#This Row],[Requested Qty]]-IPRF_Lines[[#This Row],[Picked Qty]])</f>
        <v/>
      </c>
      <c r="M166" s="18" t="str" cm="1">
        <f t="array" ref="M166">IF(
    OR(IPRF_Lines[[#This Row],[Item Description]]="",IPRF_Lines[[#This Row],[Requested Qty]]="",IPRF_Lines[[#This Row],[Unit]]=""),
    "",UPPER(IPRF_Header[Request number] &amp; "-" &amp; IPRF_Lines[[#This Row],[Line num]]))</f>
        <v/>
      </c>
      <c r="N166" s="19" t="str" cm="1">
        <f t="array" ref="N1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IF(OR(IPRF_Lines[[#This Row],[Requested Qty]]="",IPRF_Lines[[#This Row],[Picked Qty]]=""),"",IPRF_Lines[[#This Row],[Requested Qty]]-IPRF_Lines[[#This Row],[Picked Qty]])</f>
        <v/>
      </c>
      <c r="M167" s="18" t="str" cm="1">
        <f t="array" ref="M167">IF(
    OR(IPRF_Lines[[#This Row],[Item Description]]="",IPRF_Lines[[#This Row],[Requested Qty]]="",IPRF_Lines[[#This Row],[Unit]]=""),
    "",UPPER(IPRF_Header[Request number] &amp; "-" &amp; IPRF_Lines[[#This Row],[Line num]]))</f>
        <v/>
      </c>
      <c r="N167" s="19" t="str" cm="1">
        <f t="array" ref="N1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IF(OR(IPRF_Lines[[#This Row],[Requested Qty]]="",IPRF_Lines[[#This Row],[Picked Qty]]=""),"",IPRF_Lines[[#This Row],[Requested Qty]]-IPRF_Lines[[#This Row],[Picked Qty]])</f>
        <v/>
      </c>
      <c r="M168" s="18" t="str" cm="1">
        <f t="array" ref="M168">IF(
    OR(IPRF_Lines[[#This Row],[Item Description]]="",IPRF_Lines[[#This Row],[Requested Qty]]="",IPRF_Lines[[#This Row],[Unit]]=""),
    "",UPPER(IPRF_Header[Request number] &amp; "-" &amp; IPRF_Lines[[#This Row],[Line num]]))</f>
        <v/>
      </c>
      <c r="N168" s="19" t="str" cm="1">
        <f t="array" ref="N1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IF(OR(IPRF_Lines[[#This Row],[Requested Qty]]="",IPRF_Lines[[#This Row],[Picked Qty]]=""),"",IPRF_Lines[[#This Row],[Requested Qty]]-IPRF_Lines[[#This Row],[Picked Qty]])</f>
        <v/>
      </c>
      <c r="M169" s="18" t="str" cm="1">
        <f t="array" ref="M169">IF(
    OR(IPRF_Lines[[#This Row],[Item Description]]="",IPRF_Lines[[#This Row],[Requested Qty]]="",IPRF_Lines[[#This Row],[Unit]]=""),
    "",UPPER(IPRF_Header[Request number] &amp; "-" &amp; IPRF_Lines[[#This Row],[Line num]]))</f>
        <v/>
      </c>
      <c r="N169" s="19" t="str" cm="1">
        <f t="array" ref="N1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IF(OR(IPRF_Lines[[#This Row],[Requested Qty]]="",IPRF_Lines[[#This Row],[Picked Qty]]=""),"",IPRF_Lines[[#This Row],[Requested Qty]]-IPRF_Lines[[#This Row],[Picked Qty]])</f>
        <v/>
      </c>
      <c r="M170" s="18" t="str" cm="1">
        <f t="array" ref="M170">IF(
    OR(IPRF_Lines[[#This Row],[Item Description]]="",IPRF_Lines[[#This Row],[Requested Qty]]="",IPRF_Lines[[#This Row],[Unit]]=""),
    "",UPPER(IPRF_Header[Request number] &amp; "-" &amp; IPRF_Lines[[#This Row],[Line num]]))</f>
        <v/>
      </c>
      <c r="N170" s="19" t="str" cm="1">
        <f t="array" ref="N1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IF(OR(IPRF_Lines[[#This Row],[Requested Qty]]="",IPRF_Lines[[#This Row],[Picked Qty]]=""),"",IPRF_Lines[[#This Row],[Requested Qty]]-IPRF_Lines[[#This Row],[Picked Qty]])</f>
        <v/>
      </c>
      <c r="M171" s="18" t="str" cm="1">
        <f t="array" ref="M171">IF(
    OR(IPRF_Lines[[#This Row],[Item Description]]="",IPRF_Lines[[#This Row],[Requested Qty]]="",IPRF_Lines[[#This Row],[Unit]]=""),
    "",UPPER(IPRF_Header[Request number] &amp; "-" &amp; IPRF_Lines[[#This Row],[Line num]]))</f>
        <v/>
      </c>
      <c r="N171" s="19" t="str" cm="1">
        <f t="array" ref="N1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IF(OR(IPRF_Lines[[#This Row],[Requested Qty]]="",IPRF_Lines[[#This Row],[Picked Qty]]=""),"",IPRF_Lines[[#This Row],[Requested Qty]]-IPRF_Lines[[#This Row],[Picked Qty]])</f>
        <v/>
      </c>
      <c r="M172" s="18" t="str" cm="1">
        <f t="array" ref="M172">IF(
    OR(IPRF_Lines[[#This Row],[Item Description]]="",IPRF_Lines[[#This Row],[Requested Qty]]="",IPRF_Lines[[#This Row],[Unit]]=""),
    "",UPPER(IPRF_Header[Request number] &amp; "-" &amp; IPRF_Lines[[#This Row],[Line num]]))</f>
        <v/>
      </c>
      <c r="N172" s="19" t="str" cm="1">
        <f t="array" ref="N1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IF(OR(IPRF_Lines[[#This Row],[Requested Qty]]="",IPRF_Lines[[#This Row],[Picked Qty]]=""),"",IPRF_Lines[[#This Row],[Requested Qty]]-IPRF_Lines[[#This Row],[Picked Qty]])</f>
        <v/>
      </c>
      <c r="M173" s="18" t="str" cm="1">
        <f t="array" ref="M173">IF(
    OR(IPRF_Lines[[#This Row],[Item Description]]="",IPRF_Lines[[#This Row],[Requested Qty]]="",IPRF_Lines[[#This Row],[Unit]]=""),
    "",UPPER(IPRF_Header[Request number] &amp; "-" &amp; IPRF_Lines[[#This Row],[Line num]]))</f>
        <v/>
      </c>
      <c r="N173" s="19" t="str" cm="1">
        <f t="array" ref="N1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IF(OR(IPRF_Lines[[#This Row],[Requested Qty]]="",IPRF_Lines[[#This Row],[Picked Qty]]=""),"",IPRF_Lines[[#This Row],[Requested Qty]]-IPRF_Lines[[#This Row],[Picked Qty]])</f>
        <v/>
      </c>
      <c r="M174" s="18" t="str" cm="1">
        <f t="array" ref="M174">IF(
    OR(IPRF_Lines[[#This Row],[Item Description]]="",IPRF_Lines[[#This Row],[Requested Qty]]="",IPRF_Lines[[#This Row],[Unit]]=""),
    "",UPPER(IPRF_Header[Request number] &amp; "-" &amp; IPRF_Lines[[#This Row],[Line num]]))</f>
        <v/>
      </c>
      <c r="N174" s="19" t="str" cm="1">
        <f t="array" ref="N1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IF(OR(IPRF_Lines[[#This Row],[Requested Qty]]="",IPRF_Lines[[#This Row],[Picked Qty]]=""),"",IPRF_Lines[[#This Row],[Requested Qty]]-IPRF_Lines[[#This Row],[Picked Qty]])</f>
        <v/>
      </c>
      <c r="M175" s="18" t="str" cm="1">
        <f t="array" ref="M175">IF(
    OR(IPRF_Lines[[#This Row],[Item Description]]="",IPRF_Lines[[#This Row],[Requested Qty]]="",IPRF_Lines[[#This Row],[Unit]]=""),
    "",UPPER(IPRF_Header[Request number] &amp; "-" &amp; IPRF_Lines[[#This Row],[Line num]]))</f>
        <v/>
      </c>
      <c r="N175" s="19" t="str" cm="1">
        <f t="array" ref="N1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IF(OR(IPRF_Lines[[#This Row],[Requested Qty]]="",IPRF_Lines[[#This Row],[Picked Qty]]=""),"",IPRF_Lines[[#This Row],[Requested Qty]]-IPRF_Lines[[#This Row],[Picked Qty]])</f>
        <v/>
      </c>
      <c r="M176" s="18" t="str" cm="1">
        <f t="array" ref="M176">IF(
    OR(IPRF_Lines[[#This Row],[Item Description]]="",IPRF_Lines[[#This Row],[Requested Qty]]="",IPRF_Lines[[#This Row],[Unit]]=""),
    "",UPPER(IPRF_Header[Request number] &amp; "-" &amp; IPRF_Lines[[#This Row],[Line num]]))</f>
        <v/>
      </c>
      <c r="N176" s="19" t="str" cm="1">
        <f t="array" ref="N1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IF(OR(IPRF_Lines[[#This Row],[Requested Qty]]="",IPRF_Lines[[#This Row],[Picked Qty]]=""),"",IPRF_Lines[[#This Row],[Requested Qty]]-IPRF_Lines[[#This Row],[Picked Qty]])</f>
        <v/>
      </c>
      <c r="M177" s="18" t="str" cm="1">
        <f t="array" ref="M177">IF(
    OR(IPRF_Lines[[#This Row],[Item Description]]="",IPRF_Lines[[#This Row],[Requested Qty]]="",IPRF_Lines[[#This Row],[Unit]]=""),
    "",UPPER(IPRF_Header[Request number] &amp; "-" &amp; IPRF_Lines[[#This Row],[Line num]]))</f>
        <v/>
      </c>
      <c r="N177" s="19" t="str" cm="1">
        <f t="array" ref="N1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IF(OR(IPRF_Lines[[#This Row],[Requested Qty]]="",IPRF_Lines[[#This Row],[Picked Qty]]=""),"",IPRF_Lines[[#This Row],[Requested Qty]]-IPRF_Lines[[#This Row],[Picked Qty]])</f>
        <v/>
      </c>
      <c r="M178" s="18" t="str" cm="1">
        <f t="array" ref="M178">IF(
    OR(IPRF_Lines[[#This Row],[Item Description]]="",IPRF_Lines[[#This Row],[Requested Qty]]="",IPRF_Lines[[#This Row],[Unit]]=""),
    "",UPPER(IPRF_Header[Request number] &amp; "-" &amp; IPRF_Lines[[#This Row],[Line num]]))</f>
        <v/>
      </c>
      <c r="N178" s="19" t="str" cm="1">
        <f t="array" ref="N1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IF(OR(IPRF_Lines[[#This Row],[Requested Qty]]="",IPRF_Lines[[#This Row],[Picked Qty]]=""),"",IPRF_Lines[[#This Row],[Requested Qty]]-IPRF_Lines[[#This Row],[Picked Qty]])</f>
        <v/>
      </c>
      <c r="M179" s="18" t="str" cm="1">
        <f t="array" ref="M179">IF(
    OR(IPRF_Lines[[#This Row],[Item Description]]="",IPRF_Lines[[#This Row],[Requested Qty]]="",IPRF_Lines[[#This Row],[Unit]]=""),
    "",UPPER(IPRF_Header[Request number] &amp; "-" &amp; IPRF_Lines[[#This Row],[Line num]]))</f>
        <v/>
      </c>
      <c r="N179" s="19" t="str" cm="1">
        <f t="array" ref="N1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IF(OR(IPRF_Lines[[#This Row],[Requested Qty]]="",IPRF_Lines[[#This Row],[Picked Qty]]=""),"",IPRF_Lines[[#This Row],[Requested Qty]]-IPRF_Lines[[#This Row],[Picked Qty]])</f>
        <v/>
      </c>
      <c r="M180" s="18" t="str" cm="1">
        <f t="array" ref="M180">IF(
    OR(IPRF_Lines[[#This Row],[Item Description]]="",IPRF_Lines[[#This Row],[Requested Qty]]="",IPRF_Lines[[#This Row],[Unit]]=""),
    "",UPPER(IPRF_Header[Request number] &amp; "-" &amp; IPRF_Lines[[#This Row],[Line num]]))</f>
        <v/>
      </c>
      <c r="N180" s="19" t="str" cm="1">
        <f t="array" ref="N1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IF(OR(IPRF_Lines[[#This Row],[Requested Qty]]="",IPRF_Lines[[#This Row],[Picked Qty]]=""),"",IPRF_Lines[[#This Row],[Requested Qty]]-IPRF_Lines[[#This Row],[Picked Qty]])</f>
        <v/>
      </c>
      <c r="M181" s="18" t="str" cm="1">
        <f t="array" ref="M181">IF(
    OR(IPRF_Lines[[#This Row],[Item Description]]="",IPRF_Lines[[#This Row],[Requested Qty]]="",IPRF_Lines[[#This Row],[Unit]]=""),
    "",UPPER(IPRF_Header[Request number] &amp; "-" &amp; IPRF_Lines[[#This Row],[Line num]]))</f>
        <v/>
      </c>
      <c r="N181" s="19" t="str" cm="1">
        <f t="array" ref="N1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IF(OR(IPRF_Lines[[#This Row],[Requested Qty]]="",IPRF_Lines[[#This Row],[Picked Qty]]=""),"",IPRF_Lines[[#This Row],[Requested Qty]]-IPRF_Lines[[#This Row],[Picked Qty]])</f>
        <v/>
      </c>
      <c r="M182" s="18" t="str" cm="1">
        <f t="array" ref="M182">IF(
    OR(IPRF_Lines[[#This Row],[Item Description]]="",IPRF_Lines[[#This Row],[Requested Qty]]="",IPRF_Lines[[#This Row],[Unit]]=""),
    "",UPPER(IPRF_Header[Request number] &amp; "-" &amp; IPRF_Lines[[#This Row],[Line num]]))</f>
        <v/>
      </c>
      <c r="N182" s="19" t="str" cm="1">
        <f t="array" ref="N1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IF(OR(IPRF_Lines[[#This Row],[Requested Qty]]="",IPRF_Lines[[#This Row],[Picked Qty]]=""),"",IPRF_Lines[[#This Row],[Requested Qty]]-IPRF_Lines[[#This Row],[Picked Qty]])</f>
        <v/>
      </c>
      <c r="M183" s="18" t="str" cm="1">
        <f t="array" ref="M183">IF(
    OR(IPRF_Lines[[#This Row],[Item Description]]="",IPRF_Lines[[#This Row],[Requested Qty]]="",IPRF_Lines[[#This Row],[Unit]]=""),
    "",UPPER(IPRF_Header[Request number] &amp; "-" &amp; IPRF_Lines[[#This Row],[Line num]]))</f>
        <v/>
      </c>
      <c r="N183" s="19" t="str" cm="1">
        <f t="array" ref="N1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IF(OR(IPRF_Lines[[#This Row],[Requested Qty]]="",IPRF_Lines[[#This Row],[Picked Qty]]=""),"",IPRF_Lines[[#This Row],[Requested Qty]]-IPRF_Lines[[#This Row],[Picked Qty]])</f>
        <v/>
      </c>
      <c r="M184" s="18" t="str" cm="1">
        <f t="array" ref="M184">IF(
    OR(IPRF_Lines[[#This Row],[Item Description]]="",IPRF_Lines[[#This Row],[Requested Qty]]="",IPRF_Lines[[#This Row],[Unit]]=""),
    "",UPPER(IPRF_Header[Request number] &amp; "-" &amp; IPRF_Lines[[#This Row],[Line num]]))</f>
        <v/>
      </c>
      <c r="N184" s="19" t="str" cm="1">
        <f t="array" ref="N1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IF(OR(IPRF_Lines[[#This Row],[Requested Qty]]="",IPRF_Lines[[#This Row],[Picked Qty]]=""),"",IPRF_Lines[[#This Row],[Requested Qty]]-IPRF_Lines[[#This Row],[Picked Qty]])</f>
        <v/>
      </c>
      <c r="M185" s="18" t="str" cm="1">
        <f t="array" ref="M185">IF(
    OR(IPRF_Lines[[#This Row],[Item Description]]="",IPRF_Lines[[#This Row],[Requested Qty]]="",IPRF_Lines[[#This Row],[Unit]]=""),
    "",UPPER(IPRF_Header[Request number] &amp; "-" &amp; IPRF_Lines[[#This Row],[Line num]]))</f>
        <v/>
      </c>
      <c r="N185" s="19" t="str" cm="1">
        <f t="array" ref="N1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IF(OR(IPRF_Lines[[#This Row],[Requested Qty]]="",IPRF_Lines[[#This Row],[Picked Qty]]=""),"",IPRF_Lines[[#This Row],[Requested Qty]]-IPRF_Lines[[#This Row],[Picked Qty]])</f>
        <v/>
      </c>
      <c r="M186" s="18" t="str" cm="1">
        <f t="array" ref="M186">IF(
    OR(IPRF_Lines[[#This Row],[Item Description]]="",IPRF_Lines[[#This Row],[Requested Qty]]="",IPRF_Lines[[#This Row],[Unit]]=""),
    "",UPPER(IPRF_Header[Request number] &amp; "-" &amp; IPRF_Lines[[#This Row],[Line num]]))</f>
        <v/>
      </c>
      <c r="N186" s="19" t="str" cm="1">
        <f t="array" ref="N1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IF(OR(IPRF_Lines[[#This Row],[Requested Qty]]="",IPRF_Lines[[#This Row],[Picked Qty]]=""),"",IPRF_Lines[[#This Row],[Requested Qty]]-IPRF_Lines[[#This Row],[Picked Qty]])</f>
        <v/>
      </c>
      <c r="M187" s="18" t="str" cm="1">
        <f t="array" ref="M187">IF(
    OR(IPRF_Lines[[#This Row],[Item Description]]="",IPRF_Lines[[#This Row],[Requested Qty]]="",IPRF_Lines[[#This Row],[Unit]]=""),
    "",UPPER(IPRF_Header[Request number] &amp; "-" &amp; IPRF_Lines[[#This Row],[Line num]]))</f>
        <v/>
      </c>
      <c r="N187" s="19" t="str" cm="1">
        <f t="array" ref="N1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IF(OR(IPRF_Lines[[#This Row],[Requested Qty]]="",IPRF_Lines[[#This Row],[Picked Qty]]=""),"",IPRF_Lines[[#This Row],[Requested Qty]]-IPRF_Lines[[#This Row],[Picked Qty]])</f>
        <v/>
      </c>
      <c r="M188" s="18" t="str" cm="1">
        <f t="array" ref="M188">IF(
    OR(IPRF_Lines[[#This Row],[Item Description]]="",IPRF_Lines[[#This Row],[Requested Qty]]="",IPRF_Lines[[#This Row],[Unit]]=""),
    "",UPPER(IPRF_Header[Request number] &amp; "-" &amp; IPRF_Lines[[#This Row],[Line num]]))</f>
        <v/>
      </c>
      <c r="N188" s="19" t="str" cm="1">
        <f t="array" ref="N1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IF(OR(IPRF_Lines[[#This Row],[Requested Qty]]="",IPRF_Lines[[#This Row],[Picked Qty]]=""),"",IPRF_Lines[[#This Row],[Requested Qty]]-IPRF_Lines[[#This Row],[Picked Qty]])</f>
        <v/>
      </c>
      <c r="M189" s="18" t="str" cm="1">
        <f t="array" ref="M189">IF(
    OR(IPRF_Lines[[#This Row],[Item Description]]="",IPRF_Lines[[#This Row],[Requested Qty]]="",IPRF_Lines[[#This Row],[Unit]]=""),
    "",UPPER(IPRF_Header[Request number] &amp; "-" &amp; IPRF_Lines[[#This Row],[Line num]]))</f>
        <v/>
      </c>
      <c r="N189" s="19" t="str" cm="1">
        <f t="array" ref="N1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IF(OR(IPRF_Lines[[#This Row],[Requested Qty]]="",IPRF_Lines[[#This Row],[Picked Qty]]=""),"",IPRF_Lines[[#This Row],[Requested Qty]]-IPRF_Lines[[#This Row],[Picked Qty]])</f>
        <v/>
      </c>
      <c r="M190" s="18" t="str" cm="1">
        <f t="array" ref="M190">IF(
    OR(IPRF_Lines[[#This Row],[Item Description]]="",IPRF_Lines[[#This Row],[Requested Qty]]="",IPRF_Lines[[#This Row],[Unit]]=""),
    "",UPPER(IPRF_Header[Request number] &amp; "-" &amp; IPRF_Lines[[#This Row],[Line num]]))</f>
        <v/>
      </c>
      <c r="N190" s="19" t="str" cm="1">
        <f t="array" ref="N1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IF(OR(IPRF_Lines[[#This Row],[Requested Qty]]="",IPRF_Lines[[#This Row],[Picked Qty]]=""),"",IPRF_Lines[[#This Row],[Requested Qty]]-IPRF_Lines[[#This Row],[Picked Qty]])</f>
        <v/>
      </c>
      <c r="M191" s="18" t="str" cm="1">
        <f t="array" ref="M191">IF(
    OR(IPRF_Lines[[#This Row],[Item Description]]="",IPRF_Lines[[#This Row],[Requested Qty]]="",IPRF_Lines[[#This Row],[Unit]]=""),
    "",UPPER(IPRF_Header[Request number] &amp; "-" &amp; IPRF_Lines[[#This Row],[Line num]]))</f>
        <v/>
      </c>
      <c r="N191" s="19" t="str" cm="1">
        <f t="array" ref="N1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IF(OR(IPRF_Lines[[#This Row],[Requested Qty]]="",IPRF_Lines[[#This Row],[Picked Qty]]=""),"",IPRF_Lines[[#This Row],[Requested Qty]]-IPRF_Lines[[#This Row],[Picked Qty]])</f>
        <v/>
      </c>
      <c r="M192" s="18" t="str" cm="1">
        <f t="array" ref="M192">IF(
    OR(IPRF_Lines[[#This Row],[Item Description]]="",IPRF_Lines[[#This Row],[Requested Qty]]="",IPRF_Lines[[#This Row],[Unit]]=""),
    "",UPPER(IPRF_Header[Request number] &amp; "-" &amp; IPRF_Lines[[#This Row],[Line num]]))</f>
        <v/>
      </c>
      <c r="N192" s="19" t="str" cm="1">
        <f t="array" ref="N1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IF(OR(IPRF_Lines[[#This Row],[Requested Qty]]="",IPRF_Lines[[#This Row],[Picked Qty]]=""),"",IPRF_Lines[[#This Row],[Requested Qty]]-IPRF_Lines[[#This Row],[Picked Qty]])</f>
        <v/>
      </c>
      <c r="M193" s="18" t="str" cm="1">
        <f t="array" ref="M193">IF(
    OR(IPRF_Lines[[#This Row],[Item Description]]="",IPRF_Lines[[#This Row],[Requested Qty]]="",IPRF_Lines[[#This Row],[Unit]]=""),
    "",UPPER(IPRF_Header[Request number] &amp; "-" &amp; IPRF_Lines[[#This Row],[Line num]]))</f>
        <v/>
      </c>
      <c r="N193" s="19" t="str" cm="1">
        <f t="array" ref="N1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IF(OR(IPRF_Lines[[#This Row],[Requested Qty]]="",IPRF_Lines[[#This Row],[Picked Qty]]=""),"",IPRF_Lines[[#This Row],[Requested Qty]]-IPRF_Lines[[#This Row],[Picked Qty]])</f>
        <v/>
      </c>
      <c r="M194" s="18" t="str" cm="1">
        <f t="array" ref="M194">IF(
    OR(IPRF_Lines[[#This Row],[Item Description]]="",IPRF_Lines[[#This Row],[Requested Qty]]="",IPRF_Lines[[#This Row],[Unit]]=""),
    "",UPPER(IPRF_Header[Request number] &amp; "-" &amp; IPRF_Lines[[#This Row],[Line num]]))</f>
        <v/>
      </c>
      <c r="N194" s="19" t="str" cm="1">
        <f t="array" ref="N1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IF(OR(IPRF_Lines[[#This Row],[Requested Qty]]="",IPRF_Lines[[#This Row],[Picked Qty]]=""),"",IPRF_Lines[[#This Row],[Requested Qty]]-IPRF_Lines[[#This Row],[Picked Qty]])</f>
        <v/>
      </c>
      <c r="M195" s="18" t="str" cm="1">
        <f t="array" ref="M195">IF(
    OR(IPRF_Lines[[#This Row],[Item Description]]="",IPRF_Lines[[#This Row],[Requested Qty]]="",IPRF_Lines[[#This Row],[Unit]]=""),
    "",UPPER(IPRF_Header[Request number] &amp; "-" &amp; IPRF_Lines[[#This Row],[Line num]]))</f>
        <v/>
      </c>
      <c r="N195" s="19" t="str" cm="1">
        <f t="array" ref="N1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IF(OR(IPRF_Lines[[#This Row],[Requested Qty]]="",IPRF_Lines[[#This Row],[Picked Qty]]=""),"",IPRF_Lines[[#This Row],[Requested Qty]]-IPRF_Lines[[#This Row],[Picked Qty]])</f>
        <v/>
      </c>
      <c r="M196" s="18" t="str" cm="1">
        <f t="array" ref="M196">IF(
    OR(IPRF_Lines[[#This Row],[Item Description]]="",IPRF_Lines[[#This Row],[Requested Qty]]="",IPRF_Lines[[#This Row],[Unit]]=""),
    "",UPPER(IPRF_Header[Request number] &amp; "-" &amp; IPRF_Lines[[#This Row],[Line num]]))</f>
        <v/>
      </c>
      <c r="N196" s="19" t="str" cm="1">
        <f t="array" ref="N1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IF(OR(IPRF_Lines[[#This Row],[Requested Qty]]="",IPRF_Lines[[#This Row],[Picked Qty]]=""),"",IPRF_Lines[[#This Row],[Requested Qty]]-IPRF_Lines[[#This Row],[Picked Qty]])</f>
        <v/>
      </c>
      <c r="M197" s="18" t="str" cm="1">
        <f t="array" ref="M197">IF(
    OR(IPRF_Lines[[#This Row],[Item Description]]="",IPRF_Lines[[#This Row],[Requested Qty]]="",IPRF_Lines[[#This Row],[Unit]]=""),
    "",UPPER(IPRF_Header[Request number] &amp; "-" &amp; IPRF_Lines[[#This Row],[Line num]]))</f>
        <v/>
      </c>
      <c r="N197" s="19" t="str" cm="1">
        <f t="array" ref="N1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IF(OR(IPRF_Lines[[#This Row],[Requested Qty]]="",IPRF_Lines[[#This Row],[Picked Qty]]=""),"",IPRF_Lines[[#This Row],[Requested Qty]]-IPRF_Lines[[#This Row],[Picked Qty]])</f>
        <v/>
      </c>
      <c r="M198" s="18" t="str" cm="1">
        <f t="array" ref="M198">IF(
    OR(IPRF_Lines[[#This Row],[Item Description]]="",IPRF_Lines[[#This Row],[Requested Qty]]="",IPRF_Lines[[#This Row],[Unit]]=""),
    "",UPPER(IPRF_Header[Request number] &amp; "-" &amp; IPRF_Lines[[#This Row],[Line num]]))</f>
        <v/>
      </c>
      <c r="N198" s="19" t="str" cm="1">
        <f t="array" ref="N1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IF(OR(IPRF_Lines[[#This Row],[Requested Qty]]="",IPRF_Lines[[#This Row],[Picked Qty]]=""),"",IPRF_Lines[[#This Row],[Requested Qty]]-IPRF_Lines[[#This Row],[Picked Qty]])</f>
        <v/>
      </c>
      <c r="M199" s="18" t="str" cm="1">
        <f t="array" ref="M199">IF(
    OR(IPRF_Lines[[#This Row],[Item Description]]="",IPRF_Lines[[#This Row],[Requested Qty]]="",IPRF_Lines[[#This Row],[Unit]]=""),
    "",UPPER(IPRF_Header[Request number] &amp; "-" &amp; IPRF_Lines[[#This Row],[Line num]]))</f>
        <v/>
      </c>
      <c r="N199" s="19" t="str" cm="1">
        <f t="array" ref="N1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IF(OR(IPRF_Lines[[#This Row],[Requested Qty]]="",IPRF_Lines[[#This Row],[Picked Qty]]=""),"",IPRF_Lines[[#This Row],[Requested Qty]]-IPRF_Lines[[#This Row],[Picked Qty]])</f>
        <v/>
      </c>
      <c r="M200" s="18" t="str" cm="1">
        <f t="array" ref="M200">IF(
    OR(IPRF_Lines[[#This Row],[Item Description]]="",IPRF_Lines[[#This Row],[Requested Qty]]="",IPRF_Lines[[#This Row],[Unit]]=""),
    "",UPPER(IPRF_Header[Request number] &amp; "-" &amp; IPRF_Lines[[#This Row],[Line num]]))</f>
        <v/>
      </c>
      <c r="N200" s="19" t="str" cm="1">
        <f t="array" ref="N2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IF(OR(IPRF_Lines[[#This Row],[Requested Qty]]="",IPRF_Lines[[#This Row],[Picked Qty]]=""),"",IPRF_Lines[[#This Row],[Requested Qty]]-IPRF_Lines[[#This Row],[Picked Qty]])</f>
        <v/>
      </c>
      <c r="M201" s="18" t="str" cm="1">
        <f t="array" ref="M201">IF(
    OR(IPRF_Lines[[#This Row],[Item Description]]="",IPRF_Lines[[#This Row],[Requested Qty]]="",IPRF_Lines[[#This Row],[Unit]]=""),
    "",UPPER(IPRF_Header[Request number] &amp; "-" &amp; IPRF_Lines[[#This Row],[Line num]]))</f>
        <v/>
      </c>
      <c r="N201" s="19" t="str" cm="1">
        <f t="array" ref="N2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IF(OR(IPRF_Lines[[#This Row],[Requested Qty]]="",IPRF_Lines[[#This Row],[Picked Qty]]=""),"",IPRF_Lines[[#This Row],[Requested Qty]]-IPRF_Lines[[#This Row],[Picked Qty]])</f>
        <v/>
      </c>
      <c r="M202" s="18" t="str" cm="1">
        <f t="array" ref="M202">IF(
    OR(IPRF_Lines[[#This Row],[Item Description]]="",IPRF_Lines[[#This Row],[Requested Qty]]="",IPRF_Lines[[#This Row],[Unit]]=""),
    "",UPPER(IPRF_Header[Request number] &amp; "-" &amp; IPRF_Lines[[#This Row],[Line num]]))</f>
        <v/>
      </c>
      <c r="N202" s="19" t="str" cm="1">
        <f t="array" ref="N2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IF(OR(IPRF_Lines[[#This Row],[Requested Qty]]="",IPRF_Lines[[#This Row],[Picked Qty]]=""),"",IPRF_Lines[[#This Row],[Requested Qty]]-IPRF_Lines[[#This Row],[Picked Qty]])</f>
        <v/>
      </c>
      <c r="M203" s="18" t="str" cm="1">
        <f t="array" ref="M203">IF(
    OR(IPRF_Lines[[#This Row],[Item Description]]="",IPRF_Lines[[#This Row],[Requested Qty]]="",IPRF_Lines[[#This Row],[Unit]]=""),
    "",UPPER(IPRF_Header[Request number] &amp; "-" &amp; IPRF_Lines[[#This Row],[Line num]]))</f>
        <v/>
      </c>
      <c r="N203" s="19" t="str" cm="1">
        <f t="array" ref="N2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IF(OR(IPRF_Lines[[#This Row],[Requested Qty]]="",IPRF_Lines[[#This Row],[Picked Qty]]=""),"",IPRF_Lines[[#This Row],[Requested Qty]]-IPRF_Lines[[#This Row],[Picked Qty]])</f>
        <v/>
      </c>
      <c r="M204" s="18" t="str" cm="1">
        <f t="array" ref="M204">IF(
    OR(IPRF_Lines[[#This Row],[Item Description]]="",IPRF_Lines[[#This Row],[Requested Qty]]="",IPRF_Lines[[#This Row],[Unit]]=""),
    "",UPPER(IPRF_Header[Request number] &amp; "-" &amp; IPRF_Lines[[#This Row],[Line num]]))</f>
        <v/>
      </c>
      <c r="N204" s="19" t="str" cm="1">
        <f t="array" ref="N2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IF(OR(IPRF_Lines[[#This Row],[Requested Qty]]="",IPRF_Lines[[#This Row],[Picked Qty]]=""),"",IPRF_Lines[[#This Row],[Requested Qty]]-IPRF_Lines[[#This Row],[Picked Qty]])</f>
        <v/>
      </c>
      <c r="M205" s="18" t="str" cm="1">
        <f t="array" ref="M205">IF(
    OR(IPRF_Lines[[#This Row],[Item Description]]="",IPRF_Lines[[#This Row],[Requested Qty]]="",IPRF_Lines[[#This Row],[Unit]]=""),
    "",UPPER(IPRF_Header[Request number] &amp; "-" &amp; IPRF_Lines[[#This Row],[Line num]]))</f>
        <v/>
      </c>
      <c r="N205" s="19" t="str" cm="1">
        <f t="array" ref="N2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IF(OR(IPRF_Lines[[#This Row],[Requested Qty]]="",IPRF_Lines[[#This Row],[Picked Qty]]=""),"",IPRF_Lines[[#This Row],[Requested Qty]]-IPRF_Lines[[#This Row],[Picked Qty]])</f>
        <v/>
      </c>
      <c r="M206" s="18" t="str" cm="1">
        <f t="array" ref="M206">IF(
    OR(IPRF_Lines[[#This Row],[Item Description]]="",IPRF_Lines[[#This Row],[Requested Qty]]="",IPRF_Lines[[#This Row],[Unit]]=""),
    "",UPPER(IPRF_Header[Request number] &amp; "-" &amp; IPRF_Lines[[#This Row],[Line num]]))</f>
        <v/>
      </c>
      <c r="N206" s="19" t="str" cm="1">
        <f t="array" ref="N2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IF(OR(IPRF_Lines[[#This Row],[Requested Qty]]="",IPRF_Lines[[#This Row],[Picked Qty]]=""),"",IPRF_Lines[[#This Row],[Requested Qty]]-IPRF_Lines[[#This Row],[Picked Qty]])</f>
        <v/>
      </c>
      <c r="M207" s="18" t="str" cm="1">
        <f t="array" ref="M207">IF(
    OR(IPRF_Lines[[#This Row],[Item Description]]="",IPRF_Lines[[#This Row],[Requested Qty]]="",IPRF_Lines[[#This Row],[Unit]]=""),
    "",UPPER(IPRF_Header[Request number] &amp; "-" &amp; IPRF_Lines[[#This Row],[Line num]]))</f>
        <v/>
      </c>
      <c r="N207" s="19" t="str" cm="1">
        <f t="array" ref="N2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IF(OR(IPRF_Lines[[#This Row],[Requested Qty]]="",IPRF_Lines[[#This Row],[Picked Qty]]=""),"",IPRF_Lines[[#This Row],[Requested Qty]]-IPRF_Lines[[#This Row],[Picked Qty]])</f>
        <v/>
      </c>
      <c r="M208" s="18" t="str" cm="1">
        <f t="array" ref="M208">IF(
    OR(IPRF_Lines[[#This Row],[Item Description]]="",IPRF_Lines[[#This Row],[Requested Qty]]="",IPRF_Lines[[#This Row],[Unit]]=""),
    "",UPPER(IPRF_Header[Request number] &amp; "-" &amp; IPRF_Lines[[#This Row],[Line num]]))</f>
        <v/>
      </c>
      <c r="N208" s="19" t="str" cm="1">
        <f t="array" ref="N2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IF(OR(IPRF_Lines[[#This Row],[Requested Qty]]="",IPRF_Lines[[#This Row],[Picked Qty]]=""),"",IPRF_Lines[[#This Row],[Requested Qty]]-IPRF_Lines[[#This Row],[Picked Qty]])</f>
        <v/>
      </c>
      <c r="M209" s="18" t="str" cm="1">
        <f t="array" ref="M209">IF(
    OR(IPRF_Lines[[#This Row],[Item Description]]="",IPRF_Lines[[#This Row],[Requested Qty]]="",IPRF_Lines[[#This Row],[Unit]]=""),
    "",UPPER(IPRF_Header[Request number] &amp; "-" &amp; IPRF_Lines[[#This Row],[Line num]]))</f>
        <v/>
      </c>
      <c r="N209" s="19" t="str" cm="1">
        <f t="array" ref="N2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IF(OR(IPRF_Lines[[#This Row],[Requested Qty]]="",IPRF_Lines[[#This Row],[Picked Qty]]=""),"",IPRF_Lines[[#This Row],[Requested Qty]]-IPRF_Lines[[#This Row],[Picked Qty]])</f>
        <v/>
      </c>
      <c r="M210" s="18" t="str" cm="1">
        <f t="array" ref="M210">IF(
    OR(IPRF_Lines[[#This Row],[Item Description]]="",IPRF_Lines[[#This Row],[Requested Qty]]="",IPRF_Lines[[#This Row],[Unit]]=""),
    "",UPPER(IPRF_Header[Request number] &amp; "-" &amp; IPRF_Lines[[#This Row],[Line num]]))</f>
        <v/>
      </c>
      <c r="N210" s="19" t="str" cm="1">
        <f t="array" ref="N2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IF(OR(IPRF_Lines[[#This Row],[Requested Qty]]="",IPRF_Lines[[#This Row],[Picked Qty]]=""),"",IPRF_Lines[[#This Row],[Requested Qty]]-IPRF_Lines[[#This Row],[Picked Qty]])</f>
        <v/>
      </c>
      <c r="M211" s="18" t="str" cm="1">
        <f t="array" ref="M211">IF(
    OR(IPRF_Lines[[#This Row],[Item Description]]="",IPRF_Lines[[#This Row],[Requested Qty]]="",IPRF_Lines[[#This Row],[Unit]]=""),
    "",UPPER(IPRF_Header[Request number] &amp; "-" &amp; IPRF_Lines[[#This Row],[Line num]]))</f>
        <v/>
      </c>
      <c r="N211" s="19" t="str" cm="1">
        <f t="array" ref="N2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IF(OR(IPRF_Lines[[#This Row],[Requested Qty]]="",IPRF_Lines[[#This Row],[Picked Qty]]=""),"",IPRF_Lines[[#This Row],[Requested Qty]]-IPRF_Lines[[#This Row],[Picked Qty]])</f>
        <v/>
      </c>
      <c r="M212" s="18" t="str" cm="1">
        <f t="array" ref="M212">IF(
    OR(IPRF_Lines[[#This Row],[Item Description]]="",IPRF_Lines[[#This Row],[Requested Qty]]="",IPRF_Lines[[#This Row],[Unit]]=""),
    "",UPPER(IPRF_Header[Request number] &amp; "-" &amp; IPRF_Lines[[#This Row],[Line num]]))</f>
        <v/>
      </c>
      <c r="N212" s="19" t="str" cm="1">
        <f t="array" ref="N2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IF(OR(IPRF_Lines[[#This Row],[Requested Qty]]="",IPRF_Lines[[#This Row],[Picked Qty]]=""),"",IPRF_Lines[[#This Row],[Requested Qty]]-IPRF_Lines[[#This Row],[Picked Qty]])</f>
        <v/>
      </c>
      <c r="M213" s="18" t="str" cm="1">
        <f t="array" ref="M213">IF(
    OR(IPRF_Lines[[#This Row],[Item Description]]="",IPRF_Lines[[#This Row],[Requested Qty]]="",IPRF_Lines[[#This Row],[Unit]]=""),
    "",UPPER(IPRF_Header[Request number] &amp; "-" &amp; IPRF_Lines[[#This Row],[Line num]]))</f>
        <v/>
      </c>
      <c r="N213" s="19" t="str" cm="1">
        <f t="array" ref="N2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IF(OR(IPRF_Lines[[#This Row],[Requested Qty]]="",IPRF_Lines[[#This Row],[Picked Qty]]=""),"",IPRF_Lines[[#This Row],[Requested Qty]]-IPRF_Lines[[#This Row],[Picked Qty]])</f>
        <v/>
      </c>
      <c r="M214" s="18" t="str" cm="1">
        <f t="array" ref="M214">IF(
    OR(IPRF_Lines[[#This Row],[Item Description]]="",IPRF_Lines[[#This Row],[Requested Qty]]="",IPRF_Lines[[#This Row],[Unit]]=""),
    "",UPPER(IPRF_Header[Request number] &amp; "-" &amp; IPRF_Lines[[#This Row],[Line num]]))</f>
        <v/>
      </c>
      <c r="N214" s="19" t="str" cm="1">
        <f t="array" ref="N2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IF(OR(IPRF_Lines[[#This Row],[Requested Qty]]="",IPRF_Lines[[#This Row],[Picked Qty]]=""),"",IPRF_Lines[[#This Row],[Requested Qty]]-IPRF_Lines[[#This Row],[Picked Qty]])</f>
        <v/>
      </c>
      <c r="M215" s="18" t="str" cm="1">
        <f t="array" ref="M215">IF(
    OR(IPRF_Lines[[#This Row],[Item Description]]="",IPRF_Lines[[#This Row],[Requested Qty]]="",IPRF_Lines[[#This Row],[Unit]]=""),
    "",UPPER(IPRF_Header[Request number] &amp; "-" &amp; IPRF_Lines[[#This Row],[Line num]]))</f>
        <v/>
      </c>
      <c r="N215" s="19" t="str" cm="1">
        <f t="array" ref="N2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IF(OR(IPRF_Lines[[#This Row],[Requested Qty]]="",IPRF_Lines[[#This Row],[Picked Qty]]=""),"",IPRF_Lines[[#This Row],[Requested Qty]]-IPRF_Lines[[#This Row],[Picked Qty]])</f>
        <v/>
      </c>
      <c r="M216" s="18" t="str" cm="1">
        <f t="array" ref="M216">IF(
    OR(IPRF_Lines[[#This Row],[Item Description]]="",IPRF_Lines[[#This Row],[Requested Qty]]="",IPRF_Lines[[#This Row],[Unit]]=""),
    "",UPPER(IPRF_Header[Request number] &amp; "-" &amp; IPRF_Lines[[#This Row],[Line num]]))</f>
        <v/>
      </c>
      <c r="N216" s="19" t="str" cm="1">
        <f t="array" ref="N2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IF(OR(IPRF_Lines[[#This Row],[Requested Qty]]="",IPRF_Lines[[#This Row],[Picked Qty]]=""),"",IPRF_Lines[[#This Row],[Requested Qty]]-IPRF_Lines[[#This Row],[Picked Qty]])</f>
        <v/>
      </c>
      <c r="M217" s="18" t="str" cm="1">
        <f t="array" ref="M217">IF(
    OR(IPRF_Lines[[#This Row],[Item Description]]="",IPRF_Lines[[#This Row],[Requested Qty]]="",IPRF_Lines[[#This Row],[Unit]]=""),
    "",UPPER(IPRF_Header[Request number] &amp; "-" &amp; IPRF_Lines[[#This Row],[Line num]]))</f>
        <v/>
      </c>
      <c r="N217" s="19" t="str" cm="1">
        <f t="array" ref="N2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IF(OR(IPRF_Lines[[#This Row],[Requested Qty]]="",IPRF_Lines[[#This Row],[Picked Qty]]=""),"",IPRF_Lines[[#This Row],[Requested Qty]]-IPRF_Lines[[#This Row],[Picked Qty]])</f>
        <v/>
      </c>
      <c r="M218" s="18" t="str" cm="1">
        <f t="array" ref="M218">IF(
    OR(IPRF_Lines[[#This Row],[Item Description]]="",IPRF_Lines[[#This Row],[Requested Qty]]="",IPRF_Lines[[#This Row],[Unit]]=""),
    "",UPPER(IPRF_Header[Request number] &amp; "-" &amp; IPRF_Lines[[#This Row],[Line num]]))</f>
        <v/>
      </c>
      <c r="N218" s="19" t="str" cm="1">
        <f t="array" ref="N2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IF(OR(IPRF_Lines[[#This Row],[Requested Qty]]="",IPRF_Lines[[#This Row],[Picked Qty]]=""),"",IPRF_Lines[[#This Row],[Requested Qty]]-IPRF_Lines[[#This Row],[Picked Qty]])</f>
        <v/>
      </c>
      <c r="M219" s="18" t="str" cm="1">
        <f t="array" ref="M219">IF(
    OR(IPRF_Lines[[#This Row],[Item Description]]="",IPRF_Lines[[#This Row],[Requested Qty]]="",IPRF_Lines[[#This Row],[Unit]]=""),
    "",UPPER(IPRF_Header[Request number] &amp; "-" &amp; IPRF_Lines[[#This Row],[Line num]]))</f>
        <v/>
      </c>
      <c r="N219" s="19" t="str" cm="1">
        <f t="array" ref="N2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IF(OR(IPRF_Lines[[#This Row],[Requested Qty]]="",IPRF_Lines[[#This Row],[Picked Qty]]=""),"",IPRF_Lines[[#This Row],[Requested Qty]]-IPRF_Lines[[#This Row],[Picked Qty]])</f>
        <v/>
      </c>
      <c r="M220" s="18" t="str" cm="1">
        <f t="array" ref="M220">IF(
    OR(IPRF_Lines[[#This Row],[Item Description]]="",IPRF_Lines[[#This Row],[Requested Qty]]="",IPRF_Lines[[#This Row],[Unit]]=""),
    "",UPPER(IPRF_Header[Request number] &amp; "-" &amp; IPRF_Lines[[#This Row],[Line num]]))</f>
        <v/>
      </c>
      <c r="N220" s="19" t="str" cm="1">
        <f t="array" ref="N2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IF(OR(IPRF_Lines[[#This Row],[Requested Qty]]="",IPRF_Lines[[#This Row],[Picked Qty]]=""),"",IPRF_Lines[[#This Row],[Requested Qty]]-IPRF_Lines[[#This Row],[Picked Qty]])</f>
        <v/>
      </c>
      <c r="M221" s="18" t="str" cm="1">
        <f t="array" ref="M221">IF(
    OR(IPRF_Lines[[#This Row],[Item Description]]="",IPRF_Lines[[#This Row],[Requested Qty]]="",IPRF_Lines[[#This Row],[Unit]]=""),
    "",UPPER(IPRF_Header[Request number] &amp; "-" &amp; IPRF_Lines[[#This Row],[Line num]]))</f>
        <v/>
      </c>
      <c r="N221" s="19" t="str" cm="1">
        <f t="array" ref="N2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IF(OR(IPRF_Lines[[#This Row],[Requested Qty]]="",IPRF_Lines[[#This Row],[Picked Qty]]=""),"",IPRF_Lines[[#This Row],[Requested Qty]]-IPRF_Lines[[#This Row],[Picked Qty]])</f>
        <v/>
      </c>
      <c r="M222" s="18" t="str" cm="1">
        <f t="array" ref="M222">IF(
    OR(IPRF_Lines[[#This Row],[Item Description]]="",IPRF_Lines[[#This Row],[Requested Qty]]="",IPRF_Lines[[#This Row],[Unit]]=""),
    "",UPPER(IPRF_Header[Request number] &amp; "-" &amp; IPRF_Lines[[#This Row],[Line num]]))</f>
        <v/>
      </c>
      <c r="N222" s="19" t="str" cm="1">
        <f t="array" ref="N2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IF(OR(IPRF_Lines[[#This Row],[Requested Qty]]="",IPRF_Lines[[#This Row],[Picked Qty]]=""),"",IPRF_Lines[[#This Row],[Requested Qty]]-IPRF_Lines[[#This Row],[Picked Qty]])</f>
        <v/>
      </c>
      <c r="M223" s="18" t="str" cm="1">
        <f t="array" ref="M223">IF(
    OR(IPRF_Lines[[#This Row],[Item Description]]="",IPRF_Lines[[#This Row],[Requested Qty]]="",IPRF_Lines[[#This Row],[Unit]]=""),
    "",UPPER(IPRF_Header[Request number] &amp; "-" &amp; IPRF_Lines[[#This Row],[Line num]]))</f>
        <v/>
      </c>
      <c r="N223" s="19" t="str" cm="1">
        <f t="array" ref="N2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IF(OR(IPRF_Lines[[#This Row],[Requested Qty]]="",IPRF_Lines[[#This Row],[Picked Qty]]=""),"",IPRF_Lines[[#This Row],[Requested Qty]]-IPRF_Lines[[#This Row],[Picked Qty]])</f>
        <v/>
      </c>
      <c r="M224" s="18" t="str" cm="1">
        <f t="array" ref="M224">IF(
    OR(IPRF_Lines[[#This Row],[Item Description]]="",IPRF_Lines[[#This Row],[Requested Qty]]="",IPRF_Lines[[#This Row],[Unit]]=""),
    "",UPPER(IPRF_Header[Request number] &amp; "-" &amp; IPRF_Lines[[#This Row],[Line num]]))</f>
        <v/>
      </c>
      <c r="N224" s="19" t="str" cm="1">
        <f t="array" ref="N2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IF(OR(IPRF_Lines[[#This Row],[Requested Qty]]="",IPRF_Lines[[#This Row],[Picked Qty]]=""),"",IPRF_Lines[[#This Row],[Requested Qty]]-IPRF_Lines[[#This Row],[Picked Qty]])</f>
        <v/>
      </c>
      <c r="M225" s="18" t="str" cm="1">
        <f t="array" ref="M225">IF(
    OR(IPRF_Lines[[#This Row],[Item Description]]="",IPRF_Lines[[#This Row],[Requested Qty]]="",IPRF_Lines[[#This Row],[Unit]]=""),
    "",UPPER(IPRF_Header[Request number] &amp; "-" &amp; IPRF_Lines[[#This Row],[Line num]]))</f>
        <v/>
      </c>
      <c r="N225" s="19" t="str" cm="1">
        <f t="array" ref="N2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IF(OR(IPRF_Lines[[#This Row],[Requested Qty]]="",IPRF_Lines[[#This Row],[Picked Qty]]=""),"",IPRF_Lines[[#This Row],[Requested Qty]]-IPRF_Lines[[#This Row],[Picked Qty]])</f>
        <v/>
      </c>
      <c r="M226" s="18" t="str" cm="1">
        <f t="array" ref="M226">IF(
    OR(IPRF_Lines[[#This Row],[Item Description]]="",IPRF_Lines[[#This Row],[Requested Qty]]="",IPRF_Lines[[#This Row],[Unit]]=""),
    "",UPPER(IPRF_Header[Request number] &amp; "-" &amp; IPRF_Lines[[#This Row],[Line num]]))</f>
        <v/>
      </c>
      <c r="N226" s="19" t="str" cm="1">
        <f t="array" ref="N2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IF(OR(IPRF_Lines[[#This Row],[Requested Qty]]="",IPRF_Lines[[#This Row],[Picked Qty]]=""),"",IPRF_Lines[[#This Row],[Requested Qty]]-IPRF_Lines[[#This Row],[Picked Qty]])</f>
        <v/>
      </c>
      <c r="M227" s="18" t="str" cm="1">
        <f t="array" ref="M227">IF(
    OR(IPRF_Lines[[#This Row],[Item Description]]="",IPRF_Lines[[#This Row],[Requested Qty]]="",IPRF_Lines[[#This Row],[Unit]]=""),
    "",UPPER(IPRF_Header[Request number] &amp; "-" &amp; IPRF_Lines[[#This Row],[Line num]]))</f>
        <v/>
      </c>
      <c r="N227" s="19" t="str" cm="1">
        <f t="array" ref="N2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IF(OR(IPRF_Lines[[#This Row],[Requested Qty]]="",IPRF_Lines[[#This Row],[Picked Qty]]=""),"",IPRF_Lines[[#This Row],[Requested Qty]]-IPRF_Lines[[#This Row],[Picked Qty]])</f>
        <v/>
      </c>
      <c r="M228" s="18" t="str" cm="1">
        <f t="array" ref="M228">IF(
    OR(IPRF_Lines[[#This Row],[Item Description]]="",IPRF_Lines[[#This Row],[Requested Qty]]="",IPRF_Lines[[#This Row],[Unit]]=""),
    "",UPPER(IPRF_Header[Request number] &amp; "-" &amp; IPRF_Lines[[#This Row],[Line num]]))</f>
        <v/>
      </c>
      <c r="N228" s="19" t="str" cm="1">
        <f t="array" ref="N2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IF(OR(IPRF_Lines[[#This Row],[Requested Qty]]="",IPRF_Lines[[#This Row],[Picked Qty]]=""),"",IPRF_Lines[[#This Row],[Requested Qty]]-IPRF_Lines[[#This Row],[Picked Qty]])</f>
        <v/>
      </c>
      <c r="M229" s="18" t="str" cm="1">
        <f t="array" ref="M229">IF(
    OR(IPRF_Lines[[#This Row],[Item Description]]="",IPRF_Lines[[#This Row],[Requested Qty]]="",IPRF_Lines[[#This Row],[Unit]]=""),
    "",UPPER(IPRF_Header[Request number] &amp; "-" &amp; IPRF_Lines[[#This Row],[Line num]]))</f>
        <v/>
      </c>
      <c r="N229" s="19" t="str" cm="1">
        <f t="array" ref="N2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IF(OR(IPRF_Lines[[#This Row],[Requested Qty]]="",IPRF_Lines[[#This Row],[Picked Qty]]=""),"",IPRF_Lines[[#This Row],[Requested Qty]]-IPRF_Lines[[#This Row],[Picked Qty]])</f>
        <v/>
      </c>
      <c r="M230" s="18" t="str" cm="1">
        <f t="array" ref="M230">IF(
    OR(IPRF_Lines[[#This Row],[Item Description]]="",IPRF_Lines[[#This Row],[Requested Qty]]="",IPRF_Lines[[#This Row],[Unit]]=""),
    "",UPPER(IPRF_Header[Request number] &amp; "-" &amp; IPRF_Lines[[#This Row],[Line num]]))</f>
        <v/>
      </c>
      <c r="N230" s="19" t="str" cm="1">
        <f t="array" ref="N2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IF(OR(IPRF_Lines[[#This Row],[Requested Qty]]="",IPRF_Lines[[#This Row],[Picked Qty]]=""),"",IPRF_Lines[[#This Row],[Requested Qty]]-IPRF_Lines[[#This Row],[Picked Qty]])</f>
        <v/>
      </c>
      <c r="M231" s="18" t="str" cm="1">
        <f t="array" ref="M231">IF(
    OR(IPRF_Lines[[#This Row],[Item Description]]="",IPRF_Lines[[#This Row],[Requested Qty]]="",IPRF_Lines[[#This Row],[Unit]]=""),
    "",UPPER(IPRF_Header[Request number] &amp; "-" &amp; IPRF_Lines[[#This Row],[Line num]]))</f>
        <v/>
      </c>
      <c r="N231" s="19" t="str" cm="1">
        <f t="array" ref="N2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IF(OR(IPRF_Lines[[#This Row],[Requested Qty]]="",IPRF_Lines[[#This Row],[Picked Qty]]=""),"",IPRF_Lines[[#This Row],[Requested Qty]]-IPRF_Lines[[#This Row],[Picked Qty]])</f>
        <v/>
      </c>
      <c r="M232" s="18" t="str" cm="1">
        <f t="array" ref="M232">IF(
    OR(IPRF_Lines[[#This Row],[Item Description]]="",IPRF_Lines[[#This Row],[Requested Qty]]="",IPRF_Lines[[#This Row],[Unit]]=""),
    "",UPPER(IPRF_Header[Request number] &amp; "-" &amp; IPRF_Lines[[#This Row],[Line num]]))</f>
        <v/>
      </c>
      <c r="N232" s="19" t="str" cm="1">
        <f t="array" ref="N2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IF(OR(IPRF_Lines[[#This Row],[Requested Qty]]="",IPRF_Lines[[#This Row],[Picked Qty]]=""),"",IPRF_Lines[[#This Row],[Requested Qty]]-IPRF_Lines[[#This Row],[Picked Qty]])</f>
        <v/>
      </c>
      <c r="M233" s="18" t="str" cm="1">
        <f t="array" ref="M233">IF(
    OR(IPRF_Lines[[#This Row],[Item Description]]="",IPRF_Lines[[#This Row],[Requested Qty]]="",IPRF_Lines[[#This Row],[Unit]]=""),
    "",UPPER(IPRF_Header[Request number] &amp; "-" &amp; IPRF_Lines[[#This Row],[Line num]]))</f>
        <v/>
      </c>
      <c r="N233" s="19" t="str" cm="1">
        <f t="array" ref="N2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IF(OR(IPRF_Lines[[#This Row],[Requested Qty]]="",IPRF_Lines[[#This Row],[Picked Qty]]=""),"",IPRF_Lines[[#This Row],[Requested Qty]]-IPRF_Lines[[#This Row],[Picked Qty]])</f>
        <v/>
      </c>
      <c r="M234" s="18" t="str" cm="1">
        <f t="array" ref="M234">IF(
    OR(IPRF_Lines[[#This Row],[Item Description]]="",IPRF_Lines[[#This Row],[Requested Qty]]="",IPRF_Lines[[#This Row],[Unit]]=""),
    "",UPPER(IPRF_Header[Request number] &amp; "-" &amp; IPRF_Lines[[#This Row],[Line num]]))</f>
        <v/>
      </c>
      <c r="N234" s="19" t="str" cm="1">
        <f t="array" ref="N2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IF(OR(IPRF_Lines[[#This Row],[Requested Qty]]="",IPRF_Lines[[#This Row],[Picked Qty]]=""),"",IPRF_Lines[[#This Row],[Requested Qty]]-IPRF_Lines[[#This Row],[Picked Qty]])</f>
        <v/>
      </c>
      <c r="M235" s="18" t="str" cm="1">
        <f t="array" ref="M235">IF(
    OR(IPRF_Lines[[#This Row],[Item Description]]="",IPRF_Lines[[#This Row],[Requested Qty]]="",IPRF_Lines[[#This Row],[Unit]]=""),
    "",UPPER(IPRF_Header[Request number] &amp; "-" &amp; IPRF_Lines[[#This Row],[Line num]]))</f>
        <v/>
      </c>
      <c r="N235" s="19" t="str" cm="1">
        <f t="array" ref="N2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IF(OR(IPRF_Lines[[#This Row],[Requested Qty]]="",IPRF_Lines[[#This Row],[Picked Qty]]=""),"",IPRF_Lines[[#This Row],[Requested Qty]]-IPRF_Lines[[#This Row],[Picked Qty]])</f>
        <v/>
      </c>
      <c r="M236" s="18" t="str" cm="1">
        <f t="array" ref="M236">IF(
    OR(IPRF_Lines[[#This Row],[Item Description]]="",IPRF_Lines[[#This Row],[Requested Qty]]="",IPRF_Lines[[#This Row],[Unit]]=""),
    "",UPPER(IPRF_Header[Request number] &amp; "-" &amp; IPRF_Lines[[#This Row],[Line num]]))</f>
        <v/>
      </c>
      <c r="N236" s="19" t="str" cm="1">
        <f t="array" ref="N2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IF(OR(IPRF_Lines[[#This Row],[Requested Qty]]="",IPRF_Lines[[#This Row],[Picked Qty]]=""),"",IPRF_Lines[[#This Row],[Requested Qty]]-IPRF_Lines[[#This Row],[Picked Qty]])</f>
        <v/>
      </c>
      <c r="M237" s="18" t="str" cm="1">
        <f t="array" ref="M237">IF(
    OR(IPRF_Lines[[#This Row],[Item Description]]="",IPRF_Lines[[#This Row],[Requested Qty]]="",IPRF_Lines[[#This Row],[Unit]]=""),
    "",UPPER(IPRF_Header[Request number] &amp; "-" &amp; IPRF_Lines[[#This Row],[Line num]]))</f>
        <v/>
      </c>
      <c r="N237" s="19" t="str" cm="1">
        <f t="array" ref="N2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IF(OR(IPRF_Lines[[#This Row],[Requested Qty]]="",IPRF_Lines[[#This Row],[Picked Qty]]=""),"",IPRF_Lines[[#This Row],[Requested Qty]]-IPRF_Lines[[#This Row],[Picked Qty]])</f>
        <v/>
      </c>
      <c r="M238" s="18" t="str" cm="1">
        <f t="array" ref="M238">IF(
    OR(IPRF_Lines[[#This Row],[Item Description]]="",IPRF_Lines[[#This Row],[Requested Qty]]="",IPRF_Lines[[#This Row],[Unit]]=""),
    "",UPPER(IPRF_Header[Request number] &amp; "-" &amp; IPRF_Lines[[#This Row],[Line num]]))</f>
        <v/>
      </c>
      <c r="N238" s="19" t="str" cm="1">
        <f t="array" ref="N2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IF(OR(IPRF_Lines[[#This Row],[Requested Qty]]="",IPRF_Lines[[#This Row],[Picked Qty]]=""),"",IPRF_Lines[[#This Row],[Requested Qty]]-IPRF_Lines[[#This Row],[Picked Qty]])</f>
        <v/>
      </c>
      <c r="M239" s="18" t="str" cm="1">
        <f t="array" ref="M239">IF(
    OR(IPRF_Lines[[#This Row],[Item Description]]="",IPRF_Lines[[#This Row],[Requested Qty]]="",IPRF_Lines[[#This Row],[Unit]]=""),
    "",UPPER(IPRF_Header[Request number] &amp; "-" &amp; IPRF_Lines[[#This Row],[Line num]]))</f>
        <v/>
      </c>
      <c r="N239" s="19" t="str" cm="1">
        <f t="array" ref="N2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IF(OR(IPRF_Lines[[#This Row],[Requested Qty]]="",IPRF_Lines[[#This Row],[Picked Qty]]=""),"",IPRF_Lines[[#This Row],[Requested Qty]]-IPRF_Lines[[#This Row],[Picked Qty]])</f>
        <v/>
      </c>
      <c r="M240" s="18" t="str" cm="1">
        <f t="array" ref="M240">IF(
    OR(IPRF_Lines[[#This Row],[Item Description]]="",IPRF_Lines[[#This Row],[Requested Qty]]="",IPRF_Lines[[#This Row],[Unit]]=""),
    "",UPPER(IPRF_Header[Request number] &amp; "-" &amp; IPRF_Lines[[#This Row],[Line num]]))</f>
        <v/>
      </c>
      <c r="N240" s="19" t="str" cm="1">
        <f t="array" ref="N2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IF(OR(IPRF_Lines[[#This Row],[Requested Qty]]="",IPRF_Lines[[#This Row],[Picked Qty]]=""),"",IPRF_Lines[[#This Row],[Requested Qty]]-IPRF_Lines[[#This Row],[Picked Qty]])</f>
        <v/>
      </c>
      <c r="M241" s="18" t="str" cm="1">
        <f t="array" ref="M241">IF(
    OR(IPRF_Lines[[#This Row],[Item Description]]="",IPRF_Lines[[#This Row],[Requested Qty]]="",IPRF_Lines[[#This Row],[Unit]]=""),
    "",UPPER(IPRF_Header[Request number] &amp; "-" &amp; IPRF_Lines[[#This Row],[Line num]]))</f>
        <v/>
      </c>
      <c r="N241" s="19" t="str" cm="1">
        <f t="array" ref="N2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IF(OR(IPRF_Lines[[#This Row],[Requested Qty]]="",IPRF_Lines[[#This Row],[Picked Qty]]=""),"",IPRF_Lines[[#This Row],[Requested Qty]]-IPRF_Lines[[#This Row],[Picked Qty]])</f>
        <v/>
      </c>
      <c r="M242" s="18" t="str" cm="1">
        <f t="array" ref="M242">IF(
    OR(IPRF_Lines[[#This Row],[Item Description]]="",IPRF_Lines[[#This Row],[Requested Qty]]="",IPRF_Lines[[#This Row],[Unit]]=""),
    "",UPPER(IPRF_Header[Request number] &amp; "-" &amp; IPRF_Lines[[#This Row],[Line num]]))</f>
        <v/>
      </c>
      <c r="N242" s="19" t="str" cm="1">
        <f t="array" ref="N2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IF(OR(IPRF_Lines[[#This Row],[Requested Qty]]="",IPRF_Lines[[#This Row],[Picked Qty]]=""),"",IPRF_Lines[[#This Row],[Requested Qty]]-IPRF_Lines[[#This Row],[Picked Qty]])</f>
        <v/>
      </c>
      <c r="M243" s="18" t="str" cm="1">
        <f t="array" ref="M243">IF(
    OR(IPRF_Lines[[#This Row],[Item Description]]="",IPRF_Lines[[#This Row],[Requested Qty]]="",IPRF_Lines[[#This Row],[Unit]]=""),
    "",UPPER(IPRF_Header[Request number] &amp; "-" &amp; IPRF_Lines[[#This Row],[Line num]]))</f>
        <v/>
      </c>
      <c r="N243" s="19" t="str" cm="1">
        <f t="array" ref="N2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IF(OR(IPRF_Lines[[#This Row],[Requested Qty]]="",IPRF_Lines[[#This Row],[Picked Qty]]=""),"",IPRF_Lines[[#This Row],[Requested Qty]]-IPRF_Lines[[#This Row],[Picked Qty]])</f>
        <v/>
      </c>
      <c r="M244" s="18" t="str" cm="1">
        <f t="array" ref="M244">IF(
    OR(IPRF_Lines[[#This Row],[Item Description]]="",IPRF_Lines[[#This Row],[Requested Qty]]="",IPRF_Lines[[#This Row],[Unit]]=""),
    "",UPPER(IPRF_Header[Request number] &amp; "-" &amp; IPRF_Lines[[#This Row],[Line num]]))</f>
        <v/>
      </c>
      <c r="N244" s="19" t="str" cm="1">
        <f t="array" ref="N2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IF(OR(IPRF_Lines[[#This Row],[Requested Qty]]="",IPRF_Lines[[#This Row],[Picked Qty]]=""),"",IPRF_Lines[[#This Row],[Requested Qty]]-IPRF_Lines[[#This Row],[Picked Qty]])</f>
        <v/>
      </c>
      <c r="M245" s="18" t="str" cm="1">
        <f t="array" ref="M245">IF(
    OR(IPRF_Lines[[#This Row],[Item Description]]="",IPRF_Lines[[#This Row],[Requested Qty]]="",IPRF_Lines[[#This Row],[Unit]]=""),
    "",UPPER(IPRF_Header[Request number] &amp; "-" &amp; IPRF_Lines[[#This Row],[Line num]]))</f>
        <v/>
      </c>
      <c r="N245" s="19" t="str" cm="1">
        <f t="array" ref="N2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IF(OR(IPRF_Lines[[#This Row],[Requested Qty]]="",IPRF_Lines[[#This Row],[Picked Qty]]=""),"",IPRF_Lines[[#This Row],[Requested Qty]]-IPRF_Lines[[#This Row],[Picked Qty]])</f>
        <v/>
      </c>
      <c r="M246" s="18" t="str" cm="1">
        <f t="array" ref="M246">IF(
    OR(IPRF_Lines[[#This Row],[Item Description]]="",IPRF_Lines[[#This Row],[Requested Qty]]="",IPRF_Lines[[#This Row],[Unit]]=""),
    "",UPPER(IPRF_Header[Request number] &amp; "-" &amp; IPRF_Lines[[#This Row],[Line num]]))</f>
        <v/>
      </c>
      <c r="N246" s="19" t="str" cm="1">
        <f t="array" ref="N2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IF(OR(IPRF_Lines[[#This Row],[Requested Qty]]="",IPRF_Lines[[#This Row],[Picked Qty]]=""),"",IPRF_Lines[[#This Row],[Requested Qty]]-IPRF_Lines[[#This Row],[Picked Qty]])</f>
        <v/>
      </c>
      <c r="M247" s="18" t="str" cm="1">
        <f t="array" ref="M247">IF(
    OR(IPRF_Lines[[#This Row],[Item Description]]="",IPRF_Lines[[#This Row],[Requested Qty]]="",IPRF_Lines[[#This Row],[Unit]]=""),
    "",UPPER(IPRF_Header[Request number] &amp; "-" &amp; IPRF_Lines[[#This Row],[Line num]]))</f>
        <v/>
      </c>
      <c r="N247" s="19" t="str" cm="1">
        <f t="array" ref="N2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IF(OR(IPRF_Lines[[#This Row],[Requested Qty]]="",IPRF_Lines[[#This Row],[Picked Qty]]=""),"",IPRF_Lines[[#This Row],[Requested Qty]]-IPRF_Lines[[#This Row],[Picked Qty]])</f>
        <v/>
      </c>
      <c r="M248" s="18" t="str" cm="1">
        <f t="array" ref="M248">IF(
    OR(IPRF_Lines[[#This Row],[Item Description]]="",IPRF_Lines[[#This Row],[Requested Qty]]="",IPRF_Lines[[#This Row],[Unit]]=""),
    "",UPPER(IPRF_Header[Request number] &amp; "-" &amp; IPRF_Lines[[#This Row],[Line num]]))</f>
        <v/>
      </c>
      <c r="N248" s="19" t="str" cm="1">
        <f t="array" ref="N2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IF(OR(IPRF_Lines[[#This Row],[Requested Qty]]="",IPRF_Lines[[#This Row],[Picked Qty]]=""),"",IPRF_Lines[[#This Row],[Requested Qty]]-IPRF_Lines[[#This Row],[Picked Qty]])</f>
        <v/>
      </c>
      <c r="M249" s="18" t="str" cm="1">
        <f t="array" ref="M249">IF(
    OR(IPRF_Lines[[#This Row],[Item Description]]="",IPRF_Lines[[#This Row],[Requested Qty]]="",IPRF_Lines[[#This Row],[Unit]]=""),
    "",UPPER(IPRF_Header[Request number] &amp; "-" &amp; IPRF_Lines[[#This Row],[Line num]]))</f>
        <v/>
      </c>
      <c r="N249" s="19" t="str" cm="1">
        <f t="array" ref="N2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IF(OR(IPRF_Lines[[#This Row],[Requested Qty]]="",IPRF_Lines[[#This Row],[Picked Qty]]=""),"",IPRF_Lines[[#This Row],[Requested Qty]]-IPRF_Lines[[#This Row],[Picked Qty]])</f>
        <v/>
      </c>
      <c r="M250" s="18" t="str" cm="1">
        <f t="array" ref="M250">IF(
    OR(IPRF_Lines[[#This Row],[Item Description]]="",IPRF_Lines[[#This Row],[Requested Qty]]="",IPRF_Lines[[#This Row],[Unit]]=""),
    "",UPPER(IPRF_Header[Request number] &amp; "-" &amp; IPRF_Lines[[#This Row],[Line num]]))</f>
        <v/>
      </c>
      <c r="N250" s="19" t="str" cm="1">
        <f t="array" ref="N2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IF(OR(IPRF_Lines[[#This Row],[Requested Qty]]="",IPRF_Lines[[#This Row],[Picked Qty]]=""),"",IPRF_Lines[[#This Row],[Requested Qty]]-IPRF_Lines[[#This Row],[Picked Qty]])</f>
        <v/>
      </c>
      <c r="M251" s="18" t="str" cm="1">
        <f t="array" ref="M251">IF(
    OR(IPRF_Lines[[#This Row],[Item Description]]="",IPRF_Lines[[#This Row],[Requested Qty]]="",IPRF_Lines[[#This Row],[Unit]]=""),
    "",UPPER(IPRF_Header[Request number] &amp; "-" &amp; IPRF_Lines[[#This Row],[Line num]]))</f>
        <v/>
      </c>
      <c r="N251" s="19" t="str" cm="1">
        <f t="array" ref="N2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IF(OR(IPRF_Lines[[#This Row],[Requested Qty]]="",IPRF_Lines[[#This Row],[Picked Qty]]=""),"",IPRF_Lines[[#This Row],[Requested Qty]]-IPRF_Lines[[#This Row],[Picked Qty]])</f>
        <v/>
      </c>
      <c r="M252" s="18" t="str" cm="1">
        <f t="array" ref="M252">IF(
    OR(IPRF_Lines[[#This Row],[Item Description]]="",IPRF_Lines[[#This Row],[Requested Qty]]="",IPRF_Lines[[#This Row],[Unit]]=""),
    "",UPPER(IPRF_Header[Request number] &amp; "-" &amp; IPRF_Lines[[#This Row],[Line num]]))</f>
        <v/>
      </c>
      <c r="N252" s="19" t="str" cm="1">
        <f t="array" ref="N2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IF(OR(IPRF_Lines[[#This Row],[Requested Qty]]="",IPRF_Lines[[#This Row],[Picked Qty]]=""),"",IPRF_Lines[[#This Row],[Requested Qty]]-IPRF_Lines[[#This Row],[Picked Qty]])</f>
        <v/>
      </c>
      <c r="M253" s="18" t="str" cm="1">
        <f t="array" ref="M253">IF(
    OR(IPRF_Lines[[#This Row],[Item Description]]="",IPRF_Lines[[#This Row],[Requested Qty]]="",IPRF_Lines[[#This Row],[Unit]]=""),
    "",UPPER(IPRF_Header[Request number] &amp; "-" &amp; IPRF_Lines[[#This Row],[Line num]]))</f>
        <v/>
      </c>
      <c r="N253" s="19" t="str" cm="1">
        <f t="array" ref="N2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IF(OR(IPRF_Lines[[#This Row],[Requested Qty]]="",IPRF_Lines[[#This Row],[Picked Qty]]=""),"",IPRF_Lines[[#This Row],[Requested Qty]]-IPRF_Lines[[#This Row],[Picked Qty]])</f>
        <v/>
      </c>
      <c r="M254" s="18" t="str" cm="1">
        <f t="array" ref="M254">IF(
    OR(IPRF_Lines[[#This Row],[Item Description]]="",IPRF_Lines[[#This Row],[Requested Qty]]="",IPRF_Lines[[#This Row],[Unit]]=""),
    "",UPPER(IPRF_Header[Request number] &amp; "-" &amp; IPRF_Lines[[#This Row],[Line num]]))</f>
        <v/>
      </c>
      <c r="N254" s="19" t="str" cm="1">
        <f t="array" ref="N2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IF(OR(IPRF_Lines[[#This Row],[Requested Qty]]="",IPRF_Lines[[#This Row],[Picked Qty]]=""),"",IPRF_Lines[[#This Row],[Requested Qty]]-IPRF_Lines[[#This Row],[Picked Qty]])</f>
        <v/>
      </c>
      <c r="M255" s="18" t="str" cm="1">
        <f t="array" ref="M255">IF(
    OR(IPRF_Lines[[#This Row],[Item Description]]="",IPRF_Lines[[#This Row],[Requested Qty]]="",IPRF_Lines[[#This Row],[Unit]]=""),
    "",UPPER(IPRF_Header[Request number] &amp; "-" &amp; IPRF_Lines[[#This Row],[Line num]]))</f>
        <v/>
      </c>
      <c r="N255" s="19" t="str" cm="1">
        <f t="array" ref="N2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IF(OR(IPRF_Lines[[#This Row],[Requested Qty]]="",IPRF_Lines[[#This Row],[Picked Qty]]=""),"",IPRF_Lines[[#This Row],[Requested Qty]]-IPRF_Lines[[#This Row],[Picked Qty]])</f>
        <v/>
      </c>
      <c r="M256" s="18" t="str" cm="1">
        <f t="array" ref="M256">IF(
    OR(IPRF_Lines[[#This Row],[Item Description]]="",IPRF_Lines[[#This Row],[Requested Qty]]="",IPRF_Lines[[#This Row],[Unit]]=""),
    "",UPPER(IPRF_Header[Request number] &amp; "-" &amp; IPRF_Lines[[#This Row],[Line num]]))</f>
        <v/>
      </c>
      <c r="N256" s="19" t="str" cm="1">
        <f t="array" ref="N2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IF(OR(IPRF_Lines[[#This Row],[Requested Qty]]="",IPRF_Lines[[#This Row],[Picked Qty]]=""),"",IPRF_Lines[[#This Row],[Requested Qty]]-IPRF_Lines[[#This Row],[Picked Qty]])</f>
        <v/>
      </c>
      <c r="M257" s="18" t="str" cm="1">
        <f t="array" ref="M257">IF(
    OR(IPRF_Lines[[#This Row],[Item Description]]="",IPRF_Lines[[#This Row],[Requested Qty]]="",IPRF_Lines[[#This Row],[Unit]]=""),
    "",UPPER(IPRF_Header[Request number] &amp; "-" &amp; IPRF_Lines[[#This Row],[Line num]]))</f>
        <v/>
      </c>
      <c r="N257" s="19" t="str" cm="1">
        <f t="array" ref="N2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IF(OR(IPRF_Lines[[#This Row],[Requested Qty]]="",IPRF_Lines[[#This Row],[Picked Qty]]=""),"",IPRF_Lines[[#This Row],[Requested Qty]]-IPRF_Lines[[#This Row],[Picked Qty]])</f>
        <v/>
      </c>
      <c r="M258" s="18" t="str" cm="1">
        <f t="array" ref="M258">IF(
    OR(IPRF_Lines[[#This Row],[Item Description]]="",IPRF_Lines[[#This Row],[Requested Qty]]="",IPRF_Lines[[#This Row],[Unit]]=""),
    "",UPPER(IPRF_Header[Request number] &amp; "-" &amp; IPRF_Lines[[#This Row],[Line num]]))</f>
        <v/>
      </c>
      <c r="N258" s="19" t="str" cm="1">
        <f t="array" ref="N2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IF(OR(IPRF_Lines[[#This Row],[Requested Qty]]="",IPRF_Lines[[#This Row],[Picked Qty]]=""),"",IPRF_Lines[[#This Row],[Requested Qty]]-IPRF_Lines[[#This Row],[Picked Qty]])</f>
        <v/>
      </c>
      <c r="M259" s="18" t="str" cm="1">
        <f t="array" ref="M259">IF(
    OR(IPRF_Lines[[#This Row],[Item Description]]="",IPRF_Lines[[#This Row],[Requested Qty]]="",IPRF_Lines[[#This Row],[Unit]]=""),
    "",UPPER(IPRF_Header[Request number] &amp; "-" &amp; IPRF_Lines[[#This Row],[Line num]]))</f>
        <v/>
      </c>
      <c r="N259" s="19" t="str" cm="1">
        <f t="array" ref="N2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IF(OR(IPRF_Lines[[#This Row],[Requested Qty]]="",IPRF_Lines[[#This Row],[Picked Qty]]=""),"",IPRF_Lines[[#This Row],[Requested Qty]]-IPRF_Lines[[#This Row],[Picked Qty]])</f>
        <v/>
      </c>
      <c r="M260" s="18" t="str" cm="1">
        <f t="array" ref="M260">IF(
    OR(IPRF_Lines[[#This Row],[Item Description]]="",IPRF_Lines[[#This Row],[Requested Qty]]="",IPRF_Lines[[#This Row],[Unit]]=""),
    "",UPPER(IPRF_Header[Request number] &amp; "-" &amp; IPRF_Lines[[#This Row],[Line num]]))</f>
        <v/>
      </c>
      <c r="N260" s="19" t="str" cm="1">
        <f t="array" ref="N2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IF(OR(IPRF_Lines[[#This Row],[Requested Qty]]="",IPRF_Lines[[#This Row],[Picked Qty]]=""),"",IPRF_Lines[[#This Row],[Requested Qty]]-IPRF_Lines[[#This Row],[Picked Qty]])</f>
        <v/>
      </c>
      <c r="M261" s="18" t="str" cm="1">
        <f t="array" ref="M261">IF(
    OR(IPRF_Lines[[#This Row],[Item Description]]="",IPRF_Lines[[#This Row],[Requested Qty]]="",IPRF_Lines[[#This Row],[Unit]]=""),
    "",UPPER(IPRF_Header[Request number] &amp; "-" &amp; IPRF_Lines[[#This Row],[Line num]]))</f>
        <v/>
      </c>
      <c r="N261" s="19" t="str" cm="1">
        <f t="array" ref="N2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IF(OR(IPRF_Lines[[#This Row],[Requested Qty]]="",IPRF_Lines[[#This Row],[Picked Qty]]=""),"",IPRF_Lines[[#This Row],[Requested Qty]]-IPRF_Lines[[#This Row],[Picked Qty]])</f>
        <v/>
      </c>
      <c r="M262" s="18" t="str" cm="1">
        <f t="array" ref="M262">IF(
    OR(IPRF_Lines[[#This Row],[Item Description]]="",IPRF_Lines[[#This Row],[Requested Qty]]="",IPRF_Lines[[#This Row],[Unit]]=""),
    "",UPPER(IPRF_Header[Request number] &amp; "-" &amp; IPRF_Lines[[#This Row],[Line num]]))</f>
        <v/>
      </c>
      <c r="N262" s="19" t="str" cm="1">
        <f t="array" ref="N2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IF(OR(IPRF_Lines[[#This Row],[Requested Qty]]="",IPRF_Lines[[#This Row],[Picked Qty]]=""),"",IPRF_Lines[[#This Row],[Requested Qty]]-IPRF_Lines[[#This Row],[Picked Qty]])</f>
        <v/>
      </c>
      <c r="M263" s="18" t="str" cm="1">
        <f t="array" ref="M263">IF(
    OR(IPRF_Lines[[#This Row],[Item Description]]="",IPRF_Lines[[#This Row],[Requested Qty]]="",IPRF_Lines[[#This Row],[Unit]]=""),
    "",UPPER(IPRF_Header[Request number] &amp; "-" &amp; IPRF_Lines[[#This Row],[Line num]]))</f>
        <v/>
      </c>
      <c r="N263" s="19" t="str" cm="1">
        <f t="array" ref="N2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IF(OR(IPRF_Lines[[#This Row],[Requested Qty]]="",IPRF_Lines[[#This Row],[Picked Qty]]=""),"",IPRF_Lines[[#This Row],[Requested Qty]]-IPRF_Lines[[#This Row],[Picked Qty]])</f>
        <v/>
      </c>
      <c r="M264" s="18" t="str" cm="1">
        <f t="array" ref="M264">IF(
    OR(IPRF_Lines[[#This Row],[Item Description]]="",IPRF_Lines[[#This Row],[Requested Qty]]="",IPRF_Lines[[#This Row],[Unit]]=""),
    "",UPPER(IPRF_Header[Request number] &amp; "-" &amp; IPRF_Lines[[#This Row],[Line num]]))</f>
        <v/>
      </c>
      <c r="N264" s="19" t="str" cm="1">
        <f t="array" ref="N2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IF(OR(IPRF_Lines[[#This Row],[Requested Qty]]="",IPRF_Lines[[#This Row],[Picked Qty]]=""),"",IPRF_Lines[[#This Row],[Requested Qty]]-IPRF_Lines[[#This Row],[Picked Qty]])</f>
        <v/>
      </c>
      <c r="M265" s="18" t="str" cm="1">
        <f t="array" ref="M265">IF(
    OR(IPRF_Lines[[#This Row],[Item Description]]="",IPRF_Lines[[#This Row],[Requested Qty]]="",IPRF_Lines[[#This Row],[Unit]]=""),
    "",UPPER(IPRF_Header[Request number] &amp; "-" &amp; IPRF_Lines[[#This Row],[Line num]]))</f>
        <v/>
      </c>
      <c r="N265" s="19" t="str" cm="1">
        <f t="array" ref="N2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IF(OR(IPRF_Lines[[#This Row],[Requested Qty]]="",IPRF_Lines[[#This Row],[Picked Qty]]=""),"",IPRF_Lines[[#This Row],[Requested Qty]]-IPRF_Lines[[#This Row],[Picked Qty]])</f>
        <v/>
      </c>
      <c r="M266" s="18" t="str" cm="1">
        <f t="array" ref="M266">IF(
    OR(IPRF_Lines[[#This Row],[Item Description]]="",IPRF_Lines[[#This Row],[Requested Qty]]="",IPRF_Lines[[#This Row],[Unit]]=""),
    "",UPPER(IPRF_Header[Request number] &amp; "-" &amp; IPRF_Lines[[#This Row],[Line num]]))</f>
        <v/>
      </c>
      <c r="N266" s="19" t="str" cm="1">
        <f t="array" ref="N2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IF(OR(IPRF_Lines[[#This Row],[Requested Qty]]="",IPRF_Lines[[#This Row],[Picked Qty]]=""),"",IPRF_Lines[[#This Row],[Requested Qty]]-IPRF_Lines[[#This Row],[Picked Qty]])</f>
        <v/>
      </c>
      <c r="M267" s="18" t="str" cm="1">
        <f t="array" ref="M267">IF(
    OR(IPRF_Lines[[#This Row],[Item Description]]="",IPRF_Lines[[#This Row],[Requested Qty]]="",IPRF_Lines[[#This Row],[Unit]]=""),
    "",UPPER(IPRF_Header[Request number] &amp; "-" &amp; IPRF_Lines[[#This Row],[Line num]]))</f>
        <v/>
      </c>
      <c r="N267" s="19" t="str" cm="1">
        <f t="array" ref="N2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IF(OR(IPRF_Lines[[#This Row],[Requested Qty]]="",IPRF_Lines[[#This Row],[Picked Qty]]=""),"",IPRF_Lines[[#This Row],[Requested Qty]]-IPRF_Lines[[#This Row],[Picked Qty]])</f>
        <v/>
      </c>
      <c r="M268" s="18" t="str" cm="1">
        <f t="array" ref="M268">IF(
    OR(IPRF_Lines[[#This Row],[Item Description]]="",IPRF_Lines[[#This Row],[Requested Qty]]="",IPRF_Lines[[#This Row],[Unit]]=""),
    "",UPPER(IPRF_Header[Request number] &amp; "-" &amp; IPRF_Lines[[#This Row],[Line num]]))</f>
        <v/>
      </c>
      <c r="N268" s="19" t="str" cm="1">
        <f t="array" ref="N2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IF(OR(IPRF_Lines[[#This Row],[Requested Qty]]="",IPRF_Lines[[#This Row],[Picked Qty]]=""),"",IPRF_Lines[[#This Row],[Requested Qty]]-IPRF_Lines[[#This Row],[Picked Qty]])</f>
        <v/>
      </c>
      <c r="M269" s="18" t="str" cm="1">
        <f t="array" ref="M269">IF(
    OR(IPRF_Lines[[#This Row],[Item Description]]="",IPRF_Lines[[#This Row],[Requested Qty]]="",IPRF_Lines[[#This Row],[Unit]]=""),
    "",UPPER(IPRF_Header[Request number] &amp; "-" &amp; IPRF_Lines[[#This Row],[Line num]]))</f>
        <v/>
      </c>
      <c r="N269" s="19" t="str" cm="1">
        <f t="array" ref="N2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IF(OR(IPRF_Lines[[#This Row],[Requested Qty]]="",IPRF_Lines[[#This Row],[Picked Qty]]=""),"",IPRF_Lines[[#This Row],[Requested Qty]]-IPRF_Lines[[#This Row],[Picked Qty]])</f>
        <v/>
      </c>
      <c r="M270" s="18" t="str" cm="1">
        <f t="array" ref="M270">IF(
    OR(IPRF_Lines[[#This Row],[Item Description]]="",IPRF_Lines[[#This Row],[Requested Qty]]="",IPRF_Lines[[#This Row],[Unit]]=""),
    "",UPPER(IPRF_Header[Request number] &amp; "-" &amp; IPRF_Lines[[#This Row],[Line num]]))</f>
        <v/>
      </c>
      <c r="N270" s="19" t="str" cm="1">
        <f t="array" ref="N2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IF(OR(IPRF_Lines[[#This Row],[Requested Qty]]="",IPRF_Lines[[#This Row],[Picked Qty]]=""),"",IPRF_Lines[[#This Row],[Requested Qty]]-IPRF_Lines[[#This Row],[Picked Qty]])</f>
        <v/>
      </c>
      <c r="M271" s="18" t="str" cm="1">
        <f t="array" ref="M271">IF(
    OR(IPRF_Lines[[#This Row],[Item Description]]="",IPRF_Lines[[#This Row],[Requested Qty]]="",IPRF_Lines[[#This Row],[Unit]]=""),
    "",UPPER(IPRF_Header[Request number] &amp; "-" &amp; IPRF_Lines[[#This Row],[Line num]]))</f>
        <v/>
      </c>
      <c r="N271" s="19" t="str" cm="1">
        <f t="array" ref="N2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IF(OR(IPRF_Lines[[#This Row],[Requested Qty]]="",IPRF_Lines[[#This Row],[Picked Qty]]=""),"",IPRF_Lines[[#This Row],[Requested Qty]]-IPRF_Lines[[#This Row],[Picked Qty]])</f>
        <v/>
      </c>
      <c r="M272" s="18" t="str" cm="1">
        <f t="array" ref="M272">IF(
    OR(IPRF_Lines[[#This Row],[Item Description]]="",IPRF_Lines[[#This Row],[Requested Qty]]="",IPRF_Lines[[#This Row],[Unit]]=""),
    "",UPPER(IPRF_Header[Request number] &amp; "-" &amp; IPRF_Lines[[#This Row],[Line num]]))</f>
        <v/>
      </c>
      <c r="N272" s="19" t="str" cm="1">
        <f t="array" ref="N2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IF(OR(IPRF_Lines[[#This Row],[Requested Qty]]="",IPRF_Lines[[#This Row],[Picked Qty]]=""),"",IPRF_Lines[[#This Row],[Requested Qty]]-IPRF_Lines[[#This Row],[Picked Qty]])</f>
        <v/>
      </c>
      <c r="M273" s="18" t="str" cm="1">
        <f t="array" ref="M273">IF(
    OR(IPRF_Lines[[#This Row],[Item Description]]="",IPRF_Lines[[#This Row],[Requested Qty]]="",IPRF_Lines[[#This Row],[Unit]]=""),
    "",UPPER(IPRF_Header[Request number] &amp; "-" &amp; IPRF_Lines[[#This Row],[Line num]]))</f>
        <v/>
      </c>
      <c r="N273" s="19" t="str" cm="1">
        <f t="array" ref="N2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IF(OR(IPRF_Lines[[#This Row],[Requested Qty]]="",IPRF_Lines[[#This Row],[Picked Qty]]=""),"",IPRF_Lines[[#This Row],[Requested Qty]]-IPRF_Lines[[#This Row],[Picked Qty]])</f>
        <v/>
      </c>
      <c r="M274" s="18" t="str" cm="1">
        <f t="array" ref="M274">IF(
    OR(IPRF_Lines[[#This Row],[Item Description]]="",IPRF_Lines[[#This Row],[Requested Qty]]="",IPRF_Lines[[#This Row],[Unit]]=""),
    "",UPPER(IPRF_Header[Request number] &amp; "-" &amp; IPRF_Lines[[#This Row],[Line num]]))</f>
        <v/>
      </c>
      <c r="N274" s="19" t="str" cm="1">
        <f t="array" ref="N2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IF(OR(IPRF_Lines[[#This Row],[Requested Qty]]="",IPRF_Lines[[#This Row],[Picked Qty]]=""),"",IPRF_Lines[[#This Row],[Requested Qty]]-IPRF_Lines[[#This Row],[Picked Qty]])</f>
        <v/>
      </c>
      <c r="M275" s="18" t="str" cm="1">
        <f t="array" ref="M275">IF(
    OR(IPRF_Lines[[#This Row],[Item Description]]="",IPRF_Lines[[#This Row],[Requested Qty]]="",IPRF_Lines[[#This Row],[Unit]]=""),
    "",UPPER(IPRF_Header[Request number] &amp; "-" &amp; IPRF_Lines[[#This Row],[Line num]]))</f>
        <v/>
      </c>
      <c r="N275" s="19" t="str" cm="1">
        <f t="array" ref="N2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IF(OR(IPRF_Lines[[#This Row],[Requested Qty]]="",IPRF_Lines[[#This Row],[Picked Qty]]=""),"",IPRF_Lines[[#This Row],[Requested Qty]]-IPRF_Lines[[#This Row],[Picked Qty]])</f>
        <v/>
      </c>
      <c r="M276" s="18" t="str" cm="1">
        <f t="array" ref="M276">IF(
    OR(IPRF_Lines[[#This Row],[Item Description]]="",IPRF_Lines[[#This Row],[Requested Qty]]="",IPRF_Lines[[#This Row],[Unit]]=""),
    "",UPPER(IPRF_Header[Request number] &amp; "-" &amp; IPRF_Lines[[#This Row],[Line num]]))</f>
        <v/>
      </c>
      <c r="N276" s="19" t="str" cm="1">
        <f t="array" ref="N2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IF(OR(IPRF_Lines[[#This Row],[Requested Qty]]="",IPRF_Lines[[#This Row],[Picked Qty]]=""),"",IPRF_Lines[[#This Row],[Requested Qty]]-IPRF_Lines[[#This Row],[Picked Qty]])</f>
        <v/>
      </c>
      <c r="M277" s="18" t="str" cm="1">
        <f t="array" ref="M277">IF(
    OR(IPRF_Lines[[#This Row],[Item Description]]="",IPRF_Lines[[#This Row],[Requested Qty]]="",IPRF_Lines[[#This Row],[Unit]]=""),
    "",UPPER(IPRF_Header[Request number] &amp; "-" &amp; IPRF_Lines[[#This Row],[Line num]]))</f>
        <v/>
      </c>
      <c r="N277" s="19" t="str" cm="1">
        <f t="array" ref="N2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IF(OR(IPRF_Lines[[#This Row],[Requested Qty]]="",IPRF_Lines[[#This Row],[Picked Qty]]=""),"",IPRF_Lines[[#This Row],[Requested Qty]]-IPRF_Lines[[#This Row],[Picked Qty]])</f>
        <v/>
      </c>
      <c r="M278" s="18" t="str" cm="1">
        <f t="array" ref="M278">IF(
    OR(IPRF_Lines[[#This Row],[Item Description]]="",IPRF_Lines[[#This Row],[Requested Qty]]="",IPRF_Lines[[#This Row],[Unit]]=""),
    "",UPPER(IPRF_Header[Request number] &amp; "-" &amp; IPRF_Lines[[#This Row],[Line num]]))</f>
        <v/>
      </c>
      <c r="N278" s="19" t="str" cm="1">
        <f t="array" ref="N2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IF(OR(IPRF_Lines[[#This Row],[Requested Qty]]="",IPRF_Lines[[#This Row],[Picked Qty]]=""),"",IPRF_Lines[[#This Row],[Requested Qty]]-IPRF_Lines[[#This Row],[Picked Qty]])</f>
        <v/>
      </c>
      <c r="M279" s="18" t="str" cm="1">
        <f t="array" ref="M279">IF(
    OR(IPRF_Lines[[#This Row],[Item Description]]="",IPRF_Lines[[#This Row],[Requested Qty]]="",IPRF_Lines[[#This Row],[Unit]]=""),
    "",UPPER(IPRF_Header[Request number] &amp; "-" &amp; IPRF_Lines[[#This Row],[Line num]]))</f>
        <v/>
      </c>
      <c r="N279" s="19" t="str" cm="1">
        <f t="array" ref="N2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IF(OR(IPRF_Lines[[#This Row],[Requested Qty]]="",IPRF_Lines[[#This Row],[Picked Qty]]=""),"",IPRF_Lines[[#This Row],[Requested Qty]]-IPRF_Lines[[#This Row],[Picked Qty]])</f>
        <v/>
      </c>
      <c r="M280" s="18" t="str" cm="1">
        <f t="array" ref="M280">IF(
    OR(IPRF_Lines[[#This Row],[Item Description]]="",IPRF_Lines[[#This Row],[Requested Qty]]="",IPRF_Lines[[#This Row],[Unit]]=""),
    "",UPPER(IPRF_Header[Request number] &amp; "-" &amp; IPRF_Lines[[#This Row],[Line num]]))</f>
        <v/>
      </c>
      <c r="N280" s="19" t="str" cm="1">
        <f t="array" ref="N2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IF(OR(IPRF_Lines[[#This Row],[Requested Qty]]="",IPRF_Lines[[#This Row],[Picked Qty]]=""),"",IPRF_Lines[[#This Row],[Requested Qty]]-IPRF_Lines[[#This Row],[Picked Qty]])</f>
        <v/>
      </c>
      <c r="M281" s="18" t="str" cm="1">
        <f t="array" ref="M281">IF(
    OR(IPRF_Lines[[#This Row],[Item Description]]="",IPRF_Lines[[#This Row],[Requested Qty]]="",IPRF_Lines[[#This Row],[Unit]]=""),
    "",UPPER(IPRF_Header[Request number] &amp; "-" &amp; IPRF_Lines[[#This Row],[Line num]]))</f>
        <v/>
      </c>
      <c r="N281" s="19" t="str" cm="1">
        <f t="array" ref="N2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IF(OR(IPRF_Lines[[#This Row],[Requested Qty]]="",IPRF_Lines[[#This Row],[Picked Qty]]=""),"",IPRF_Lines[[#This Row],[Requested Qty]]-IPRF_Lines[[#This Row],[Picked Qty]])</f>
        <v/>
      </c>
      <c r="M282" s="18" t="str" cm="1">
        <f t="array" ref="M282">IF(
    OR(IPRF_Lines[[#This Row],[Item Description]]="",IPRF_Lines[[#This Row],[Requested Qty]]="",IPRF_Lines[[#This Row],[Unit]]=""),
    "",UPPER(IPRF_Header[Request number] &amp; "-" &amp; IPRF_Lines[[#This Row],[Line num]]))</f>
        <v/>
      </c>
      <c r="N282" s="19" t="str" cm="1">
        <f t="array" ref="N2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IF(OR(IPRF_Lines[[#This Row],[Requested Qty]]="",IPRF_Lines[[#This Row],[Picked Qty]]=""),"",IPRF_Lines[[#This Row],[Requested Qty]]-IPRF_Lines[[#This Row],[Picked Qty]])</f>
        <v/>
      </c>
      <c r="M283" s="18" t="str" cm="1">
        <f t="array" ref="M283">IF(
    OR(IPRF_Lines[[#This Row],[Item Description]]="",IPRF_Lines[[#This Row],[Requested Qty]]="",IPRF_Lines[[#This Row],[Unit]]=""),
    "",UPPER(IPRF_Header[Request number] &amp; "-" &amp; IPRF_Lines[[#This Row],[Line num]]))</f>
        <v/>
      </c>
      <c r="N283" s="19" t="str" cm="1">
        <f t="array" ref="N2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IF(OR(IPRF_Lines[[#This Row],[Requested Qty]]="",IPRF_Lines[[#This Row],[Picked Qty]]=""),"",IPRF_Lines[[#This Row],[Requested Qty]]-IPRF_Lines[[#This Row],[Picked Qty]])</f>
        <v/>
      </c>
      <c r="M284" s="18" t="str" cm="1">
        <f t="array" ref="M284">IF(
    OR(IPRF_Lines[[#This Row],[Item Description]]="",IPRF_Lines[[#This Row],[Requested Qty]]="",IPRF_Lines[[#This Row],[Unit]]=""),
    "",UPPER(IPRF_Header[Request number] &amp; "-" &amp; IPRF_Lines[[#This Row],[Line num]]))</f>
        <v/>
      </c>
      <c r="N284" s="19" t="str" cm="1">
        <f t="array" ref="N2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IF(OR(IPRF_Lines[[#This Row],[Requested Qty]]="",IPRF_Lines[[#This Row],[Picked Qty]]=""),"",IPRF_Lines[[#This Row],[Requested Qty]]-IPRF_Lines[[#This Row],[Picked Qty]])</f>
        <v/>
      </c>
      <c r="M285" s="18" t="str" cm="1">
        <f t="array" ref="M285">IF(
    OR(IPRF_Lines[[#This Row],[Item Description]]="",IPRF_Lines[[#This Row],[Requested Qty]]="",IPRF_Lines[[#This Row],[Unit]]=""),
    "",UPPER(IPRF_Header[Request number] &amp; "-" &amp; IPRF_Lines[[#This Row],[Line num]]))</f>
        <v/>
      </c>
      <c r="N285" s="19" t="str" cm="1">
        <f t="array" ref="N2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IF(OR(IPRF_Lines[[#This Row],[Requested Qty]]="",IPRF_Lines[[#This Row],[Picked Qty]]=""),"",IPRF_Lines[[#This Row],[Requested Qty]]-IPRF_Lines[[#This Row],[Picked Qty]])</f>
        <v/>
      </c>
      <c r="M286" s="18" t="str" cm="1">
        <f t="array" ref="M286">IF(
    OR(IPRF_Lines[[#This Row],[Item Description]]="",IPRF_Lines[[#This Row],[Requested Qty]]="",IPRF_Lines[[#This Row],[Unit]]=""),
    "",UPPER(IPRF_Header[Request number] &amp; "-" &amp; IPRF_Lines[[#This Row],[Line num]]))</f>
        <v/>
      </c>
      <c r="N286" s="19" t="str" cm="1">
        <f t="array" ref="N2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IF(OR(IPRF_Lines[[#This Row],[Requested Qty]]="",IPRF_Lines[[#This Row],[Picked Qty]]=""),"",IPRF_Lines[[#This Row],[Requested Qty]]-IPRF_Lines[[#This Row],[Picked Qty]])</f>
        <v/>
      </c>
      <c r="M287" s="18" t="str" cm="1">
        <f t="array" ref="M287">IF(
    OR(IPRF_Lines[[#This Row],[Item Description]]="",IPRF_Lines[[#This Row],[Requested Qty]]="",IPRF_Lines[[#This Row],[Unit]]=""),
    "",UPPER(IPRF_Header[Request number] &amp; "-" &amp; IPRF_Lines[[#This Row],[Line num]]))</f>
        <v/>
      </c>
      <c r="N287" s="19" t="str" cm="1">
        <f t="array" ref="N2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IF(OR(IPRF_Lines[[#This Row],[Requested Qty]]="",IPRF_Lines[[#This Row],[Picked Qty]]=""),"",IPRF_Lines[[#This Row],[Requested Qty]]-IPRF_Lines[[#This Row],[Picked Qty]])</f>
        <v/>
      </c>
      <c r="M288" s="18" t="str" cm="1">
        <f t="array" ref="M288">IF(
    OR(IPRF_Lines[[#This Row],[Item Description]]="",IPRF_Lines[[#This Row],[Requested Qty]]="",IPRF_Lines[[#This Row],[Unit]]=""),
    "",UPPER(IPRF_Header[Request number] &amp; "-" &amp; IPRF_Lines[[#This Row],[Line num]]))</f>
        <v/>
      </c>
      <c r="N288" s="19" t="str" cm="1">
        <f t="array" ref="N2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IF(OR(IPRF_Lines[[#This Row],[Requested Qty]]="",IPRF_Lines[[#This Row],[Picked Qty]]=""),"",IPRF_Lines[[#This Row],[Requested Qty]]-IPRF_Lines[[#This Row],[Picked Qty]])</f>
        <v/>
      </c>
      <c r="M289" s="18" t="str" cm="1">
        <f t="array" ref="M289">IF(
    OR(IPRF_Lines[[#This Row],[Item Description]]="",IPRF_Lines[[#This Row],[Requested Qty]]="",IPRF_Lines[[#This Row],[Unit]]=""),
    "",UPPER(IPRF_Header[Request number] &amp; "-" &amp; IPRF_Lines[[#This Row],[Line num]]))</f>
        <v/>
      </c>
      <c r="N289" s="19" t="str" cm="1">
        <f t="array" ref="N2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IF(OR(IPRF_Lines[[#This Row],[Requested Qty]]="",IPRF_Lines[[#This Row],[Picked Qty]]=""),"",IPRF_Lines[[#This Row],[Requested Qty]]-IPRF_Lines[[#This Row],[Picked Qty]])</f>
        <v/>
      </c>
      <c r="M290" s="18" t="str" cm="1">
        <f t="array" ref="M290">IF(
    OR(IPRF_Lines[[#This Row],[Item Description]]="",IPRF_Lines[[#This Row],[Requested Qty]]="",IPRF_Lines[[#This Row],[Unit]]=""),
    "",UPPER(IPRF_Header[Request number] &amp; "-" &amp; IPRF_Lines[[#This Row],[Line num]]))</f>
        <v/>
      </c>
      <c r="N290" s="19" t="str" cm="1">
        <f t="array" ref="N2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IF(OR(IPRF_Lines[[#This Row],[Requested Qty]]="",IPRF_Lines[[#This Row],[Picked Qty]]=""),"",IPRF_Lines[[#This Row],[Requested Qty]]-IPRF_Lines[[#This Row],[Picked Qty]])</f>
        <v/>
      </c>
      <c r="M291" s="18" t="str" cm="1">
        <f t="array" ref="M291">IF(
    OR(IPRF_Lines[[#This Row],[Item Description]]="",IPRF_Lines[[#This Row],[Requested Qty]]="",IPRF_Lines[[#This Row],[Unit]]=""),
    "",UPPER(IPRF_Header[Request number] &amp; "-" &amp; IPRF_Lines[[#This Row],[Line num]]))</f>
        <v/>
      </c>
      <c r="N291" s="19" t="str" cm="1">
        <f t="array" ref="N2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IF(OR(IPRF_Lines[[#This Row],[Requested Qty]]="",IPRF_Lines[[#This Row],[Picked Qty]]=""),"",IPRF_Lines[[#This Row],[Requested Qty]]-IPRF_Lines[[#This Row],[Picked Qty]])</f>
        <v/>
      </c>
      <c r="M292" s="18" t="str" cm="1">
        <f t="array" ref="M292">IF(
    OR(IPRF_Lines[[#This Row],[Item Description]]="",IPRF_Lines[[#This Row],[Requested Qty]]="",IPRF_Lines[[#This Row],[Unit]]=""),
    "",UPPER(IPRF_Header[Request number] &amp; "-" &amp; IPRF_Lines[[#This Row],[Line num]]))</f>
        <v/>
      </c>
      <c r="N292" s="19" t="str" cm="1">
        <f t="array" ref="N2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IF(OR(IPRF_Lines[[#This Row],[Requested Qty]]="",IPRF_Lines[[#This Row],[Picked Qty]]=""),"",IPRF_Lines[[#This Row],[Requested Qty]]-IPRF_Lines[[#This Row],[Picked Qty]])</f>
        <v/>
      </c>
      <c r="M293" s="18" t="str" cm="1">
        <f t="array" ref="M293">IF(
    OR(IPRF_Lines[[#This Row],[Item Description]]="",IPRF_Lines[[#This Row],[Requested Qty]]="",IPRF_Lines[[#This Row],[Unit]]=""),
    "",UPPER(IPRF_Header[Request number] &amp; "-" &amp; IPRF_Lines[[#This Row],[Line num]]))</f>
        <v/>
      </c>
      <c r="N293" s="19" t="str" cm="1">
        <f t="array" ref="N2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IF(OR(IPRF_Lines[[#This Row],[Requested Qty]]="",IPRF_Lines[[#This Row],[Picked Qty]]=""),"",IPRF_Lines[[#This Row],[Requested Qty]]-IPRF_Lines[[#This Row],[Picked Qty]])</f>
        <v/>
      </c>
      <c r="M294" s="18" t="str" cm="1">
        <f t="array" ref="M294">IF(
    OR(IPRF_Lines[[#This Row],[Item Description]]="",IPRF_Lines[[#This Row],[Requested Qty]]="",IPRF_Lines[[#This Row],[Unit]]=""),
    "",UPPER(IPRF_Header[Request number] &amp; "-" &amp; IPRF_Lines[[#This Row],[Line num]]))</f>
        <v/>
      </c>
      <c r="N294" s="19" t="str" cm="1">
        <f t="array" ref="N2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IF(OR(IPRF_Lines[[#This Row],[Requested Qty]]="",IPRF_Lines[[#This Row],[Picked Qty]]=""),"",IPRF_Lines[[#This Row],[Requested Qty]]-IPRF_Lines[[#This Row],[Picked Qty]])</f>
        <v/>
      </c>
      <c r="M295" s="18" t="str" cm="1">
        <f t="array" ref="M295">IF(
    OR(IPRF_Lines[[#This Row],[Item Description]]="",IPRF_Lines[[#This Row],[Requested Qty]]="",IPRF_Lines[[#This Row],[Unit]]=""),
    "",UPPER(IPRF_Header[Request number] &amp; "-" &amp; IPRF_Lines[[#This Row],[Line num]]))</f>
        <v/>
      </c>
      <c r="N295" s="19" t="str" cm="1">
        <f t="array" ref="N2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IF(OR(IPRF_Lines[[#This Row],[Requested Qty]]="",IPRF_Lines[[#This Row],[Picked Qty]]=""),"",IPRF_Lines[[#This Row],[Requested Qty]]-IPRF_Lines[[#This Row],[Picked Qty]])</f>
        <v/>
      </c>
      <c r="M296" s="18" t="str" cm="1">
        <f t="array" ref="M296">IF(
    OR(IPRF_Lines[[#This Row],[Item Description]]="",IPRF_Lines[[#This Row],[Requested Qty]]="",IPRF_Lines[[#This Row],[Unit]]=""),
    "",UPPER(IPRF_Header[Request number] &amp; "-" &amp; IPRF_Lines[[#This Row],[Line num]]))</f>
        <v/>
      </c>
      <c r="N296" s="19" t="str" cm="1">
        <f t="array" ref="N2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IF(OR(IPRF_Lines[[#This Row],[Requested Qty]]="",IPRF_Lines[[#This Row],[Picked Qty]]=""),"",IPRF_Lines[[#This Row],[Requested Qty]]-IPRF_Lines[[#This Row],[Picked Qty]])</f>
        <v/>
      </c>
      <c r="M297" s="18" t="str" cm="1">
        <f t="array" ref="M297">IF(
    OR(IPRF_Lines[[#This Row],[Item Description]]="",IPRF_Lines[[#This Row],[Requested Qty]]="",IPRF_Lines[[#This Row],[Unit]]=""),
    "",UPPER(IPRF_Header[Request number] &amp; "-" &amp; IPRF_Lines[[#This Row],[Line num]]))</f>
        <v/>
      </c>
      <c r="N297" s="19" t="str" cm="1">
        <f t="array" ref="N2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IF(OR(IPRF_Lines[[#This Row],[Requested Qty]]="",IPRF_Lines[[#This Row],[Picked Qty]]=""),"",IPRF_Lines[[#This Row],[Requested Qty]]-IPRF_Lines[[#This Row],[Picked Qty]])</f>
        <v/>
      </c>
      <c r="M298" s="18" t="str" cm="1">
        <f t="array" ref="M298">IF(
    OR(IPRF_Lines[[#This Row],[Item Description]]="",IPRF_Lines[[#This Row],[Requested Qty]]="",IPRF_Lines[[#This Row],[Unit]]=""),
    "",UPPER(IPRF_Header[Request number] &amp; "-" &amp; IPRF_Lines[[#This Row],[Line num]]))</f>
        <v/>
      </c>
      <c r="N298" s="19" t="str" cm="1">
        <f t="array" ref="N2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IF(OR(IPRF_Lines[[#This Row],[Requested Qty]]="",IPRF_Lines[[#This Row],[Picked Qty]]=""),"",IPRF_Lines[[#This Row],[Requested Qty]]-IPRF_Lines[[#This Row],[Picked Qty]])</f>
        <v/>
      </c>
      <c r="M299" s="18" t="str" cm="1">
        <f t="array" ref="M299">IF(
    OR(IPRF_Lines[[#This Row],[Item Description]]="",IPRF_Lines[[#This Row],[Requested Qty]]="",IPRF_Lines[[#This Row],[Unit]]=""),
    "",UPPER(IPRF_Header[Request number] &amp; "-" &amp; IPRF_Lines[[#This Row],[Line num]]))</f>
        <v/>
      </c>
      <c r="N299" s="19" t="str" cm="1">
        <f t="array" ref="N2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IF(OR(IPRF_Lines[[#This Row],[Requested Qty]]="",IPRF_Lines[[#This Row],[Picked Qty]]=""),"",IPRF_Lines[[#This Row],[Requested Qty]]-IPRF_Lines[[#This Row],[Picked Qty]])</f>
        <v/>
      </c>
      <c r="M300" s="18" t="str" cm="1">
        <f t="array" ref="M300">IF(
    OR(IPRF_Lines[[#This Row],[Item Description]]="",IPRF_Lines[[#This Row],[Requested Qty]]="",IPRF_Lines[[#This Row],[Unit]]=""),
    "",UPPER(IPRF_Header[Request number] &amp; "-" &amp; IPRF_Lines[[#This Row],[Line num]]))</f>
        <v/>
      </c>
      <c r="N300" s="19" t="str" cm="1">
        <f t="array" ref="N3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IF(OR(IPRF_Lines[[#This Row],[Requested Qty]]="",IPRF_Lines[[#This Row],[Picked Qty]]=""),"",IPRF_Lines[[#This Row],[Requested Qty]]-IPRF_Lines[[#This Row],[Picked Qty]])</f>
        <v/>
      </c>
      <c r="M301" s="18" t="str" cm="1">
        <f t="array" ref="M301">IF(
    OR(IPRF_Lines[[#This Row],[Item Description]]="",IPRF_Lines[[#This Row],[Requested Qty]]="",IPRF_Lines[[#This Row],[Unit]]=""),
    "",UPPER(IPRF_Header[Request number] &amp; "-" &amp; IPRF_Lines[[#This Row],[Line num]]))</f>
        <v/>
      </c>
      <c r="N301" s="19" t="str" cm="1">
        <f t="array" ref="N3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IF(OR(IPRF_Lines[[#This Row],[Requested Qty]]="",IPRF_Lines[[#This Row],[Picked Qty]]=""),"",IPRF_Lines[[#This Row],[Requested Qty]]-IPRF_Lines[[#This Row],[Picked Qty]])</f>
        <v/>
      </c>
      <c r="M302" s="18" t="str" cm="1">
        <f t="array" ref="M302">IF(
    OR(IPRF_Lines[[#This Row],[Item Description]]="",IPRF_Lines[[#This Row],[Requested Qty]]="",IPRF_Lines[[#This Row],[Unit]]=""),
    "",UPPER(IPRF_Header[Request number] &amp; "-" &amp; IPRF_Lines[[#This Row],[Line num]]))</f>
        <v/>
      </c>
      <c r="N302" s="19" t="str" cm="1">
        <f t="array" ref="N3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IF(OR(IPRF_Lines[[#This Row],[Requested Qty]]="",IPRF_Lines[[#This Row],[Picked Qty]]=""),"",IPRF_Lines[[#This Row],[Requested Qty]]-IPRF_Lines[[#This Row],[Picked Qty]])</f>
        <v/>
      </c>
      <c r="M303" s="18" t="str" cm="1">
        <f t="array" ref="M303">IF(
    OR(IPRF_Lines[[#This Row],[Item Description]]="",IPRF_Lines[[#This Row],[Requested Qty]]="",IPRF_Lines[[#This Row],[Unit]]=""),
    "",UPPER(IPRF_Header[Request number] &amp; "-" &amp; IPRF_Lines[[#This Row],[Line num]]))</f>
        <v/>
      </c>
      <c r="N303" s="19" t="str" cm="1">
        <f t="array" ref="N3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IF(OR(IPRF_Lines[[#This Row],[Requested Qty]]="",IPRF_Lines[[#This Row],[Picked Qty]]=""),"",IPRF_Lines[[#This Row],[Requested Qty]]-IPRF_Lines[[#This Row],[Picked Qty]])</f>
        <v/>
      </c>
      <c r="M304" s="18" t="str" cm="1">
        <f t="array" ref="M304">IF(
    OR(IPRF_Lines[[#This Row],[Item Description]]="",IPRF_Lines[[#This Row],[Requested Qty]]="",IPRF_Lines[[#This Row],[Unit]]=""),
    "",UPPER(IPRF_Header[Request number] &amp; "-" &amp; IPRF_Lines[[#This Row],[Line num]]))</f>
        <v/>
      </c>
      <c r="N304" s="19" t="str" cm="1">
        <f t="array" ref="N3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IF(OR(IPRF_Lines[[#This Row],[Requested Qty]]="",IPRF_Lines[[#This Row],[Picked Qty]]=""),"",IPRF_Lines[[#This Row],[Requested Qty]]-IPRF_Lines[[#This Row],[Picked Qty]])</f>
        <v/>
      </c>
      <c r="M305" s="18" t="str" cm="1">
        <f t="array" ref="M305">IF(
    OR(IPRF_Lines[[#This Row],[Item Description]]="",IPRF_Lines[[#This Row],[Requested Qty]]="",IPRF_Lines[[#This Row],[Unit]]=""),
    "",UPPER(IPRF_Header[Request number] &amp; "-" &amp; IPRF_Lines[[#This Row],[Line num]]))</f>
        <v/>
      </c>
      <c r="N305" s="19" t="str" cm="1">
        <f t="array" ref="N3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IF(OR(IPRF_Lines[[#This Row],[Requested Qty]]="",IPRF_Lines[[#This Row],[Picked Qty]]=""),"",IPRF_Lines[[#This Row],[Requested Qty]]-IPRF_Lines[[#This Row],[Picked Qty]])</f>
        <v/>
      </c>
      <c r="M306" s="18" t="str" cm="1">
        <f t="array" ref="M306">IF(
    OR(IPRF_Lines[[#This Row],[Item Description]]="",IPRF_Lines[[#This Row],[Requested Qty]]="",IPRF_Lines[[#This Row],[Unit]]=""),
    "",UPPER(IPRF_Header[Request number] &amp; "-" &amp; IPRF_Lines[[#This Row],[Line num]]))</f>
        <v/>
      </c>
      <c r="N306" s="19" t="str" cm="1">
        <f t="array" ref="N3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IF(OR(IPRF_Lines[[#This Row],[Requested Qty]]="",IPRF_Lines[[#This Row],[Picked Qty]]=""),"",IPRF_Lines[[#This Row],[Requested Qty]]-IPRF_Lines[[#This Row],[Picked Qty]])</f>
        <v/>
      </c>
      <c r="M307" s="18" t="str" cm="1">
        <f t="array" ref="M307">IF(
    OR(IPRF_Lines[[#This Row],[Item Description]]="",IPRF_Lines[[#This Row],[Requested Qty]]="",IPRF_Lines[[#This Row],[Unit]]=""),
    "",UPPER(IPRF_Header[Request number] &amp; "-" &amp; IPRF_Lines[[#This Row],[Line num]]))</f>
        <v/>
      </c>
      <c r="N307" s="19" t="str" cm="1">
        <f t="array" ref="N3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IF(OR(IPRF_Lines[[#This Row],[Requested Qty]]="",IPRF_Lines[[#This Row],[Picked Qty]]=""),"",IPRF_Lines[[#This Row],[Requested Qty]]-IPRF_Lines[[#This Row],[Picked Qty]])</f>
        <v/>
      </c>
      <c r="M308" s="18" t="str" cm="1">
        <f t="array" ref="M308">IF(
    OR(IPRF_Lines[[#This Row],[Item Description]]="",IPRF_Lines[[#This Row],[Requested Qty]]="",IPRF_Lines[[#This Row],[Unit]]=""),
    "",UPPER(IPRF_Header[Request number] &amp; "-" &amp; IPRF_Lines[[#This Row],[Line num]]))</f>
        <v/>
      </c>
      <c r="N308" s="19" t="str" cm="1">
        <f t="array" ref="N3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IF(OR(IPRF_Lines[[#This Row],[Requested Qty]]="",IPRF_Lines[[#This Row],[Picked Qty]]=""),"",IPRF_Lines[[#This Row],[Requested Qty]]-IPRF_Lines[[#This Row],[Picked Qty]])</f>
        <v/>
      </c>
      <c r="M309" s="18" t="str" cm="1">
        <f t="array" ref="M309">IF(
    OR(IPRF_Lines[[#This Row],[Item Description]]="",IPRF_Lines[[#This Row],[Requested Qty]]="",IPRF_Lines[[#This Row],[Unit]]=""),
    "",UPPER(IPRF_Header[Request number] &amp; "-" &amp; IPRF_Lines[[#This Row],[Line num]]))</f>
        <v/>
      </c>
      <c r="N309" s="19" t="str" cm="1">
        <f t="array" ref="N3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IF(OR(IPRF_Lines[[#This Row],[Requested Qty]]="",IPRF_Lines[[#This Row],[Picked Qty]]=""),"",IPRF_Lines[[#This Row],[Requested Qty]]-IPRF_Lines[[#This Row],[Picked Qty]])</f>
        <v/>
      </c>
      <c r="M310" s="18" t="str" cm="1">
        <f t="array" ref="M310">IF(
    OR(IPRF_Lines[[#This Row],[Item Description]]="",IPRF_Lines[[#This Row],[Requested Qty]]="",IPRF_Lines[[#This Row],[Unit]]=""),
    "",UPPER(IPRF_Header[Request number] &amp; "-" &amp; IPRF_Lines[[#This Row],[Line num]]))</f>
        <v/>
      </c>
      <c r="N310" s="19" t="str" cm="1">
        <f t="array" ref="N3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IF(OR(IPRF_Lines[[#This Row],[Requested Qty]]="",IPRF_Lines[[#This Row],[Picked Qty]]=""),"",IPRF_Lines[[#This Row],[Requested Qty]]-IPRF_Lines[[#This Row],[Picked Qty]])</f>
        <v/>
      </c>
      <c r="M311" s="18" t="str" cm="1">
        <f t="array" ref="M311">IF(
    OR(IPRF_Lines[[#This Row],[Item Description]]="",IPRF_Lines[[#This Row],[Requested Qty]]="",IPRF_Lines[[#This Row],[Unit]]=""),
    "",UPPER(IPRF_Header[Request number] &amp; "-" &amp; IPRF_Lines[[#This Row],[Line num]]))</f>
        <v/>
      </c>
      <c r="N311" s="19" t="str" cm="1">
        <f t="array" ref="N3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IF(OR(IPRF_Lines[[#This Row],[Requested Qty]]="",IPRF_Lines[[#This Row],[Picked Qty]]=""),"",IPRF_Lines[[#This Row],[Requested Qty]]-IPRF_Lines[[#This Row],[Picked Qty]])</f>
        <v/>
      </c>
      <c r="M312" s="18" t="str" cm="1">
        <f t="array" ref="M312">IF(
    OR(IPRF_Lines[[#This Row],[Item Description]]="",IPRF_Lines[[#This Row],[Requested Qty]]="",IPRF_Lines[[#This Row],[Unit]]=""),
    "",UPPER(IPRF_Header[Request number] &amp; "-" &amp; IPRF_Lines[[#This Row],[Line num]]))</f>
        <v/>
      </c>
      <c r="N312" s="19" t="str" cm="1">
        <f t="array" ref="N3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IF(OR(IPRF_Lines[[#This Row],[Requested Qty]]="",IPRF_Lines[[#This Row],[Picked Qty]]=""),"",IPRF_Lines[[#This Row],[Requested Qty]]-IPRF_Lines[[#This Row],[Picked Qty]])</f>
        <v/>
      </c>
      <c r="M313" s="18" t="str" cm="1">
        <f t="array" ref="M313">IF(
    OR(IPRF_Lines[[#This Row],[Item Description]]="",IPRF_Lines[[#This Row],[Requested Qty]]="",IPRF_Lines[[#This Row],[Unit]]=""),
    "",UPPER(IPRF_Header[Request number] &amp; "-" &amp; IPRF_Lines[[#This Row],[Line num]]))</f>
        <v/>
      </c>
      <c r="N313" s="19" t="str" cm="1">
        <f t="array" ref="N3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IF(OR(IPRF_Lines[[#This Row],[Requested Qty]]="",IPRF_Lines[[#This Row],[Picked Qty]]=""),"",IPRF_Lines[[#This Row],[Requested Qty]]-IPRF_Lines[[#This Row],[Picked Qty]])</f>
        <v/>
      </c>
      <c r="M314" s="18" t="str" cm="1">
        <f t="array" ref="M314">IF(
    OR(IPRF_Lines[[#This Row],[Item Description]]="",IPRF_Lines[[#This Row],[Requested Qty]]="",IPRF_Lines[[#This Row],[Unit]]=""),
    "",UPPER(IPRF_Header[Request number] &amp; "-" &amp; IPRF_Lines[[#This Row],[Line num]]))</f>
        <v/>
      </c>
      <c r="N314" s="19" t="str" cm="1">
        <f t="array" ref="N3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IF(OR(IPRF_Lines[[#This Row],[Requested Qty]]="",IPRF_Lines[[#This Row],[Picked Qty]]=""),"",IPRF_Lines[[#This Row],[Requested Qty]]-IPRF_Lines[[#This Row],[Picked Qty]])</f>
        <v/>
      </c>
      <c r="M315" s="18" t="str" cm="1">
        <f t="array" ref="M315">IF(
    OR(IPRF_Lines[[#This Row],[Item Description]]="",IPRF_Lines[[#This Row],[Requested Qty]]="",IPRF_Lines[[#This Row],[Unit]]=""),
    "",UPPER(IPRF_Header[Request number] &amp; "-" &amp; IPRF_Lines[[#This Row],[Line num]]))</f>
        <v/>
      </c>
      <c r="N315" s="19" t="str" cm="1">
        <f t="array" ref="N3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IF(OR(IPRF_Lines[[#This Row],[Requested Qty]]="",IPRF_Lines[[#This Row],[Picked Qty]]=""),"",IPRF_Lines[[#This Row],[Requested Qty]]-IPRF_Lines[[#This Row],[Picked Qty]])</f>
        <v/>
      </c>
      <c r="M316" s="18" t="str" cm="1">
        <f t="array" ref="M316">IF(
    OR(IPRF_Lines[[#This Row],[Item Description]]="",IPRF_Lines[[#This Row],[Requested Qty]]="",IPRF_Lines[[#This Row],[Unit]]=""),
    "",UPPER(IPRF_Header[Request number] &amp; "-" &amp; IPRF_Lines[[#This Row],[Line num]]))</f>
        <v/>
      </c>
      <c r="N316" s="19" t="str" cm="1">
        <f t="array" ref="N3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IF(OR(IPRF_Lines[[#This Row],[Requested Qty]]="",IPRF_Lines[[#This Row],[Picked Qty]]=""),"",IPRF_Lines[[#This Row],[Requested Qty]]-IPRF_Lines[[#This Row],[Picked Qty]])</f>
        <v/>
      </c>
      <c r="M317" s="18" t="str" cm="1">
        <f t="array" ref="M317">IF(
    OR(IPRF_Lines[[#This Row],[Item Description]]="",IPRF_Lines[[#This Row],[Requested Qty]]="",IPRF_Lines[[#This Row],[Unit]]=""),
    "",UPPER(IPRF_Header[Request number] &amp; "-" &amp; IPRF_Lines[[#This Row],[Line num]]))</f>
        <v/>
      </c>
      <c r="N317" s="19" t="str" cm="1">
        <f t="array" ref="N3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IF(OR(IPRF_Lines[[#This Row],[Requested Qty]]="",IPRF_Lines[[#This Row],[Picked Qty]]=""),"",IPRF_Lines[[#This Row],[Requested Qty]]-IPRF_Lines[[#This Row],[Picked Qty]])</f>
        <v/>
      </c>
      <c r="M318" s="18" t="str" cm="1">
        <f t="array" ref="M318">IF(
    OR(IPRF_Lines[[#This Row],[Item Description]]="",IPRF_Lines[[#This Row],[Requested Qty]]="",IPRF_Lines[[#This Row],[Unit]]=""),
    "",UPPER(IPRF_Header[Request number] &amp; "-" &amp; IPRF_Lines[[#This Row],[Line num]]))</f>
        <v/>
      </c>
      <c r="N318" s="19" t="str" cm="1">
        <f t="array" ref="N3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IF(OR(IPRF_Lines[[#This Row],[Requested Qty]]="",IPRF_Lines[[#This Row],[Picked Qty]]=""),"",IPRF_Lines[[#This Row],[Requested Qty]]-IPRF_Lines[[#This Row],[Picked Qty]])</f>
        <v/>
      </c>
      <c r="M319" s="18" t="str" cm="1">
        <f t="array" ref="M319">IF(
    OR(IPRF_Lines[[#This Row],[Item Description]]="",IPRF_Lines[[#This Row],[Requested Qty]]="",IPRF_Lines[[#This Row],[Unit]]=""),
    "",UPPER(IPRF_Header[Request number] &amp; "-" &amp; IPRF_Lines[[#This Row],[Line num]]))</f>
        <v/>
      </c>
      <c r="N319" s="19" t="str" cm="1">
        <f t="array" ref="N3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IF(OR(IPRF_Lines[[#This Row],[Requested Qty]]="",IPRF_Lines[[#This Row],[Picked Qty]]=""),"",IPRF_Lines[[#This Row],[Requested Qty]]-IPRF_Lines[[#This Row],[Picked Qty]])</f>
        <v/>
      </c>
      <c r="M320" s="18" t="str" cm="1">
        <f t="array" ref="M320">IF(
    OR(IPRF_Lines[[#This Row],[Item Description]]="",IPRF_Lines[[#This Row],[Requested Qty]]="",IPRF_Lines[[#This Row],[Unit]]=""),
    "",UPPER(IPRF_Header[Request number] &amp; "-" &amp; IPRF_Lines[[#This Row],[Line num]]))</f>
        <v/>
      </c>
      <c r="N320" s="19" t="str" cm="1">
        <f t="array" ref="N3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IF(OR(IPRF_Lines[[#This Row],[Requested Qty]]="",IPRF_Lines[[#This Row],[Picked Qty]]=""),"",IPRF_Lines[[#This Row],[Requested Qty]]-IPRF_Lines[[#This Row],[Picked Qty]])</f>
        <v/>
      </c>
      <c r="M321" s="18" t="str" cm="1">
        <f t="array" ref="M321">IF(
    OR(IPRF_Lines[[#This Row],[Item Description]]="",IPRF_Lines[[#This Row],[Requested Qty]]="",IPRF_Lines[[#This Row],[Unit]]=""),
    "",UPPER(IPRF_Header[Request number] &amp; "-" &amp; IPRF_Lines[[#This Row],[Line num]]))</f>
        <v/>
      </c>
      <c r="N321" s="19" t="str" cm="1">
        <f t="array" ref="N3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IF(OR(IPRF_Lines[[#This Row],[Requested Qty]]="",IPRF_Lines[[#This Row],[Picked Qty]]=""),"",IPRF_Lines[[#This Row],[Requested Qty]]-IPRF_Lines[[#This Row],[Picked Qty]])</f>
        <v/>
      </c>
      <c r="M322" s="18" t="str" cm="1">
        <f t="array" ref="M322">IF(
    OR(IPRF_Lines[[#This Row],[Item Description]]="",IPRF_Lines[[#This Row],[Requested Qty]]="",IPRF_Lines[[#This Row],[Unit]]=""),
    "",UPPER(IPRF_Header[Request number] &amp; "-" &amp; IPRF_Lines[[#This Row],[Line num]]))</f>
        <v/>
      </c>
      <c r="N322" s="19" t="str" cm="1">
        <f t="array" ref="N3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IF(OR(IPRF_Lines[[#This Row],[Requested Qty]]="",IPRF_Lines[[#This Row],[Picked Qty]]=""),"",IPRF_Lines[[#This Row],[Requested Qty]]-IPRF_Lines[[#This Row],[Picked Qty]])</f>
        <v/>
      </c>
      <c r="M323" s="18" t="str" cm="1">
        <f t="array" ref="M323">IF(
    OR(IPRF_Lines[[#This Row],[Item Description]]="",IPRF_Lines[[#This Row],[Requested Qty]]="",IPRF_Lines[[#This Row],[Unit]]=""),
    "",UPPER(IPRF_Header[Request number] &amp; "-" &amp; IPRF_Lines[[#This Row],[Line num]]))</f>
        <v/>
      </c>
      <c r="N323" s="19" t="str" cm="1">
        <f t="array" ref="N3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IF(OR(IPRF_Lines[[#This Row],[Requested Qty]]="",IPRF_Lines[[#This Row],[Picked Qty]]=""),"",IPRF_Lines[[#This Row],[Requested Qty]]-IPRF_Lines[[#This Row],[Picked Qty]])</f>
        <v/>
      </c>
      <c r="M324" s="18" t="str" cm="1">
        <f t="array" ref="M324">IF(
    OR(IPRF_Lines[[#This Row],[Item Description]]="",IPRF_Lines[[#This Row],[Requested Qty]]="",IPRF_Lines[[#This Row],[Unit]]=""),
    "",UPPER(IPRF_Header[Request number] &amp; "-" &amp; IPRF_Lines[[#This Row],[Line num]]))</f>
        <v/>
      </c>
      <c r="N324" s="19" t="str" cm="1">
        <f t="array" ref="N3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IF(OR(IPRF_Lines[[#This Row],[Requested Qty]]="",IPRF_Lines[[#This Row],[Picked Qty]]=""),"",IPRF_Lines[[#This Row],[Requested Qty]]-IPRF_Lines[[#This Row],[Picked Qty]])</f>
        <v/>
      </c>
      <c r="M325" s="18" t="str" cm="1">
        <f t="array" ref="M325">IF(
    OR(IPRF_Lines[[#This Row],[Item Description]]="",IPRF_Lines[[#This Row],[Requested Qty]]="",IPRF_Lines[[#This Row],[Unit]]=""),
    "",UPPER(IPRF_Header[Request number] &amp; "-" &amp; IPRF_Lines[[#This Row],[Line num]]))</f>
        <v/>
      </c>
      <c r="N325" s="19" t="str" cm="1">
        <f t="array" ref="N3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IF(OR(IPRF_Lines[[#This Row],[Requested Qty]]="",IPRF_Lines[[#This Row],[Picked Qty]]=""),"",IPRF_Lines[[#This Row],[Requested Qty]]-IPRF_Lines[[#This Row],[Picked Qty]])</f>
        <v/>
      </c>
      <c r="M326" s="18" t="str" cm="1">
        <f t="array" ref="M326">IF(
    OR(IPRF_Lines[[#This Row],[Item Description]]="",IPRF_Lines[[#This Row],[Requested Qty]]="",IPRF_Lines[[#This Row],[Unit]]=""),
    "",UPPER(IPRF_Header[Request number] &amp; "-" &amp; IPRF_Lines[[#This Row],[Line num]]))</f>
        <v/>
      </c>
      <c r="N326" s="19" t="str" cm="1">
        <f t="array" ref="N3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IF(OR(IPRF_Lines[[#This Row],[Requested Qty]]="",IPRF_Lines[[#This Row],[Picked Qty]]=""),"",IPRF_Lines[[#This Row],[Requested Qty]]-IPRF_Lines[[#This Row],[Picked Qty]])</f>
        <v/>
      </c>
      <c r="M327" s="18" t="str" cm="1">
        <f t="array" ref="M327">IF(
    OR(IPRF_Lines[[#This Row],[Item Description]]="",IPRF_Lines[[#This Row],[Requested Qty]]="",IPRF_Lines[[#This Row],[Unit]]=""),
    "",UPPER(IPRF_Header[Request number] &amp; "-" &amp; IPRF_Lines[[#This Row],[Line num]]))</f>
        <v/>
      </c>
      <c r="N327" s="19" t="str" cm="1">
        <f t="array" ref="N3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IF(OR(IPRF_Lines[[#This Row],[Requested Qty]]="",IPRF_Lines[[#This Row],[Picked Qty]]=""),"",IPRF_Lines[[#This Row],[Requested Qty]]-IPRF_Lines[[#This Row],[Picked Qty]])</f>
        <v/>
      </c>
      <c r="M328" s="18" t="str" cm="1">
        <f t="array" ref="M328">IF(
    OR(IPRF_Lines[[#This Row],[Item Description]]="",IPRF_Lines[[#This Row],[Requested Qty]]="",IPRF_Lines[[#This Row],[Unit]]=""),
    "",UPPER(IPRF_Header[Request number] &amp; "-" &amp; IPRF_Lines[[#This Row],[Line num]]))</f>
        <v/>
      </c>
      <c r="N328" s="19" t="str" cm="1">
        <f t="array" ref="N3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IF(OR(IPRF_Lines[[#This Row],[Requested Qty]]="",IPRF_Lines[[#This Row],[Picked Qty]]=""),"",IPRF_Lines[[#This Row],[Requested Qty]]-IPRF_Lines[[#This Row],[Picked Qty]])</f>
        <v/>
      </c>
      <c r="M329" s="18" t="str" cm="1">
        <f t="array" ref="M329">IF(
    OR(IPRF_Lines[[#This Row],[Item Description]]="",IPRF_Lines[[#This Row],[Requested Qty]]="",IPRF_Lines[[#This Row],[Unit]]=""),
    "",UPPER(IPRF_Header[Request number] &amp; "-" &amp; IPRF_Lines[[#This Row],[Line num]]))</f>
        <v/>
      </c>
      <c r="N329" s="19" t="str" cm="1">
        <f t="array" ref="N3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IF(OR(IPRF_Lines[[#This Row],[Requested Qty]]="",IPRF_Lines[[#This Row],[Picked Qty]]=""),"",IPRF_Lines[[#This Row],[Requested Qty]]-IPRF_Lines[[#This Row],[Picked Qty]])</f>
        <v/>
      </c>
      <c r="M330" s="18" t="str" cm="1">
        <f t="array" ref="M330">IF(
    OR(IPRF_Lines[[#This Row],[Item Description]]="",IPRF_Lines[[#This Row],[Requested Qty]]="",IPRF_Lines[[#This Row],[Unit]]=""),
    "",UPPER(IPRF_Header[Request number] &amp; "-" &amp; IPRF_Lines[[#This Row],[Line num]]))</f>
        <v/>
      </c>
      <c r="N330" s="19" t="str" cm="1">
        <f t="array" ref="N3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IF(OR(IPRF_Lines[[#This Row],[Requested Qty]]="",IPRF_Lines[[#This Row],[Picked Qty]]=""),"",IPRF_Lines[[#This Row],[Requested Qty]]-IPRF_Lines[[#This Row],[Picked Qty]])</f>
        <v/>
      </c>
      <c r="M331" s="18" t="str" cm="1">
        <f t="array" ref="M331">IF(
    OR(IPRF_Lines[[#This Row],[Item Description]]="",IPRF_Lines[[#This Row],[Requested Qty]]="",IPRF_Lines[[#This Row],[Unit]]=""),
    "",UPPER(IPRF_Header[Request number] &amp; "-" &amp; IPRF_Lines[[#This Row],[Line num]]))</f>
        <v/>
      </c>
      <c r="N331" s="19" t="str" cm="1">
        <f t="array" ref="N3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IF(OR(IPRF_Lines[[#This Row],[Requested Qty]]="",IPRF_Lines[[#This Row],[Picked Qty]]=""),"",IPRF_Lines[[#This Row],[Requested Qty]]-IPRF_Lines[[#This Row],[Picked Qty]])</f>
        <v/>
      </c>
      <c r="M332" s="18" t="str" cm="1">
        <f t="array" ref="M332">IF(
    OR(IPRF_Lines[[#This Row],[Item Description]]="",IPRF_Lines[[#This Row],[Requested Qty]]="",IPRF_Lines[[#This Row],[Unit]]=""),
    "",UPPER(IPRF_Header[Request number] &amp; "-" &amp; IPRF_Lines[[#This Row],[Line num]]))</f>
        <v/>
      </c>
      <c r="N332" s="19" t="str" cm="1">
        <f t="array" ref="N3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IF(OR(IPRF_Lines[[#This Row],[Requested Qty]]="",IPRF_Lines[[#This Row],[Picked Qty]]=""),"",IPRF_Lines[[#This Row],[Requested Qty]]-IPRF_Lines[[#This Row],[Picked Qty]])</f>
        <v/>
      </c>
      <c r="M333" s="18" t="str" cm="1">
        <f t="array" ref="M333">IF(
    OR(IPRF_Lines[[#This Row],[Item Description]]="",IPRF_Lines[[#This Row],[Requested Qty]]="",IPRF_Lines[[#This Row],[Unit]]=""),
    "",UPPER(IPRF_Header[Request number] &amp; "-" &amp; IPRF_Lines[[#This Row],[Line num]]))</f>
        <v/>
      </c>
      <c r="N333" s="19" t="str" cm="1">
        <f t="array" ref="N3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IF(OR(IPRF_Lines[[#This Row],[Requested Qty]]="",IPRF_Lines[[#This Row],[Picked Qty]]=""),"",IPRF_Lines[[#This Row],[Requested Qty]]-IPRF_Lines[[#This Row],[Picked Qty]])</f>
        <v/>
      </c>
      <c r="M334" s="18" t="str" cm="1">
        <f t="array" ref="M334">IF(
    OR(IPRF_Lines[[#This Row],[Item Description]]="",IPRF_Lines[[#This Row],[Requested Qty]]="",IPRF_Lines[[#This Row],[Unit]]=""),
    "",UPPER(IPRF_Header[Request number] &amp; "-" &amp; IPRF_Lines[[#This Row],[Line num]]))</f>
        <v/>
      </c>
      <c r="N334" s="19" t="str" cm="1">
        <f t="array" ref="N3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IF(OR(IPRF_Lines[[#This Row],[Requested Qty]]="",IPRF_Lines[[#This Row],[Picked Qty]]=""),"",IPRF_Lines[[#This Row],[Requested Qty]]-IPRF_Lines[[#This Row],[Picked Qty]])</f>
        <v/>
      </c>
      <c r="M335" s="18" t="str" cm="1">
        <f t="array" ref="M335">IF(
    OR(IPRF_Lines[[#This Row],[Item Description]]="",IPRF_Lines[[#This Row],[Requested Qty]]="",IPRF_Lines[[#This Row],[Unit]]=""),
    "",UPPER(IPRF_Header[Request number] &amp; "-" &amp; IPRF_Lines[[#This Row],[Line num]]))</f>
        <v/>
      </c>
      <c r="N335" s="19" t="str" cm="1">
        <f t="array" ref="N3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IF(OR(IPRF_Lines[[#This Row],[Requested Qty]]="",IPRF_Lines[[#This Row],[Picked Qty]]=""),"",IPRF_Lines[[#This Row],[Requested Qty]]-IPRF_Lines[[#This Row],[Picked Qty]])</f>
        <v/>
      </c>
      <c r="M336" s="18" t="str" cm="1">
        <f t="array" ref="M336">IF(
    OR(IPRF_Lines[[#This Row],[Item Description]]="",IPRF_Lines[[#This Row],[Requested Qty]]="",IPRF_Lines[[#This Row],[Unit]]=""),
    "",UPPER(IPRF_Header[Request number] &amp; "-" &amp; IPRF_Lines[[#This Row],[Line num]]))</f>
        <v/>
      </c>
      <c r="N336" s="19" t="str" cm="1">
        <f t="array" ref="N3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IF(OR(IPRF_Lines[[#This Row],[Requested Qty]]="",IPRF_Lines[[#This Row],[Picked Qty]]=""),"",IPRF_Lines[[#This Row],[Requested Qty]]-IPRF_Lines[[#This Row],[Picked Qty]])</f>
        <v/>
      </c>
      <c r="M337" s="18" t="str" cm="1">
        <f t="array" ref="M337">IF(
    OR(IPRF_Lines[[#This Row],[Item Description]]="",IPRF_Lines[[#This Row],[Requested Qty]]="",IPRF_Lines[[#This Row],[Unit]]=""),
    "",UPPER(IPRF_Header[Request number] &amp; "-" &amp; IPRF_Lines[[#This Row],[Line num]]))</f>
        <v/>
      </c>
      <c r="N337" s="19" t="str" cm="1">
        <f t="array" ref="N3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IF(OR(IPRF_Lines[[#This Row],[Requested Qty]]="",IPRF_Lines[[#This Row],[Picked Qty]]=""),"",IPRF_Lines[[#This Row],[Requested Qty]]-IPRF_Lines[[#This Row],[Picked Qty]])</f>
        <v/>
      </c>
      <c r="M338" s="18" t="str" cm="1">
        <f t="array" ref="M338">IF(
    OR(IPRF_Lines[[#This Row],[Item Description]]="",IPRF_Lines[[#This Row],[Requested Qty]]="",IPRF_Lines[[#This Row],[Unit]]=""),
    "",UPPER(IPRF_Header[Request number] &amp; "-" &amp; IPRF_Lines[[#This Row],[Line num]]))</f>
        <v/>
      </c>
      <c r="N338" s="19" t="str" cm="1">
        <f t="array" ref="N3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IF(OR(IPRF_Lines[[#This Row],[Requested Qty]]="",IPRF_Lines[[#This Row],[Picked Qty]]=""),"",IPRF_Lines[[#This Row],[Requested Qty]]-IPRF_Lines[[#This Row],[Picked Qty]])</f>
        <v/>
      </c>
      <c r="M339" s="18" t="str" cm="1">
        <f t="array" ref="M339">IF(
    OR(IPRF_Lines[[#This Row],[Item Description]]="",IPRF_Lines[[#This Row],[Requested Qty]]="",IPRF_Lines[[#This Row],[Unit]]=""),
    "",UPPER(IPRF_Header[Request number] &amp; "-" &amp; IPRF_Lines[[#This Row],[Line num]]))</f>
        <v/>
      </c>
      <c r="N339" s="19" t="str" cm="1">
        <f t="array" ref="N3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IF(OR(IPRF_Lines[[#This Row],[Requested Qty]]="",IPRF_Lines[[#This Row],[Picked Qty]]=""),"",IPRF_Lines[[#This Row],[Requested Qty]]-IPRF_Lines[[#This Row],[Picked Qty]])</f>
        <v/>
      </c>
      <c r="M340" s="18" t="str" cm="1">
        <f t="array" ref="M340">IF(
    OR(IPRF_Lines[[#This Row],[Item Description]]="",IPRF_Lines[[#This Row],[Requested Qty]]="",IPRF_Lines[[#This Row],[Unit]]=""),
    "",UPPER(IPRF_Header[Request number] &amp; "-" &amp; IPRF_Lines[[#This Row],[Line num]]))</f>
        <v/>
      </c>
      <c r="N340" s="19" t="str" cm="1">
        <f t="array" ref="N3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IF(OR(IPRF_Lines[[#This Row],[Requested Qty]]="",IPRF_Lines[[#This Row],[Picked Qty]]=""),"",IPRF_Lines[[#This Row],[Requested Qty]]-IPRF_Lines[[#This Row],[Picked Qty]])</f>
        <v/>
      </c>
      <c r="M341" s="18" t="str" cm="1">
        <f t="array" ref="M341">IF(
    OR(IPRF_Lines[[#This Row],[Item Description]]="",IPRF_Lines[[#This Row],[Requested Qty]]="",IPRF_Lines[[#This Row],[Unit]]=""),
    "",UPPER(IPRF_Header[Request number] &amp; "-" &amp; IPRF_Lines[[#This Row],[Line num]]))</f>
        <v/>
      </c>
      <c r="N341" s="19" t="str" cm="1">
        <f t="array" ref="N3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IF(OR(IPRF_Lines[[#This Row],[Requested Qty]]="",IPRF_Lines[[#This Row],[Picked Qty]]=""),"",IPRF_Lines[[#This Row],[Requested Qty]]-IPRF_Lines[[#This Row],[Picked Qty]])</f>
        <v/>
      </c>
      <c r="M342" s="18" t="str" cm="1">
        <f t="array" ref="M342">IF(
    OR(IPRF_Lines[[#This Row],[Item Description]]="",IPRF_Lines[[#This Row],[Requested Qty]]="",IPRF_Lines[[#This Row],[Unit]]=""),
    "",UPPER(IPRF_Header[Request number] &amp; "-" &amp; IPRF_Lines[[#This Row],[Line num]]))</f>
        <v/>
      </c>
      <c r="N342" s="19" t="str" cm="1">
        <f t="array" ref="N3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IF(OR(IPRF_Lines[[#This Row],[Requested Qty]]="",IPRF_Lines[[#This Row],[Picked Qty]]=""),"",IPRF_Lines[[#This Row],[Requested Qty]]-IPRF_Lines[[#This Row],[Picked Qty]])</f>
        <v/>
      </c>
      <c r="M343" s="18" t="str" cm="1">
        <f t="array" ref="M343">IF(
    OR(IPRF_Lines[[#This Row],[Item Description]]="",IPRF_Lines[[#This Row],[Requested Qty]]="",IPRF_Lines[[#This Row],[Unit]]=""),
    "",UPPER(IPRF_Header[Request number] &amp; "-" &amp; IPRF_Lines[[#This Row],[Line num]]))</f>
        <v/>
      </c>
      <c r="N343" s="19" t="str" cm="1">
        <f t="array" ref="N3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IF(OR(IPRF_Lines[[#This Row],[Requested Qty]]="",IPRF_Lines[[#This Row],[Picked Qty]]=""),"",IPRF_Lines[[#This Row],[Requested Qty]]-IPRF_Lines[[#This Row],[Picked Qty]])</f>
        <v/>
      </c>
      <c r="M344" s="18" t="str" cm="1">
        <f t="array" ref="M344">IF(
    OR(IPRF_Lines[[#This Row],[Item Description]]="",IPRF_Lines[[#This Row],[Requested Qty]]="",IPRF_Lines[[#This Row],[Unit]]=""),
    "",UPPER(IPRF_Header[Request number] &amp; "-" &amp; IPRF_Lines[[#This Row],[Line num]]))</f>
        <v/>
      </c>
      <c r="N344" s="19" t="str" cm="1">
        <f t="array" ref="N3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IF(OR(IPRF_Lines[[#This Row],[Requested Qty]]="",IPRF_Lines[[#This Row],[Picked Qty]]=""),"",IPRF_Lines[[#This Row],[Requested Qty]]-IPRF_Lines[[#This Row],[Picked Qty]])</f>
        <v/>
      </c>
      <c r="M345" s="18" t="str" cm="1">
        <f t="array" ref="M345">IF(
    OR(IPRF_Lines[[#This Row],[Item Description]]="",IPRF_Lines[[#This Row],[Requested Qty]]="",IPRF_Lines[[#This Row],[Unit]]=""),
    "",UPPER(IPRF_Header[Request number] &amp; "-" &amp; IPRF_Lines[[#This Row],[Line num]]))</f>
        <v/>
      </c>
      <c r="N345" s="19" t="str" cm="1">
        <f t="array" ref="N3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IF(OR(IPRF_Lines[[#This Row],[Requested Qty]]="",IPRF_Lines[[#This Row],[Picked Qty]]=""),"",IPRF_Lines[[#This Row],[Requested Qty]]-IPRF_Lines[[#This Row],[Picked Qty]])</f>
        <v/>
      </c>
      <c r="M346" s="18" t="str" cm="1">
        <f t="array" ref="M346">IF(
    OR(IPRF_Lines[[#This Row],[Item Description]]="",IPRF_Lines[[#This Row],[Requested Qty]]="",IPRF_Lines[[#This Row],[Unit]]=""),
    "",UPPER(IPRF_Header[Request number] &amp; "-" &amp; IPRF_Lines[[#This Row],[Line num]]))</f>
        <v/>
      </c>
      <c r="N346" s="19" t="str" cm="1">
        <f t="array" ref="N3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IF(OR(IPRF_Lines[[#This Row],[Requested Qty]]="",IPRF_Lines[[#This Row],[Picked Qty]]=""),"",IPRF_Lines[[#This Row],[Requested Qty]]-IPRF_Lines[[#This Row],[Picked Qty]])</f>
        <v/>
      </c>
      <c r="M347" s="18" t="str" cm="1">
        <f t="array" ref="M347">IF(
    OR(IPRF_Lines[[#This Row],[Item Description]]="",IPRF_Lines[[#This Row],[Requested Qty]]="",IPRF_Lines[[#This Row],[Unit]]=""),
    "",UPPER(IPRF_Header[Request number] &amp; "-" &amp; IPRF_Lines[[#This Row],[Line num]]))</f>
        <v/>
      </c>
      <c r="N347" s="19" t="str" cm="1">
        <f t="array" ref="N3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IF(OR(IPRF_Lines[[#This Row],[Requested Qty]]="",IPRF_Lines[[#This Row],[Picked Qty]]=""),"",IPRF_Lines[[#This Row],[Requested Qty]]-IPRF_Lines[[#This Row],[Picked Qty]])</f>
        <v/>
      </c>
      <c r="M348" s="18" t="str" cm="1">
        <f t="array" ref="M348">IF(
    OR(IPRF_Lines[[#This Row],[Item Description]]="",IPRF_Lines[[#This Row],[Requested Qty]]="",IPRF_Lines[[#This Row],[Unit]]=""),
    "",UPPER(IPRF_Header[Request number] &amp; "-" &amp; IPRF_Lines[[#This Row],[Line num]]))</f>
        <v/>
      </c>
      <c r="N348" s="19" t="str" cm="1">
        <f t="array" ref="N3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IF(OR(IPRF_Lines[[#This Row],[Requested Qty]]="",IPRF_Lines[[#This Row],[Picked Qty]]=""),"",IPRF_Lines[[#This Row],[Requested Qty]]-IPRF_Lines[[#This Row],[Picked Qty]])</f>
        <v/>
      </c>
      <c r="M349" s="18" t="str" cm="1">
        <f t="array" ref="M349">IF(
    OR(IPRF_Lines[[#This Row],[Item Description]]="",IPRF_Lines[[#This Row],[Requested Qty]]="",IPRF_Lines[[#This Row],[Unit]]=""),
    "",UPPER(IPRF_Header[Request number] &amp; "-" &amp; IPRF_Lines[[#This Row],[Line num]]))</f>
        <v/>
      </c>
      <c r="N349" s="19" t="str" cm="1">
        <f t="array" ref="N3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IF(OR(IPRF_Lines[[#This Row],[Requested Qty]]="",IPRF_Lines[[#This Row],[Picked Qty]]=""),"",IPRF_Lines[[#This Row],[Requested Qty]]-IPRF_Lines[[#This Row],[Picked Qty]])</f>
        <v/>
      </c>
      <c r="M350" s="18" t="str" cm="1">
        <f t="array" ref="M350">IF(
    OR(IPRF_Lines[[#This Row],[Item Description]]="",IPRF_Lines[[#This Row],[Requested Qty]]="",IPRF_Lines[[#This Row],[Unit]]=""),
    "",UPPER(IPRF_Header[Request number] &amp; "-" &amp; IPRF_Lines[[#This Row],[Line num]]))</f>
        <v/>
      </c>
      <c r="N350" s="19" t="str" cm="1">
        <f t="array" ref="N3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IF(OR(IPRF_Lines[[#This Row],[Requested Qty]]="",IPRF_Lines[[#This Row],[Picked Qty]]=""),"",IPRF_Lines[[#This Row],[Requested Qty]]-IPRF_Lines[[#This Row],[Picked Qty]])</f>
        <v/>
      </c>
      <c r="M351" s="18" t="str" cm="1">
        <f t="array" ref="M351">IF(
    OR(IPRF_Lines[[#This Row],[Item Description]]="",IPRF_Lines[[#This Row],[Requested Qty]]="",IPRF_Lines[[#This Row],[Unit]]=""),
    "",UPPER(IPRF_Header[Request number] &amp; "-" &amp; IPRF_Lines[[#This Row],[Line num]]))</f>
        <v/>
      </c>
      <c r="N351" s="19" t="str" cm="1">
        <f t="array" ref="N3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IF(OR(IPRF_Lines[[#This Row],[Requested Qty]]="",IPRF_Lines[[#This Row],[Picked Qty]]=""),"",IPRF_Lines[[#This Row],[Requested Qty]]-IPRF_Lines[[#This Row],[Picked Qty]])</f>
        <v/>
      </c>
      <c r="M352" s="18" t="str" cm="1">
        <f t="array" ref="M352">IF(
    OR(IPRF_Lines[[#This Row],[Item Description]]="",IPRF_Lines[[#This Row],[Requested Qty]]="",IPRF_Lines[[#This Row],[Unit]]=""),
    "",UPPER(IPRF_Header[Request number] &amp; "-" &amp; IPRF_Lines[[#This Row],[Line num]]))</f>
        <v/>
      </c>
      <c r="N352" s="19" t="str" cm="1">
        <f t="array" ref="N3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IF(OR(IPRF_Lines[[#This Row],[Requested Qty]]="",IPRF_Lines[[#This Row],[Picked Qty]]=""),"",IPRF_Lines[[#This Row],[Requested Qty]]-IPRF_Lines[[#This Row],[Picked Qty]])</f>
        <v/>
      </c>
      <c r="M353" s="18" t="str" cm="1">
        <f t="array" ref="M353">IF(
    OR(IPRF_Lines[[#This Row],[Item Description]]="",IPRF_Lines[[#This Row],[Requested Qty]]="",IPRF_Lines[[#This Row],[Unit]]=""),
    "",UPPER(IPRF_Header[Request number] &amp; "-" &amp; IPRF_Lines[[#This Row],[Line num]]))</f>
        <v/>
      </c>
      <c r="N353" s="19" t="str" cm="1">
        <f t="array" ref="N3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IF(OR(IPRF_Lines[[#This Row],[Requested Qty]]="",IPRF_Lines[[#This Row],[Picked Qty]]=""),"",IPRF_Lines[[#This Row],[Requested Qty]]-IPRF_Lines[[#This Row],[Picked Qty]])</f>
        <v/>
      </c>
      <c r="M354" s="18" t="str" cm="1">
        <f t="array" ref="M354">IF(
    OR(IPRF_Lines[[#This Row],[Item Description]]="",IPRF_Lines[[#This Row],[Requested Qty]]="",IPRF_Lines[[#This Row],[Unit]]=""),
    "",UPPER(IPRF_Header[Request number] &amp; "-" &amp; IPRF_Lines[[#This Row],[Line num]]))</f>
        <v/>
      </c>
      <c r="N354" s="19" t="str" cm="1">
        <f t="array" ref="N3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IF(OR(IPRF_Lines[[#This Row],[Requested Qty]]="",IPRF_Lines[[#This Row],[Picked Qty]]=""),"",IPRF_Lines[[#This Row],[Requested Qty]]-IPRF_Lines[[#This Row],[Picked Qty]])</f>
        <v/>
      </c>
      <c r="M355" s="18" t="str" cm="1">
        <f t="array" ref="M355">IF(
    OR(IPRF_Lines[[#This Row],[Item Description]]="",IPRF_Lines[[#This Row],[Requested Qty]]="",IPRF_Lines[[#This Row],[Unit]]=""),
    "",UPPER(IPRF_Header[Request number] &amp; "-" &amp; IPRF_Lines[[#This Row],[Line num]]))</f>
        <v/>
      </c>
      <c r="N355" s="19" t="str" cm="1">
        <f t="array" ref="N3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IF(OR(IPRF_Lines[[#This Row],[Requested Qty]]="",IPRF_Lines[[#This Row],[Picked Qty]]=""),"",IPRF_Lines[[#This Row],[Requested Qty]]-IPRF_Lines[[#This Row],[Picked Qty]])</f>
        <v/>
      </c>
      <c r="M356" s="18" t="str" cm="1">
        <f t="array" ref="M356">IF(
    OR(IPRF_Lines[[#This Row],[Item Description]]="",IPRF_Lines[[#This Row],[Requested Qty]]="",IPRF_Lines[[#This Row],[Unit]]=""),
    "",UPPER(IPRF_Header[Request number] &amp; "-" &amp; IPRF_Lines[[#This Row],[Line num]]))</f>
        <v/>
      </c>
      <c r="N356" s="19" t="str" cm="1">
        <f t="array" ref="N3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IF(OR(IPRF_Lines[[#This Row],[Requested Qty]]="",IPRF_Lines[[#This Row],[Picked Qty]]=""),"",IPRF_Lines[[#This Row],[Requested Qty]]-IPRF_Lines[[#This Row],[Picked Qty]])</f>
        <v/>
      </c>
      <c r="M357" s="18" t="str" cm="1">
        <f t="array" ref="M357">IF(
    OR(IPRF_Lines[[#This Row],[Item Description]]="",IPRF_Lines[[#This Row],[Requested Qty]]="",IPRF_Lines[[#This Row],[Unit]]=""),
    "",UPPER(IPRF_Header[Request number] &amp; "-" &amp; IPRF_Lines[[#This Row],[Line num]]))</f>
        <v/>
      </c>
      <c r="N357" s="19" t="str" cm="1">
        <f t="array" ref="N3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IF(OR(IPRF_Lines[[#This Row],[Requested Qty]]="",IPRF_Lines[[#This Row],[Picked Qty]]=""),"",IPRF_Lines[[#This Row],[Requested Qty]]-IPRF_Lines[[#This Row],[Picked Qty]])</f>
        <v/>
      </c>
      <c r="M358" s="18" t="str" cm="1">
        <f t="array" ref="M358">IF(
    OR(IPRF_Lines[[#This Row],[Item Description]]="",IPRF_Lines[[#This Row],[Requested Qty]]="",IPRF_Lines[[#This Row],[Unit]]=""),
    "",UPPER(IPRF_Header[Request number] &amp; "-" &amp; IPRF_Lines[[#This Row],[Line num]]))</f>
        <v/>
      </c>
      <c r="N358" s="19" t="str" cm="1">
        <f t="array" ref="N3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IF(OR(IPRF_Lines[[#This Row],[Requested Qty]]="",IPRF_Lines[[#This Row],[Picked Qty]]=""),"",IPRF_Lines[[#This Row],[Requested Qty]]-IPRF_Lines[[#This Row],[Picked Qty]])</f>
        <v/>
      </c>
      <c r="M359" s="18" t="str" cm="1">
        <f t="array" ref="M359">IF(
    OR(IPRF_Lines[[#This Row],[Item Description]]="",IPRF_Lines[[#This Row],[Requested Qty]]="",IPRF_Lines[[#This Row],[Unit]]=""),
    "",UPPER(IPRF_Header[Request number] &amp; "-" &amp; IPRF_Lines[[#This Row],[Line num]]))</f>
        <v/>
      </c>
      <c r="N359" s="19" t="str" cm="1">
        <f t="array" ref="N3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IF(OR(IPRF_Lines[[#This Row],[Requested Qty]]="",IPRF_Lines[[#This Row],[Picked Qty]]=""),"",IPRF_Lines[[#This Row],[Requested Qty]]-IPRF_Lines[[#This Row],[Picked Qty]])</f>
        <v/>
      </c>
      <c r="M360" s="18" t="str" cm="1">
        <f t="array" ref="M360">IF(
    OR(IPRF_Lines[[#This Row],[Item Description]]="",IPRF_Lines[[#This Row],[Requested Qty]]="",IPRF_Lines[[#This Row],[Unit]]=""),
    "",UPPER(IPRF_Header[Request number] &amp; "-" &amp; IPRF_Lines[[#This Row],[Line num]]))</f>
        <v/>
      </c>
      <c r="N360" s="19" t="str" cm="1">
        <f t="array" ref="N3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IF(OR(IPRF_Lines[[#This Row],[Requested Qty]]="",IPRF_Lines[[#This Row],[Picked Qty]]=""),"",IPRF_Lines[[#This Row],[Requested Qty]]-IPRF_Lines[[#This Row],[Picked Qty]])</f>
        <v/>
      </c>
      <c r="M361" s="18" t="str" cm="1">
        <f t="array" ref="M361">IF(
    OR(IPRF_Lines[[#This Row],[Item Description]]="",IPRF_Lines[[#This Row],[Requested Qty]]="",IPRF_Lines[[#This Row],[Unit]]=""),
    "",UPPER(IPRF_Header[Request number] &amp; "-" &amp; IPRF_Lines[[#This Row],[Line num]]))</f>
        <v/>
      </c>
      <c r="N361" s="19" t="str" cm="1">
        <f t="array" ref="N3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IF(OR(IPRF_Lines[[#This Row],[Requested Qty]]="",IPRF_Lines[[#This Row],[Picked Qty]]=""),"",IPRF_Lines[[#This Row],[Requested Qty]]-IPRF_Lines[[#This Row],[Picked Qty]])</f>
        <v/>
      </c>
      <c r="M362" s="18" t="str" cm="1">
        <f t="array" ref="M362">IF(
    OR(IPRF_Lines[[#This Row],[Item Description]]="",IPRF_Lines[[#This Row],[Requested Qty]]="",IPRF_Lines[[#This Row],[Unit]]=""),
    "",UPPER(IPRF_Header[Request number] &amp; "-" &amp; IPRF_Lines[[#This Row],[Line num]]))</f>
        <v/>
      </c>
      <c r="N362" s="19" t="str" cm="1">
        <f t="array" ref="N3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IF(OR(IPRF_Lines[[#This Row],[Requested Qty]]="",IPRF_Lines[[#This Row],[Picked Qty]]=""),"",IPRF_Lines[[#This Row],[Requested Qty]]-IPRF_Lines[[#This Row],[Picked Qty]])</f>
        <v/>
      </c>
      <c r="M363" s="18" t="str" cm="1">
        <f t="array" ref="M363">IF(
    OR(IPRF_Lines[[#This Row],[Item Description]]="",IPRF_Lines[[#This Row],[Requested Qty]]="",IPRF_Lines[[#This Row],[Unit]]=""),
    "",UPPER(IPRF_Header[Request number] &amp; "-" &amp; IPRF_Lines[[#This Row],[Line num]]))</f>
        <v/>
      </c>
      <c r="N363" s="19" t="str" cm="1">
        <f t="array" ref="N3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IF(OR(IPRF_Lines[[#This Row],[Requested Qty]]="",IPRF_Lines[[#This Row],[Picked Qty]]=""),"",IPRF_Lines[[#This Row],[Requested Qty]]-IPRF_Lines[[#This Row],[Picked Qty]])</f>
        <v/>
      </c>
      <c r="M364" s="18" t="str" cm="1">
        <f t="array" ref="M364">IF(
    OR(IPRF_Lines[[#This Row],[Item Description]]="",IPRF_Lines[[#This Row],[Requested Qty]]="",IPRF_Lines[[#This Row],[Unit]]=""),
    "",UPPER(IPRF_Header[Request number] &amp; "-" &amp; IPRF_Lines[[#This Row],[Line num]]))</f>
        <v/>
      </c>
      <c r="N364" s="19" t="str" cm="1">
        <f t="array" ref="N3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IF(OR(IPRF_Lines[[#This Row],[Requested Qty]]="",IPRF_Lines[[#This Row],[Picked Qty]]=""),"",IPRF_Lines[[#This Row],[Requested Qty]]-IPRF_Lines[[#This Row],[Picked Qty]])</f>
        <v/>
      </c>
      <c r="M365" s="18" t="str" cm="1">
        <f t="array" ref="M365">IF(
    OR(IPRF_Lines[[#This Row],[Item Description]]="",IPRF_Lines[[#This Row],[Requested Qty]]="",IPRF_Lines[[#This Row],[Unit]]=""),
    "",UPPER(IPRF_Header[Request number] &amp; "-" &amp; IPRF_Lines[[#This Row],[Line num]]))</f>
        <v/>
      </c>
      <c r="N365" s="19" t="str" cm="1">
        <f t="array" ref="N3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IF(OR(IPRF_Lines[[#This Row],[Requested Qty]]="",IPRF_Lines[[#This Row],[Picked Qty]]=""),"",IPRF_Lines[[#This Row],[Requested Qty]]-IPRF_Lines[[#This Row],[Picked Qty]])</f>
        <v/>
      </c>
      <c r="M366" s="18" t="str" cm="1">
        <f t="array" ref="M366">IF(
    OR(IPRF_Lines[[#This Row],[Item Description]]="",IPRF_Lines[[#This Row],[Requested Qty]]="",IPRF_Lines[[#This Row],[Unit]]=""),
    "",UPPER(IPRF_Header[Request number] &amp; "-" &amp; IPRF_Lines[[#This Row],[Line num]]))</f>
        <v/>
      </c>
      <c r="N366" s="19" t="str" cm="1">
        <f t="array" ref="N3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IF(OR(IPRF_Lines[[#This Row],[Requested Qty]]="",IPRF_Lines[[#This Row],[Picked Qty]]=""),"",IPRF_Lines[[#This Row],[Requested Qty]]-IPRF_Lines[[#This Row],[Picked Qty]])</f>
        <v/>
      </c>
      <c r="M367" s="18" t="str" cm="1">
        <f t="array" ref="M367">IF(
    OR(IPRF_Lines[[#This Row],[Item Description]]="",IPRF_Lines[[#This Row],[Requested Qty]]="",IPRF_Lines[[#This Row],[Unit]]=""),
    "",UPPER(IPRF_Header[Request number] &amp; "-" &amp; IPRF_Lines[[#This Row],[Line num]]))</f>
        <v/>
      </c>
      <c r="N367" s="19" t="str" cm="1">
        <f t="array" ref="N3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IF(OR(IPRF_Lines[[#This Row],[Requested Qty]]="",IPRF_Lines[[#This Row],[Picked Qty]]=""),"",IPRF_Lines[[#This Row],[Requested Qty]]-IPRF_Lines[[#This Row],[Picked Qty]])</f>
        <v/>
      </c>
      <c r="M368" s="18" t="str" cm="1">
        <f t="array" ref="M368">IF(
    OR(IPRF_Lines[[#This Row],[Item Description]]="",IPRF_Lines[[#This Row],[Requested Qty]]="",IPRF_Lines[[#This Row],[Unit]]=""),
    "",UPPER(IPRF_Header[Request number] &amp; "-" &amp; IPRF_Lines[[#This Row],[Line num]]))</f>
        <v/>
      </c>
      <c r="N368" s="19" t="str" cm="1">
        <f t="array" ref="N3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IF(OR(IPRF_Lines[[#This Row],[Requested Qty]]="",IPRF_Lines[[#This Row],[Picked Qty]]=""),"",IPRF_Lines[[#This Row],[Requested Qty]]-IPRF_Lines[[#This Row],[Picked Qty]])</f>
        <v/>
      </c>
      <c r="M369" s="18" t="str" cm="1">
        <f t="array" ref="M369">IF(
    OR(IPRF_Lines[[#This Row],[Item Description]]="",IPRF_Lines[[#This Row],[Requested Qty]]="",IPRF_Lines[[#This Row],[Unit]]=""),
    "",UPPER(IPRF_Header[Request number] &amp; "-" &amp; IPRF_Lines[[#This Row],[Line num]]))</f>
        <v/>
      </c>
      <c r="N369" s="19" t="str" cm="1">
        <f t="array" ref="N3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IF(OR(IPRF_Lines[[#This Row],[Requested Qty]]="",IPRF_Lines[[#This Row],[Picked Qty]]=""),"",IPRF_Lines[[#This Row],[Requested Qty]]-IPRF_Lines[[#This Row],[Picked Qty]])</f>
        <v/>
      </c>
      <c r="M370" s="18" t="str" cm="1">
        <f t="array" ref="M370">IF(
    OR(IPRF_Lines[[#This Row],[Item Description]]="",IPRF_Lines[[#This Row],[Requested Qty]]="",IPRF_Lines[[#This Row],[Unit]]=""),
    "",UPPER(IPRF_Header[Request number] &amp; "-" &amp; IPRF_Lines[[#This Row],[Line num]]))</f>
        <v/>
      </c>
      <c r="N370" s="19" t="str" cm="1">
        <f t="array" ref="N3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IF(OR(IPRF_Lines[[#This Row],[Requested Qty]]="",IPRF_Lines[[#This Row],[Picked Qty]]=""),"",IPRF_Lines[[#This Row],[Requested Qty]]-IPRF_Lines[[#This Row],[Picked Qty]])</f>
        <v/>
      </c>
      <c r="M371" s="18" t="str" cm="1">
        <f t="array" ref="M371">IF(
    OR(IPRF_Lines[[#This Row],[Item Description]]="",IPRF_Lines[[#This Row],[Requested Qty]]="",IPRF_Lines[[#This Row],[Unit]]=""),
    "",UPPER(IPRF_Header[Request number] &amp; "-" &amp; IPRF_Lines[[#This Row],[Line num]]))</f>
        <v/>
      </c>
      <c r="N371" s="19" t="str" cm="1">
        <f t="array" ref="N3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IF(OR(IPRF_Lines[[#This Row],[Requested Qty]]="",IPRF_Lines[[#This Row],[Picked Qty]]=""),"",IPRF_Lines[[#This Row],[Requested Qty]]-IPRF_Lines[[#This Row],[Picked Qty]])</f>
        <v/>
      </c>
      <c r="M372" s="18" t="str" cm="1">
        <f t="array" ref="M372">IF(
    OR(IPRF_Lines[[#This Row],[Item Description]]="",IPRF_Lines[[#This Row],[Requested Qty]]="",IPRF_Lines[[#This Row],[Unit]]=""),
    "",UPPER(IPRF_Header[Request number] &amp; "-" &amp; IPRF_Lines[[#This Row],[Line num]]))</f>
        <v/>
      </c>
      <c r="N372" s="19" t="str" cm="1">
        <f t="array" ref="N3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IF(OR(IPRF_Lines[[#This Row],[Requested Qty]]="",IPRF_Lines[[#This Row],[Picked Qty]]=""),"",IPRF_Lines[[#This Row],[Requested Qty]]-IPRF_Lines[[#This Row],[Picked Qty]])</f>
        <v/>
      </c>
      <c r="M373" s="18" t="str" cm="1">
        <f t="array" ref="M373">IF(
    OR(IPRF_Lines[[#This Row],[Item Description]]="",IPRF_Lines[[#This Row],[Requested Qty]]="",IPRF_Lines[[#This Row],[Unit]]=""),
    "",UPPER(IPRF_Header[Request number] &amp; "-" &amp; IPRF_Lines[[#This Row],[Line num]]))</f>
        <v/>
      </c>
      <c r="N373" s="19" t="str" cm="1">
        <f t="array" ref="N3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IF(OR(IPRF_Lines[[#This Row],[Requested Qty]]="",IPRF_Lines[[#This Row],[Picked Qty]]=""),"",IPRF_Lines[[#This Row],[Requested Qty]]-IPRF_Lines[[#This Row],[Picked Qty]])</f>
        <v/>
      </c>
      <c r="M374" s="18" t="str" cm="1">
        <f t="array" ref="M374">IF(
    OR(IPRF_Lines[[#This Row],[Item Description]]="",IPRF_Lines[[#This Row],[Requested Qty]]="",IPRF_Lines[[#This Row],[Unit]]=""),
    "",UPPER(IPRF_Header[Request number] &amp; "-" &amp; IPRF_Lines[[#This Row],[Line num]]))</f>
        <v/>
      </c>
      <c r="N374" s="19" t="str" cm="1">
        <f t="array" ref="N3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IF(OR(IPRF_Lines[[#This Row],[Requested Qty]]="",IPRF_Lines[[#This Row],[Picked Qty]]=""),"",IPRF_Lines[[#This Row],[Requested Qty]]-IPRF_Lines[[#This Row],[Picked Qty]])</f>
        <v/>
      </c>
      <c r="M375" s="18" t="str" cm="1">
        <f t="array" ref="M375">IF(
    OR(IPRF_Lines[[#This Row],[Item Description]]="",IPRF_Lines[[#This Row],[Requested Qty]]="",IPRF_Lines[[#This Row],[Unit]]=""),
    "",UPPER(IPRF_Header[Request number] &amp; "-" &amp; IPRF_Lines[[#This Row],[Line num]]))</f>
        <v/>
      </c>
      <c r="N375" s="19" t="str" cm="1">
        <f t="array" ref="N3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IF(OR(IPRF_Lines[[#This Row],[Requested Qty]]="",IPRF_Lines[[#This Row],[Picked Qty]]=""),"",IPRF_Lines[[#This Row],[Requested Qty]]-IPRF_Lines[[#This Row],[Picked Qty]])</f>
        <v/>
      </c>
      <c r="M376" s="18" t="str" cm="1">
        <f t="array" ref="M376">IF(
    OR(IPRF_Lines[[#This Row],[Item Description]]="",IPRF_Lines[[#This Row],[Requested Qty]]="",IPRF_Lines[[#This Row],[Unit]]=""),
    "",UPPER(IPRF_Header[Request number] &amp; "-" &amp; IPRF_Lines[[#This Row],[Line num]]))</f>
        <v/>
      </c>
      <c r="N376" s="19" t="str" cm="1">
        <f t="array" ref="N3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IF(OR(IPRF_Lines[[#This Row],[Requested Qty]]="",IPRF_Lines[[#This Row],[Picked Qty]]=""),"",IPRF_Lines[[#This Row],[Requested Qty]]-IPRF_Lines[[#This Row],[Picked Qty]])</f>
        <v/>
      </c>
      <c r="M377" s="18" t="str" cm="1">
        <f t="array" ref="M377">IF(
    OR(IPRF_Lines[[#This Row],[Item Description]]="",IPRF_Lines[[#This Row],[Requested Qty]]="",IPRF_Lines[[#This Row],[Unit]]=""),
    "",UPPER(IPRF_Header[Request number] &amp; "-" &amp; IPRF_Lines[[#This Row],[Line num]]))</f>
        <v/>
      </c>
      <c r="N377" s="19" t="str" cm="1">
        <f t="array" ref="N3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IF(OR(IPRF_Lines[[#This Row],[Requested Qty]]="",IPRF_Lines[[#This Row],[Picked Qty]]=""),"",IPRF_Lines[[#This Row],[Requested Qty]]-IPRF_Lines[[#This Row],[Picked Qty]])</f>
        <v/>
      </c>
      <c r="M378" s="18" t="str" cm="1">
        <f t="array" ref="M378">IF(
    OR(IPRF_Lines[[#This Row],[Item Description]]="",IPRF_Lines[[#This Row],[Requested Qty]]="",IPRF_Lines[[#This Row],[Unit]]=""),
    "",UPPER(IPRF_Header[Request number] &amp; "-" &amp; IPRF_Lines[[#This Row],[Line num]]))</f>
        <v/>
      </c>
      <c r="N378" s="19" t="str" cm="1">
        <f t="array" ref="N3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IF(OR(IPRF_Lines[[#This Row],[Requested Qty]]="",IPRF_Lines[[#This Row],[Picked Qty]]=""),"",IPRF_Lines[[#This Row],[Requested Qty]]-IPRF_Lines[[#This Row],[Picked Qty]])</f>
        <v/>
      </c>
      <c r="M379" s="18" t="str" cm="1">
        <f t="array" ref="M379">IF(
    OR(IPRF_Lines[[#This Row],[Item Description]]="",IPRF_Lines[[#This Row],[Requested Qty]]="",IPRF_Lines[[#This Row],[Unit]]=""),
    "",UPPER(IPRF_Header[Request number] &amp; "-" &amp; IPRF_Lines[[#This Row],[Line num]]))</f>
        <v/>
      </c>
      <c r="N379" s="19" t="str" cm="1">
        <f t="array" ref="N3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IF(OR(IPRF_Lines[[#This Row],[Requested Qty]]="",IPRF_Lines[[#This Row],[Picked Qty]]=""),"",IPRF_Lines[[#This Row],[Requested Qty]]-IPRF_Lines[[#This Row],[Picked Qty]])</f>
        <v/>
      </c>
      <c r="M380" s="18" t="str" cm="1">
        <f t="array" ref="M380">IF(
    OR(IPRF_Lines[[#This Row],[Item Description]]="",IPRF_Lines[[#This Row],[Requested Qty]]="",IPRF_Lines[[#This Row],[Unit]]=""),
    "",UPPER(IPRF_Header[Request number] &amp; "-" &amp; IPRF_Lines[[#This Row],[Line num]]))</f>
        <v/>
      </c>
      <c r="N380" s="19" t="str" cm="1">
        <f t="array" ref="N3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IF(OR(IPRF_Lines[[#This Row],[Requested Qty]]="",IPRF_Lines[[#This Row],[Picked Qty]]=""),"",IPRF_Lines[[#This Row],[Requested Qty]]-IPRF_Lines[[#This Row],[Picked Qty]])</f>
        <v/>
      </c>
      <c r="M381" s="18" t="str" cm="1">
        <f t="array" ref="M381">IF(
    OR(IPRF_Lines[[#This Row],[Item Description]]="",IPRF_Lines[[#This Row],[Requested Qty]]="",IPRF_Lines[[#This Row],[Unit]]=""),
    "",UPPER(IPRF_Header[Request number] &amp; "-" &amp; IPRF_Lines[[#This Row],[Line num]]))</f>
        <v/>
      </c>
      <c r="N381" s="19" t="str" cm="1">
        <f t="array" ref="N3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IF(OR(IPRF_Lines[[#This Row],[Requested Qty]]="",IPRF_Lines[[#This Row],[Picked Qty]]=""),"",IPRF_Lines[[#This Row],[Requested Qty]]-IPRF_Lines[[#This Row],[Picked Qty]])</f>
        <v/>
      </c>
      <c r="M382" s="18" t="str" cm="1">
        <f t="array" ref="M382">IF(
    OR(IPRF_Lines[[#This Row],[Item Description]]="",IPRF_Lines[[#This Row],[Requested Qty]]="",IPRF_Lines[[#This Row],[Unit]]=""),
    "",UPPER(IPRF_Header[Request number] &amp; "-" &amp; IPRF_Lines[[#This Row],[Line num]]))</f>
        <v/>
      </c>
      <c r="N382" s="19" t="str" cm="1">
        <f t="array" ref="N3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IF(OR(IPRF_Lines[[#This Row],[Requested Qty]]="",IPRF_Lines[[#This Row],[Picked Qty]]=""),"",IPRF_Lines[[#This Row],[Requested Qty]]-IPRF_Lines[[#This Row],[Picked Qty]])</f>
        <v/>
      </c>
      <c r="M383" s="18" t="str" cm="1">
        <f t="array" ref="M383">IF(
    OR(IPRF_Lines[[#This Row],[Item Description]]="",IPRF_Lines[[#This Row],[Requested Qty]]="",IPRF_Lines[[#This Row],[Unit]]=""),
    "",UPPER(IPRF_Header[Request number] &amp; "-" &amp; IPRF_Lines[[#This Row],[Line num]]))</f>
        <v/>
      </c>
      <c r="N383" s="19" t="str" cm="1">
        <f t="array" ref="N3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IF(OR(IPRF_Lines[[#This Row],[Requested Qty]]="",IPRF_Lines[[#This Row],[Picked Qty]]=""),"",IPRF_Lines[[#This Row],[Requested Qty]]-IPRF_Lines[[#This Row],[Picked Qty]])</f>
        <v/>
      </c>
      <c r="M384" s="18" t="str" cm="1">
        <f t="array" ref="M384">IF(
    OR(IPRF_Lines[[#This Row],[Item Description]]="",IPRF_Lines[[#This Row],[Requested Qty]]="",IPRF_Lines[[#This Row],[Unit]]=""),
    "",UPPER(IPRF_Header[Request number] &amp; "-" &amp; IPRF_Lines[[#This Row],[Line num]]))</f>
        <v/>
      </c>
      <c r="N384" s="19" t="str" cm="1">
        <f t="array" ref="N3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IF(OR(IPRF_Lines[[#This Row],[Requested Qty]]="",IPRF_Lines[[#This Row],[Picked Qty]]=""),"",IPRF_Lines[[#This Row],[Requested Qty]]-IPRF_Lines[[#This Row],[Picked Qty]])</f>
        <v/>
      </c>
      <c r="M385" s="18" t="str" cm="1">
        <f t="array" ref="M385">IF(
    OR(IPRF_Lines[[#This Row],[Item Description]]="",IPRF_Lines[[#This Row],[Requested Qty]]="",IPRF_Lines[[#This Row],[Unit]]=""),
    "",UPPER(IPRF_Header[Request number] &amp; "-" &amp; IPRF_Lines[[#This Row],[Line num]]))</f>
        <v/>
      </c>
      <c r="N385" s="19" t="str" cm="1">
        <f t="array" ref="N3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IF(OR(IPRF_Lines[[#This Row],[Requested Qty]]="",IPRF_Lines[[#This Row],[Picked Qty]]=""),"",IPRF_Lines[[#This Row],[Requested Qty]]-IPRF_Lines[[#This Row],[Picked Qty]])</f>
        <v/>
      </c>
      <c r="M386" s="18" t="str" cm="1">
        <f t="array" ref="M386">IF(
    OR(IPRF_Lines[[#This Row],[Item Description]]="",IPRF_Lines[[#This Row],[Requested Qty]]="",IPRF_Lines[[#This Row],[Unit]]=""),
    "",UPPER(IPRF_Header[Request number] &amp; "-" &amp; IPRF_Lines[[#This Row],[Line num]]))</f>
        <v/>
      </c>
      <c r="N386" s="19" t="str" cm="1">
        <f t="array" ref="N3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IF(OR(IPRF_Lines[[#This Row],[Requested Qty]]="",IPRF_Lines[[#This Row],[Picked Qty]]=""),"",IPRF_Lines[[#This Row],[Requested Qty]]-IPRF_Lines[[#This Row],[Picked Qty]])</f>
        <v/>
      </c>
      <c r="M387" s="18" t="str" cm="1">
        <f t="array" ref="M387">IF(
    OR(IPRF_Lines[[#This Row],[Item Description]]="",IPRF_Lines[[#This Row],[Requested Qty]]="",IPRF_Lines[[#This Row],[Unit]]=""),
    "",UPPER(IPRF_Header[Request number] &amp; "-" &amp; IPRF_Lines[[#This Row],[Line num]]))</f>
        <v/>
      </c>
      <c r="N387" s="19" t="str" cm="1">
        <f t="array" ref="N3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IF(OR(IPRF_Lines[[#This Row],[Requested Qty]]="",IPRF_Lines[[#This Row],[Picked Qty]]=""),"",IPRF_Lines[[#This Row],[Requested Qty]]-IPRF_Lines[[#This Row],[Picked Qty]])</f>
        <v/>
      </c>
      <c r="M388" s="18" t="str" cm="1">
        <f t="array" ref="M388">IF(
    OR(IPRF_Lines[[#This Row],[Item Description]]="",IPRF_Lines[[#This Row],[Requested Qty]]="",IPRF_Lines[[#This Row],[Unit]]=""),
    "",UPPER(IPRF_Header[Request number] &amp; "-" &amp; IPRF_Lines[[#This Row],[Line num]]))</f>
        <v/>
      </c>
      <c r="N388" s="19" t="str" cm="1">
        <f t="array" ref="N3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IF(OR(IPRF_Lines[[#This Row],[Requested Qty]]="",IPRF_Lines[[#This Row],[Picked Qty]]=""),"",IPRF_Lines[[#This Row],[Requested Qty]]-IPRF_Lines[[#This Row],[Picked Qty]])</f>
        <v/>
      </c>
      <c r="M389" s="18" t="str" cm="1">
        <f t="array" ref="M389">IF(
    OR(IPRF_Lines[[#This Row],[Item Description]]="",IPRF_Lines[[#This Row],[Requested Qty]]="",IPRF_Lines[[#This Row],[Unit]]=""),
    "",UPPER(IPRF_Header[Request number] &amp; "-" &amp; IPRF_Lines[[#This Row],[Line num]]))</f>
        <v/>
      </c>
      <c r="N389" s="19" t="str" cm="1">
        <f t="array" ref="N3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IF(OR(IPRF_Lines[[#This Row],[Requested Qty]]="",IPRF_Lines[[#This Row],[Picked Qty]]=""),"",IPRF_Lines[[#This Row],[Requested Qty]]-IPRF_Lines[[#This Row],[Picked Qty]])</f>
        <v/>
      </c>
      <c r="M390" s="18" t="str" cm="1">
        <f t="array" ref="M390">IF(
    OR(IPRF_Lines[[#This Row],[Item Description]]="",IPRF_Lines[[#This Row],[Requested Qty]]="",IPRF_Lines[[#This Row],[Unit]]=""),
    "",UPPER(IPRF_Header[Request number] &amp; "-" &amp; IPRF_Lines[[#This Row],[Line num]]))</f>
        <v/>
      </c>
      <c r="N390" s="19" t="str" cm="1">
        <f t="array" ref="N3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IF(OR(IPRF_Lines[[#This Row],[Requested Qty]]="",IPRF_Lines[[#This Row],[Picked Qty]]=""),"",IPRF_Lines[[#This Row],[Requested Qty]]-IPRF_Lines[[#This Row],[Picked Qty]])</f>
        <v/>
      </c>
      <c r="M391" s="18" t="str" cm="1">
        <f t="array" ref="M391">IF(
    OR(IPRF_Lines[[#This Row],[Item Description]]="",IPRF_Lines[[#This Row],[Requested Qty]]="",IPRF_Lines[[#This Row],[Unit]]=""),
    "",UPPER(IPRF_Header[Request number] &amp; "-" &amp; IPRF_Lines[[#This Row],[Line num]]))</f>
        <v/>
      </c>
      <c r="N391" s="19" t="str" cm="1">
        <f t="array" ref="N3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IF(OR(IPRF_Lines[[#This Row],[Requested Qty]]="",IPRF_Lines[[#This Row],[Picked Qty]]=""),"",IPRF_Lines[[#This Row],[Requested Qty]]-IPRF_Lines[[#This Row],[Picked Qty]])</f>
        <v/>
      </c>
      <c r="M392" s="18" t="str" cm="1">
        <f t="array" ref="M392">IF(
    OR(IPRF_Lines[[#This Row],[Item Description]]="",IPRF_Lines[[#This Row],[Requested Qty]]="",IPRF_Lines[[#This Row],[Unit]]=""),
    "",UPPER(IPRF_Header[Request number] &amp; "-" &amp; IPRF_Lines[[#This Row],[Line num]]))</f>
        <v/>
      </c>
      <c r="N392" s="19" t="str" cm="1">
        <f t="array" ref="N3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IF(OR(IPRF_Lines[[#This Row],[Requested Qty]]="",IPRF_Lines[[#This Row],[Picked Qty]]=""),"",IPRF_Lines[[#This Row],[Requested Qty]]-IPRF_Lines[[#This Row],[Picked Qty]])</f>
        <v/>
      </c>
      <c r="M393" s="18" t="str" cm="1">
        <f t="array" ref="M393">IF(
    OR(IPRF_Lines[[#This Row],[Item Description]]="",IPRF_Lines[[#This Row],[Requested Qty]]="",IPRF_Lines[[#This Row],[Unit]]=""),
    "",UPPER(IPRF_Header[Request number] &amp; "-" &amp; IPRF_Lines[[#This Row],[Line num]]))</f>
        <v/>
      </c>
      <c r="N393" s="19" t="str" cm="1">
        <f t="array" ref="N3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IF(OR(IPRF_Lines[[#This Row],[Requested Qty]]="",IPRF_Lines[[#This Row],[Picked Qty]]=""),"",IPRF_Lines[[#This Row],[Requested Qty]]-IPRF_Lines[[#This Row],[Picked Qty]])</f>
        <v/>
      </c>
      <c r="M394" s="18" t="str" cm="1">
        <f t="array" ref="M394">IF(
    OR(IPRF_Lines[[#This Row],[Item Description]]="",IPRF_Lines[[#This Row],[Requested Qty]]="",IPRF_Lines[[#This Row],[Unit]]=""),
    "",UPPER(IPRF_Header[Request number] &amp; "-" &amp; IPRF_Lines[[#This Row],[Line num]]))</f>
        <v/>
      </c>
      <c r="N394" s="19" t="str" cm="1">
        <f t="array" ref="N3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IF(OR(IPRF_Lines[[#This Row],[Requested Qty]]="",IPRF_Lines[[#This Row],[Picked Qty]]=""),"",IPRF_Lines[[#This Row],[Requested Qty]]-IPRF_Lines[[#This Row],[Picked Qty]])</f>
        <v/>
      </c>
      <c r="M395" s="18" t="str" cm="1">
        <f t="array" ref="M395">IF(
    OR(IPRF_Lines[[#This Row],[Item Description]]="",IPRF_Lines[[#This Row],[Requested Qty]]="",IPRF_Lines[[#This Row],[Unit]]=""),
    "",UPPER(IPRF_Header[Request number] &amp; "-" &amp; IPRF_Lines[[#This Row],[Line num]]))</f>
        <v/>
      </c>
      <c r="N395" s="19" t="str" cm="1">
        <f t="array" ref="N3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IF(OR(IPRF_Lines[[#This Row],[Requested Qty]]="",IPRF_Lines[[#This Row],[Picked Qty]]=""),"",IPRF_Lines[[#This Row],[Requested Qty]]-IPRF_Lines[[#This Row],[Picked Qty]])</f>
        <v/>
      </c>
      <c r="M396" s="18" t="str" cm="1">
        <f t="array" ref="M396">IF(
    OR(IPRF_Lines[[#This Row],[Item Description]]="",IPRF_Lines[[#This Row],[Requested Qty]]="",IPRF_Lines[[#This Row],[Unit]]=""),
    "",UPPER(IPRF_Header[Request number] &amp; "-" &amp; IPRF_Lines[[#This Row],[Line num]]))</f>
        <v/>
      </c>
      <c r="N396" s="19" t="str" cm="1">
        <f t="array" ref="N3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IF(OR(IPRF_Lines[[#This Row],[Requested Qty]]="",IPRF_Lines[[#This Row],[Picked Qty]]=""),"",IPRF_Lines[[#This Row],[Requested Qty]]-IPRF_Lines[[#This Row],[Picked Qty]])</f>
        <v/>
      </c>
      <c r="M397" s="18" t="str" cm="1">
        <f t="array" ref="M397">IF(
    OR(IPRF_Lines[[#This Row],[Item Description]]="",IPRF_Lines[[#This Row],[Requested Qty]]="",IPRF_Lines[[#This Row],[Unit]]=""),
    "",UPPER(IPRF_Header[Request number] &amp; "-" &amp; IPRF_Lines[[#This Row],[Line num]]))</f>
        <v/>
      </c>
      <c r="N397" s="19" t="str" cm="1">
        <f t="array" ref="N3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IF(OR(IPRF_Lines[[#This Row],[Requested Qty]]="",IPRF_Lines[[#This Row],[Picked Qty]]=""),"",IPRF_Lines[[#This Row],[Requested Qty]]-IPRF_Lines[[#This Row],[Picked Qty]])</f>
        <v/>
      </c>
      <c r="M398" s="18" t="str" cm="1">
        <f t="array" ref="M398">IF(
    OR(IPRF_Lines[[#This Row],[Item Description]]="",IPRF_Lines[[#This Row],[Requested Qty]]="",IPRF_Lines[[#This Row],[Unit]]=""),
    "",UPPER(IPRF_Header[Request number] &amp; "-" &amp; IPRF_Lines[[#This Row],[Line num]]))</f>
        <v/>
      </c>
      <c r="N398" s="19" t="str" cm="1">
        <f t="array" ref="N3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IF(OR(IPRF_Lines[[#This Row],[Requested Qty]]="",IPRF_Lines[[#This Row],[Picked Qty]]=""),"",IPRF_Lines[[#This Row],[Requested Qty]]-IPRF_Lines[[#This Row],[Picked Qty]])</f>
        <v/>
      </c>
      <c r="M399" s="18" t="str" cm="1">
        <f t="array" ref="M399">IF(
    OR(IPRF_Lines[[#This Row],[Item Description]]="",IPRF_Lines[[#This Row],[Requested Qty]]="",IPRF_Lines[[#This Row],[Unit]]=""),
    "",UPPER(IPRF_Header[Request number] &amp; "-" &amp; IPRF_Lines[[#This Row],[Line num]]))</f>
        <v/>
      </c>
      <c r="N399" s="19" t="str" cm="1">
        <f t="array" ref="N3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IF(OR(IPRF_Lines[[#This Row],[Requested Qty]]="",IPRF_Lines[[#This Row],[Picked Qty]]=""),"",IPRF_Lines[[#This Row],[Requested Qty]]-IPRF_Lines[[#This Row],[Picked Qty]])</f>
        <v/>
      </c>
      <c r="M400" s="18" t="str" cm="1">
        <f t="array" ref="M400">IF(
    OR(IPRF_Lines[[#This Row],[Item Description]]="",IPRF_Lines[[#This Row],[Requested Qty]]="",IPRF_Lines[[#This Row],[Unit]]=""),
    "",UPPER(IPRF_Header[Request number] &amp; "-" &amp; IPRF_Lines[[#This Row],[Line num]]))</f>
        <v/>
      </c>
      <c r="N400" s="19" t="str" cm="1">
        <f t="array" ref="N4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IF(OR(IPRF_Lines[[#This Row],[Requested Qty]]="",IPRF_Lines[[#This Row],[Picked Qty]]=""),"",IPRF_Lines[[#This Row],[Requested Qty]]-IPRF_Lines[[#This Row],[Picked Qty]])</f>
        <v/>
      </c>
      <c r="M401" s="18" t="str" cm="1">
        <f t="array" ref="M401">IF(
    OR(IPRF_Lines[[#This Row],[Item Description]]="",IPRF_Lines[[#This Row],[Requested Qty]]="",IPRF_Lines[[#This Row],[Unit]]=""),
    "",UPPER(IPRF_Header[Request number] &amp; "-" &amp; IPRF_Lines[[#This Row],[Line num]]))</f>
        <v/>
      </c>
      <c r="N401" s="19" t="str" cm="1">
        <f t="array" ref="N4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IF(OR(IPRF_Lines[[#This Row],[Requested Qty]]="",IPRF_Lines[[#This Row],[Picked Qty]]=""),"",IPRF_Lines[[#This Row],[Requested Qty]]-IPRF_Lines[[#This Row],[Picked Qty]])</f>
        <v/>
      </c>
      <c r="M402" s="18" t="str" cm="1">
        <f t="array" ref="M402">IF(
    OR(IPRF_Lines[[#This Row],[Item Description]]="",IPRF_Lines[[#This Row],[Requested Qty]]="",IPRF_Lines[[#This Row],[Unit]]=""),
    "",UPPER(IPRF_Header[Request number] &amp; "-" &amp; IPRF_Lines[[#This Row],[Line num]]))</f>
        <v/>
      </c>
      <c r="N402" s="19" t="str" cm="1">
        <f t="array" ref="N4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IF(OR(IPRF_Lines[[#This Row],[Requested Qty]]="",IPRF_Lines[[#This Row],[Picked Qty]]=""),"",IPRF_Lines[[#This Row],[Requested Qty]]-IPRF_Lines[[#This Row],[Picked Qty]])</f>
        <v/>
      </c>
      <c r="M403" s="18" t="str" cm="1">
        <f t="array" ref="M403">IF(
    OR(IPRF_Lines[[#This Row],[Item Description]]="",IPRF_Lines[[#This Row],[Requested Qty]]="",IPRF_Lines[[#This Row],[Unit]]=""),
    "",UPPER(IPRF_Header[Request number] &amp; "-" &amp; IPRF_Lines[[#This Row],[Line num]]))</f>
        <v/>
      </c>
      <c r="N403" s="19" t="str" cm="1">
        <f t="array" ref="N4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IF(OR(IPRF_Lines[[#This Row],[Requested Qty]]="",IPRF_Lines[[#This Row],[Picked Qty]]=""),"",IPRF_Lines[[#This Row],[Requested Qty]]-IPRF_Lines[[#This Row],[Picked Qty]])</f>
        <v/>
      </c>
      <c r="M404" s="18" t="str" cm="1">
        <f t="array" ref="M404">IF(
    OR(IPRF_Lines[[#This Row],[Item Description]]="",IPRF_Lines[[#This Row],[Requested Qty]]="",IPRF_Lines[[#This Row],[Unit]]=""),
    "",UPPER(IPRF_Header[Request number] &amp; "-" &amp; IPRF_Lines[[#This Row],[Line num]]))</f>
        <v/>
      </c>
      <c r="N404" s="19" t="str" cm="1">
        <f t="array" ref="N4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IF(OR(IPRF_Lines[[#This Row],[Requested Qty]]="",IPRF_Lines[[#This Row],[Picked Qty]]=""),"",IPRF_Lines[[#This Row],[Requested Qty]]-IPRF_Lines[[#This Row],[Picked Qty]])</f>
        <v/>
      </c>
      <c r="M405" s="18" t="str" cm="1">
        <f t="array" ref="M405">IF(
    OR(IPRF_Lines[[#This Row],[Item Description]]="",IPRF_Lines[[#This Row],[Requested Qty]]="",IPRF_Lines[[#This Row],[Unit]]=""),
    "",UPPER(IPRF_Header[Request number] &amp; "-" &amp; IPRF_Lines[[#This Row],[Line num]]))</f>
        <v/>
      </c>
      <c r="N405" s="19" t="str" cm="1">
        <f t="array" ref="N4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IF(OR(IPRF_Lines[[#This Row],[Requested Qty]]="",IPRF_Lines[[#This Row],[Picked Qty]]=""),"",IPRF_Lines[[#This Row],[Requested Qty]]-IPRF_Lines[[#This Row],[Picked Qty]])</f>
        <v/>
      </c>
      <c r="M406" s="18" t="str" cm="1">
        <f t="array" ref="M406">IF(
    OR(IPRF_Lines[[#This Row],[Item Description]]="",IPRF_Lines[[#This Row],[Requested Qty]]="",IPRF_Lines[[#This Row],[Unit]]=""),
    "",UPPER(IPRF_Header[Request number] &amp; "-" &amp; IPRF_Lines[[#This Row],[Line num]]))</f>
        <v/>
      </c>
      <c r="N406" s="19" t="str" cm="1">
        <f t="array" ref="N4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IF(OR(IPRF_Lines[[#This Row],[Requested Qty]]="",IPRF_Lines[[#This Row],[Picked Qty]]=""),"",IPRF_Lines[[#This Row],[Requested Qty]]-IPRF_Lines[[#This Row],[Picked Qty]])</f>
        <v/>
      </c>
      <c r="M407" s="18" t="str" cm="1">
        <f t="array" ref="M407">IF(
    OR(IPRF_Lines[[#This Row],[Item Description]]="",IPRF_Lines[[#This Row],[Requested Qty]]="",IPRF_Lines[[#This Row],[Unit]]=""),
    "",UPPER(IPRF_Header[Request number] &amp; "-" &amp; IPRF_Lines[[#This Row],[Line num]]))</f>
        <v/>
      </c>
      <c r="N407" s="19" t="str" cm="1">
        <f t="array" ref="N4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IF(OR(IPRF_Lines[[#This Row],[Requested Qty]]="",IPRF_Lines[[#This Row],[Picked Qty]]=""),"",IPRF_Lines[[#This Row],[Requested Qty]]-IPRF_Lines[[#This Row],[Picked Qty]])</f>
        <v/>
      </c>
      <c r="M408" s="18" t="str" cm="1">
        <f t="array" ref="M408">IF(
    OR(IPRF_Lines[[#This Row],[Item Description]]="",IPRF_Lines[[#This Row],[Requested Qty]]="",IPRF_Lines[[#This Row],[Unit]]=""),
    "",UPPER(IPRF_Header[Request number] &amp; "-" &amp; IPRF_Lines[[#This Row],[Line num]]))</f>
        <v/>
      </c>
      <c r="N408" s="19" t="str" cm="1">
        <f t="array" ref="N4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IF(OR(IPRF_Lines[[#This Row],[Requested Qty]]="",IPRF_Lines[[#This Row],[Picked Qty]]=""),"",IPRF_Lines[[#This Row],[Requested Qty]]-IPRF_Lines[[#This Row],[Picked Qty]])</f>
        <v/>
      </c>
      <c r="M409" s="18" t="str" cm="1">
        <f t="array" ref="M409">IF(
    OR(IPRF_Lines[[#This Row],[Item Description]]="",IPRF_Lines[[#This Row],[Requested Qty]]="",IPRF_Lines[[#This Row],[Unit]]=""),
    "",UPPER(IPRF_Header[Request number] &amp; "-" &amp; IPRF_Lines[[#This Row],[Line num]]))</f>
        <v/>
      </c>
      <c r="N409" s="19" t="str" cm="1">
        <f t="array" ref="N4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IF(OR(IPRF_Lines[[#This Row],[Requested Qty]]="",IPRF_Lines[[#This Row],[Picked Qty]]=""),"",IPRF_Lines[[#This Row],[Requested Qty]]-IPRF_Lines[[#This Row],[Picked Qty]])</f>
        <v/>
      </c>
      <c r="M410" s="18" t="str" cm="1">
        <f t="array" ref="M410">IF(
    OR(IPRF_Lines[[#This Row],[Item Description]]="",IPRF_Lines[[#This Row],[Requested Qty]]="",IPRF_Lines[[#This Row],[Unit]]=""),
    "",UPPER(IPRF_Header[Request number] &amp; "-" &amp; IPRF_Lines[[#This Row],[Line num]]))</f>
        <v/>
      </c>
      <c r="N410" s="19" t="str" cm="1">
        <f t="array" ref="N4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IF(OR(IPRF_Lines[[#This Row],[Requested Qty]]="",IPRF_Lines[[#This Row],[Picked Qty]]=""),"",IPRF_Lines[[#This Row],[Requested Qty]]-IPRF_Lines[[#This Row],[Picked Qty]])</f>
        <v/>
      </c>
      <c r="M411" s="18" t="str" cm="1">
        <f t="array" ref="M411">IF(
    OR(IPRF_Lines[[#This Row],[Item Description]]="",IPRF_Lines[[#This Row],[Requested Qty]]="",IPRF_Lines[[#This Row],[Unit]]=""),
    "",UPPER(IPRF_Header[Request number] &amp; "-" &amp; IPRF_Lines[[#This Row],[Line num]]))</f>
        <v/>
      </c>
      <c r="N411" s="19" t="str" cm="1">
        <f t="array" ref="N4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IF(OR(IPRF_Lines[[#This Row],[Requested Qty]]="",IPRF_Lines[[#This Row],[Picked Qty]]=""),"",IPRF_Lines[[#This Row],[Requested Qty]]-IPRF_Lines[[#This Row],[Picked Qty]])</f>
        <v/>
      </c>
      <c r="M412" s="18" t="str" cm="1">
        <f t="array" ref="M412">IF(
    OR(IPRF_Lines[[#This Row],[Item Description]]="",IPRF_Lines[[#This Row],[Requested Qty]]="",IPRF_Lines[[#This Row],[Unit]]=""),
    "",UPPER(IPRF_Header[Request number] &amp; "-" &amp; IPRF_Lines[[#This Row],[Line num]]))</f>
        <v/>
      </c>
      <c r="N412" s="19" t="str" cm="1">
        <f t="array" ref="N4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IF(OR(IPRF_Lines[[#This Row],[Requested Qty]]="",IPRF_Lines[[#This Row],[Picked Qty]]=""),"",IPRF_Lines[[#This Row],[Requested Qty]]-IPRF_Lines[[#This Row],[Picked Qty]])</f>
        <v/>
      </c>
      <c r="M413" s="18" t="str" cm="1">
        <f t="array" ref="M413">IF(
    OR(IPRF_Lines[[#This Row],[Item Description]]="",IPRF_Lines[[#This Row],[Requested Qty]]="",IPRF_Lines[[#This Row],[Unit]]=""),
    "",UPPER(IPRF_Header[Request number] &amp; "-" &amp; IPRF_Lines[[#This Row],[Line num]]))</f>
        <v/>
      </c>
      <c r="N413" s="19" t="str" cm="1">
        <f t="array" ref="N4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IF(OR(IPRF_Lines[[#This Row],[Requested Qty]]="",IPRF_Lines[[#This Row],[Picked Qty]]=""),"",IPRF_Lines[[#This Row],[Requested Qty]]-IPRF_Lines[[#This Row],[Picked Qty]])</f>
        <v/>
      </c>
      <c r="M414" s="18" t="str" cm="1">
        <f t="array" ref="M414">IF(
    OR(IPRF_Lines[[#This Row],[Item Description]]="",IPRF_Lines[[#This Row],[Requested Qty]]="",IPRF_Lines[[#This Row],[Unit]]=""),
    "",UPPER(IPRF_Header[Request number] &amp; "-" &amp; IPRF_Lines[[#This Row],[Line num]]))</f>
        <v/>
      </c>
      <c r="N414" s="19" t="str" cm="1">
        <f t="array" ref="N41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IF(OR(IPRF_Lines[[#This Row],[Requested Qty]]="",IPRF_Lines[[#This Row],[Picked Qty]]=""),"",IPRF_Lines[[#This Row],[Requested Qty]]-IPRF_Lines[[#This Row],[Picked Qty]])</f>
        <v/>
      </c>
      <c r="M415" s="18" t="str" cm="1">
        <f t="array" ref="M415">IF(
    OR(IPRF_Lines[[#This Row],[Item Description]]="",IPRF_Lines[[#This Row],[Requested Qty]]="",IPRF_Lines[[#This Row],[Unit]]=""),
    "",UPPER(IPRF_Header[Request number] &amp; "-" &amp; IPRF_Lines[[#This Row],[Line num]]))</f>
        <v/>
      </c>
      <c r="N415" s="19" t="str" cm="1">
        <f t="array" ref="N41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IF(OR(IPRF_Lines[[#This Row],[Requested Qty]]="",IPRF_Lines[[#This Row],[Picked Qty]]=""),"",IPRF_Lines[[#This Row],[Requested Qty]]-IPRF_Lines[[#This Row],[Picked Qty]])</f>
        <v/>
      </c>
      <c r="M416" s="18" t="str" cm="1">
        <f t="array" ref="M416">IF(
    OR(IPRF_Lines[[#This Row],[Item Description]]="",IPRF_Lines[[#This Row],[Requested Qty]]="",IPRF_Lines[[#This Row],[Unit]]=""),
    "",UPPER(IPRF_Header[Request number] &amp; "-" &amp; IPRF_Lines[[#This Row],[Line num]]))</f>
        <v/>
      </c>
      <c r="N416" s="19" t="str" cm="1">
        <f t="array" ref="N41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IF(OR(IPRF_Lines[[#This Row],[Requested Qty]]="",IPRF_Lines[[#This Row],[Picked Qty]]=""),"",IPRF_Lines[[#This Row],[Requested Qty]]-IPRF_Lines[[#This Row],[Picked Qty]])</f>
        <v/>
      </c>
      <c r="M417" s="18" t="str" cm="1">
        <f t="array" ref="M417">IF(
    OR(IPRF_Lines[[#This Row],[Item Description]]="",IPRF_Lines[[#This Row],[Requested Qty]]="",IPRF_Lines[[#This Row],[Unit]]=""),
    "",UPPER(IPRF_Header[Request number] &amp; "-" &amp; IPRF_Lines[[#This Row],[Line num]]))</f>
        <v/>
      </c>
      <c r="N417" s="19" t="str" cm="1">
        <f t="array" ref="N41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IF(OR(IPRF_Lines[[#This Row],[Requested Qty]]="",IPRF_Lines[[#This Row],[Picked Qty]]=""),"",IPRF_Lines[[#This Row],[Requested Qty]]-IPRF_Lines[[#This Row],[Picked Qty]])</f>
        <v/>
      </c>
      <c r="M418" s="18" t="str" cm="1">
        <f t="array" ref="M418">IF(
    OR(IPRF_Lines[[#This Row],[Item Description]]="",IPRF_Lines[[#This Row],[Requested Qty]]="",IPRF_Lines[[#This Row],[Unit]]=""),
    "",UPPER(IPRF_Header[Request number] &amp; "-" &amp; IPRF_Lines[[#This Row],[Line num]]))</f>
        <v/>
      </c>
      <c r="N418" s="19" t="str" cm="1">
        <f t="array" ref="N41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IF(OR(IPRF_Lines[[#This Row],[Requested Qty]]="",IPRF_Lines[[#This Row],[Picked Qty]]=""),"",IPRF_Lines[[#This Row],[Requested Qty]]-IPRF_Lines[[#This Row],[Picked Qty]])</f>
        <v/>
      </c>
      <c r="M419" s="18" t="str" cm="1">
        <f t="array" ref="M419">IF(
    OR(IPRF_Lines[[#This Row],[Item Description]]="",IPRF_Lines[[#This Row],[Requested Qty]]="",IPRF_Lines[[#This Row],[Unit]]=""),
    "",UPPER(IPRF_Header[Request number] &amp; "-" &amp; IPRF_Lines[[#This Row],[Line num]]))</f>
        <v/>
      </c>
      <c r="N419" s="19" t="str" cm="1">
        <f t="array" ref="N41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IF(OR(IPRF_Lines[[#This Row],[Requested Qty]]="",IPRF_Lines[[#This Row],[Picked Qty]]=""),"",IPRF_Lines[[#This Row],[Requested Qty]]-IPRF_Lines[[#This Row],[Picked Qty]])</f>
        <v/>
      </c>
      <c r="M420" s="18" t="str" cm="1">
        <f t="array" ref="M420">IF(
    OR(IPRF_Lines[[#This Row],[Item Description]]="",IPRF_Lines[[#This Row],[Requested Qty]]="",IPRF_Lines[[#This Row],[Unit]]=""),
    "",UPPER(IPRF_Header[Request number] &amp; "-" &amp; IPRF_Lines[[#This Row],[Line num]]))</f>
        <v/>
      </c>
      <c r="N420" s="19" t="str" cm="1">
        <f t="array" ref="N42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IF(OR(IPRF_Lines[[#This Row],[Requested Qty]]="",IPRF_Lines[[#This Row],[Picked Qty]]=""),"",IPRF_Lines[[#This Row],[Requested Qty]]-IPRF_Lines[[#This Row],[Picked Qty]])</f>
        <v/>
      </c>
      <c r="M421" s="18" t="str" cm="1">
        <f t="array" ref="M421">IF(
    OR(IPRF_Lines[[#This Row],[Item Description]]="",IPRF_Lines[[#This Row],[Requested Qty]]="",IPRF_Lines[[#This Row],[Unit]]=""),
    "",UPPER(IPRF_Header[Request number] &amp; "-" &amp; IPRF_Lines[[#This Row],[Line num]]))</f>
        <v/>
      </c>
      <c r="N421" s="19" t="str" cm="1">
        <f t="array" ref="N42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IF(OR(IPRF_Lines[[#This Row],[Requested Qty]]="",IPRF_Lines[[#This Row],[Picked Qty]]=""),"",IPRF_Lines[[#This Row],[Requested Qty]]-IPRF_Lines[[#This Row],[Picked Qty]])</f>
        <v/>
      </c>
      <c r="M422" s="18" t="str" cm="1">
        <f t="array" ref="M422">IF(
    OR(IPRF_Lines[[#This Row],[Item Description]]="",IPRF_Lines[[#This Row],[Requested Qty]]="",IPRF_Lines[[#This Row],[Unit]]=""),
    "",UPPER(IPRF_Header[Request number] &amp; "-" &amp; IPRF_Lines[[#This Row],[Line num]]))</f>
        <v/>
      </c>
      <c r="N422" s="19" t="str" cm="1">
        <f t="array" ref="N42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IF(OR(IPRF_Lines[[#This Row],[Requested Qty]]="",IPRF_Lines[[#This Row],[Picked Qty]]=""),"",IPRF_Lines[[#This Row],[Requested Qty]]-IPRF_Lines[[#This Row],[Picked Qty]])</f>
        <v/>
      </c>
      <c r="M423" s="18" t="str" cm="1">
        <f t="array" ref="M423">IF(
    OR(IPRF_Lines[[#This Row],[Item Description]]="",IPRF_Lines[[#This Row],[Requested Qty]]="",IPRF_Lines[[#This Row],[Unit]]=""),
    "",UPPER(IPRF_Header[Request number] &amp; "-" &amp; IPRF_Lines[[#This Row],[Line num]]))</f>
        <v/>
      </c>
      <c r="N423" s="19" t="str" cm="1">
        <f t="array" ref="N42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IF(OR(IPRF_Lines[[#This Row],[Requested Qty]]="",IPRF_Lines[[#This Row],[Picked Qty]]=""),"",IPRF_Lines[[#This Row],[Requested Qty]]-IPRF_Lines[[#This Row],[Picked Qty]])</f>
        <v/>
      </c>
      <c r="M424" s="18" t="str" cm="1">
        <f t="array" ref="M424">IF(
    OR(IPRF_Lines[[#This Row],[Item Description]]="",IPRF_Lines[[#This Row],[Requested Qty]]="",IPRF_Lines[[#This Row],[Unit]]=""),
    "",UPPER(IPRF_Header[Request number] &amp; "-" &amp; IPRF_Lines[[#This Row],[Line num]]))</f>
        <v/>
      </c>
      <c r="N424" s="19" t="str" cm="1">
        <f t="array" ref="N42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IF(OR(IPRF_Lines[[#This Row],[Requested Qty]]="",IPRF_Lines[[#This Row],[Picked Qty]]=""),"",IPRF_Lines[[#This Row],[Requested Qty]]-IPRF_Lines[[#This Row],[Picked Qty]])</f>
        <v/>
      </c>
      <c r="M425" s="18" t="str" cm="1">
        <f t="array" ref="M425">IF(
    OR(IPRF_Lines[[#This Row],[Item Description]]="",IPRF_Lines[[#This Row],[Requested Qty]]="",IPRF_Lines[[#This Row],[Unit]]=""),
    "",UPPER(IPRF_Header[Request number] &amp; "-" &amp; IPRF_Lines[[#This Row],[Line num]]))</f>
        <v/>
      </c>
      <c r="N425" s="19" t="str" cm="1">
        <f t="array" ref="N42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IF(OR(IPRF_Lines[[#This Row],[Requested Qty]]="",IPRF_Lines[[#This Row],[Picked Qty]]=""),"",IPRF_Lines[[#This Row],[Requested Qty]]-IPRF_Lines[[#This Row],[Picked Qty]])</f>
        <v/>
      </c>
      <c r="M426" s="18" t="str" cm="1">
        <f t="array" ref="M426">IF(
    OR(IPRF_Lines[[#This Row],[Item Description]]="",IPRF_Lines[[#This Row],[Requested Qty]]="",IPRF_Lines[[#This Row],[Unit]]=""),
    "",UPPER(IPRF_Header[Request number] &amp; "-" &amp; IPRF_Lines[[#This Row],[Line num]]))</f>
        <v/>
      </c>
      <c r="N426" s="19" t="str" cm="1">
        <f t="array" ref="N42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IF(OR(IPRF_Lines[[#This Row],[Requested Qty]]="",IPRF_Lines[[#This Row],[Picked Qty]]=""),"",IPRF_Lines[[#This Row],[Requested Qty]]-IPRF_Lines[[#This Row],[Picked Qty]])</f>
        <v/>
      </c>
      <c r="M427" s="18" t="str" cm="1">
        <f t="array" ref="M427">IF(
    OR(IPRF_Lines[[#This Row],[Item Description]]="",IPRF_Lines[[#This Row],[Requested Qty]]="",IPRF_Lines[[#This Row],[Unit]]=""),
    "",UPPER(IPRF_Header[Request number] &amp; "-" &amp; IPRF_Lines[[#This Row],[Line num]]))</f>
        <v/>
      </c>
      <c r="N427" s="19" t="str" cm="1">
        <f t="array" ref="N42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IF(OR(IPRF_Lines[[#This Row],[Requested Qty]]="",IPRF_Lines[[#This Row],[Picked Qty]]=""),"",IPRF_Lines[[#This Row],[Requested Qty]]-IPRF_Lines[[#This Row],[Picked Qty]])</f>
        <v/>
      </c>
      <c r="M428" s="18" t="str" cm="1">
        <f t="array" ref="M428">IF(
    OR(IPRF_Lines[[#This Row],[Item Description]]="",IPRF_Lines[[#This Row],[Requested Qty]]="",IPRF_Lines[[#This Row],[Unit]]=""),
    "",UPPER(IPRF_Header[Request number] &amp; "-" &amp; IPRF_Lines[[#This Row],[Line num]]))</f>
        <v/>
      </c>
      <c r="N428" s="19" t="str" cm="1">
        <f t="array" ref="N42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IF(OR(IPRF_Lines[[#This Row],[Requested Qty]]="",IPRF_Lines[[#This Row],[Picked Qty]]=""),"",IPRF_Lines[[#This Row],[Requested Qty]]-IPRF_Lines[[#This Row],[Picked Qty]])</f>
        <v/>
      </c>
      <c r="M429" s="18" t="str" cm="1">
        <f t="array" ref="M429">IF(
    OR(IPRF_Lines[[#This Row],[Item Description]]="",IPRF_Lines[[#This Row],[Requested Qty]]="",IPRF_Lines[[#This Row],[Unit]]=""),
    "",UPPER(IPRF_Header[Request number] &amp; "-" &amp; IPRF_Lines[[#This Row],[Line num]]))</f>
        <v/>
      </c>
      <c r="N429" s="19" t="str" cm="1">
        <f t="array" ref="N42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IF(OR(IPRF_Lines[[#This Row],[Requested Qty]]="",IPRF_Lines[[#This Row],[Picked Qty]]=""),"",IPRF_Lines[[#This Row],[Requested Qty]]-IPRF_Lines[[#This Row],[Picked Qty]])</f>
        <v/>
      </c>
      <c r="M430" s="18" t="str" cm="1">
        <f t="array" ref="M430">IF(
    OR(IPRF_Lines[[#This Row],[Item Description]]="",IPRF_Lines[[#This Row],[Requested Qty]]="",IPRF_Lines[[#This Row],[Unit]]=""),
    "",UPPER(IPRF_Header[Request number] &amp; "-" &amp; IPRF_Lines[[#This Row],[Line num]]))</f>
        <v/>
      </c>
      <c r="N430" s="19" t="str" cm="1">
        <f t="array" ref="N43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IF(OR(IPRF_Lines[[#This Row],[Requested Qty]]="",IPRF_Lines[[#This Row],[Picked Qty]]=""),"",IPRF_Lines[[#This Row],[Requested Qty]]-IPRF_Lines[[#This Row],[Picked Qty]])</f>
        <v/>
      </c>
      <c r="M431" s="18" t="str" cm="1">
        <f t="array" ref="M431">IF(
    OR(IPRF_Lines[[#This Row],[Item Description]]="",IPRF_Lines[[#This Row],[Requested Qty]]="",IPRF_Lines[[#This Row],[Unit]]=""),
    "",UPPER(IPRF_Header[Request number] &amp; "-" &amp; IPRF_Lines[[#This Row],[Line num]]))</f>
        <v/>
      </c>
      <c r="N431" s="19" t="str" cm="1">
        <f t="array" ref="N43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IF(OR(IPRF_Lines[[#This Row],[Requested Qty]]="",IPRF_Lines[[#This Row],[Picked Qty]]=""),"",IPRF_Lines[[#This Row],[Requested Qty]]-IPRF_Lines[[#This Row],[Picked Qty]])</f>
        <v/>
      </c>
      <c r="M432" s="18" t="str" cm="1">
        <f t="array" ref="M432">IF(
    OR(IPRF_Lines[[#This Row],[Item Description]]="",IPRF_Lines[[#This Row],[Requested Qty]]="",IPRF_Lines[[#This Row],[Unit]]=""),
    "",UPPER(IPRF_Header[Request number] &amp; "-" &amp; IPRF_Lines[[#This Row],[Line num]]))</f>
        <v/>
      </c>
      <c r="N432" s="19" t="str" cm="1">
        <f t="array" ref="N43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IF(OR(IPRF_Lines[[#This Row],[Requested Qty]]="",IPRF_Lines[[#This Row],[Picked Qty]]=""),"",IPRF_Lines[[#This Row],[Requested Qty]]-IPRF_Lines[[#This Row],[Picked Qty]])</f>
        <v/>
      </c>
      <c r="M433" s="18" t="str" cm="1">
        <f t="array" ref="M433">IF(
    OR(IPRF_Lines[[#This Row],[Item Description]]="",IPRF_Lines[[#This Row],[Requested Qty]]="",IPRF_Lines[[#This Row],[Unit]]=""),
    "",UPPER(IPRF_Header[Request number] &amp; "-" &amp; IPRF_Lines[[#This Row],[Line num]]))</f>
        <v/>
      </c>
      <c r="N433" s="19" t="str" cm="1">
        <f t="array" ref="N43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IF(OR(IPRF_Lines[[#This Row],[Requested Qty]]="",IPRF_Lines[[#This Row],[Picked Qty]]=""),"",IPRF_Lines[[#This Row],[Requested Qty]]-IPRF_Lines[[#This Row],[Picked Qty]])</f>
        <v/>
      </c>
      <c r="M434" s="18" t="str" cm="1">
        <f t="array" ref="M434">IF(
    OR(IPRF_Lines[[#This Row],[Item Description]]="",IPRF_Lines[[#This Row],[Requested Qty]]="",IPRF_Lines[[#This Row],[Unit]]=""),
    "",UPPER(IPRF_Header[Request number] &amp; "-" &amp; IPRF_Lines[[#This Row],[Line num]]))</f>
        <v/>
      </c>
      <c r="N434" s="19" t="str" cm="1">
        <f t="array" ref="N43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IF(OR(IPRF_Lines[[#This Row],[Requested Qty]]="",IPRF_Lines[[#This Row],[Picked Qty]]=""),"",IPRF_Lines[[#This Row],[Requested Qty]]-IPRF_Lines[[#This Row],[Picked Qty]])</f>
        <v/>
      </c>
      <c r="M435" s="18" t="str" cm="1">
        <f t="array" ref="M435">IF(
    OR(IPRF_Lines[[#This Row],[Item Description]]="",IPRF_Lines[[#This Row],[Requested Qty]]="",IPRF_Lines[[#This Row],[Unit]]=""),
    "",UPPER(IPRF_Header[Request number] &amp; "-" &amp; IPRF_Lines[[#This Row],[Line num]]))</f>
        <v/>
      </c>
      <c r="N435" s="19" t="str" cm="1">
        <f t="array" ref="N43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IF(OR(IPRF_Lines[[#This Row],[Requested Qty]]="",IPRF_Lines[[#This Row],[Picked Qty]]=""),"",IPRF_Lines[[#This Row],[Requested Qty]]-IPRF_Lines[[#This Row],[Picked Qty]])</f>
        <v/>
      </c>
      <c r="M436" s="18" t="str" cm="1">
        <f t="array" ref="M436">IF(
    OR(IPRF_Lines[[#This Row],[Item Description]]="",IPRF_Lines[[#This Row],[Requested Qty]]="",IPRF_Lines[[#This Row],[Unit]]=""),
    "",UPPER(IPRF_Header[Request number] &amp; "-" &amp; IPRF_Lines[[#This Row],[Line num]]))</f>
        <v/>
      </c>
      <c r="N436" s="19" t="str" cm="1">
        <f t="array" ref="N43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IF(OR(IPRF_Lines[[#This Row],[Requested Qty]]="",IPRF_Lines[[#This Row],[Picked Qty]]=""),"",IPRF_Lines[[#This Row],[Requested Qty]]-IPRF_Lines[[#This Row],[Picked Qty]])</f>
        <v/>
      </c>
      <c r="M437" s="18" t="str" cm="1">
        <f t="array" ref="M437">IF(
    OR(IPRF_Lines[[#This Row],[Item Description]]="",IPRF_Lines[[#This Row],[Requested Qty]]="",IPRF_Lines[[#This Row],[Unit]]=""),
    "",UPPER(IPRF_Header[Request number] &amp; "-" &amp; IPRF_Lines[[#This Row],[Line num]]))</f>
        <v/>
      </c>
      <c r="N437" s="19" t="str" cm="1">
        <f t="array" ref="N43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IF(OR(IPRF_Lines[[#This Row],[Requested Qty]]="",IPRF_Lines[[#This Row],[Picked Qty]]=""),"",IPRF_Lines[[#This Row],[Requested Qty]]-IPRF_Lines[[#This Row],[Picked Qty]])</f>
        <v/>
      </c>
      <c r="M438" s="18" t="str" cm="1">
        <f t="array" ref="M438">IF(
    OR(IPRF_Lines[[#This Row],[Item Description]]="",IPRF_Lines[[#This Row],[Requested Qty]]="",IPRF_Lines[[#This Row],[Unit]]=""),
    "",UPPER(IPRF_Header[Request number] &amp; "-" &amp; IPRF_Lines[[#This Row],[Line num]]))</f>
        <v/>
      </c>
      <c r="N438" s="19" t="str" cm="1">
        <f t="array" ref="N43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IF(OR(IPRF_Lines[[#This Row],[Requested Qty]]="",IPRF_Lines[[#This Row],[Picked Qty]]=""),"",IPRF_Lines[[#This Row],[Requested Qty]]-IPRF_Lines[[#This Row],[Picked Qty]])</f>
        <v/>
      </c>
      <c r="M439" s="18" t="str" cm="1">
        <f t="array" ref="M439">IF(
    OR(IPRF_Lines[[#This Row],[Item Description]]="",IPRF_Lines[[#This Row],[Requested Qty]]="",IPRF_Lines[[#This Row],[Unit]]=""),
    "",UPPER(IPRF_Header[Request number] &amp; "-" &amp; IPRF_Lines[[#This Row],[Line num]]))</f>
        <v/>
      </c>
      <c r="N439" s="19" t="str" cm="1">
        <f t="array" ref="N43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IF(OR(IPRF_Lines[[#This Row],[Requested Qty]]="",IPRF_Lines[[#This Row],[Picked Qty]]=""),"",IPRF_Lines[[#This Row],[Requested Qty]]-IPRF_Lines[[#This Row],[Picked Qty]])</f>
        <v/>
      </c>
      <c r="M440" s="18" t="str" cm="1">
        <f t="array" ref="M440">IF(
    OR(IPRF_Lines[[#This Row],[Item Description]]="",IPRF_Lines[[#This Row],[Requested Qty]]="",IPRF_Lines[[#This Row],[Unit]]=""),
    "",UPPER(IPRF_Header[Request number] &amp; "-" &amp; IPRF_Lines[[#This Row],[Line num]]))</f>
        <v/>
      </c>
      <c r="N440" s="19" t="str" cm="1">
        <f t="array" ref="N44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IF(OR(IPRF_Lines[[#This Row],[Requested Qty]]="",IPRF_Lines[[#This Row],[Picked Qty]]=""),"",IPRF_Lines[[#This Row],[Requested Qty]]-IPRF_Lines[[#This Row],[Picked Qty]])</f>
        <v/>
      </c>
      <c r="M441" s="18" t="str" cm="1">
        <f t="array" ref="M441">IF(
    OR(IPRF_Lines[[#This Row],[Item Description]]="",IPRF_Lines[[#This Row],[Requested Qty]]="",IPRF_Lines[[#This Row],[Unit]]=""),
    "",UPPER(IPRF_Header[Request number] &amp; "-" &amp; IPRF_Lines[[#This Row],[Line num]]))</f>
        <v/>
      </c>
      <c r="N441" s="19" t="str" cm="1">
        <f t="array" ref="N44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IF(OR(IPRF_Lines[[#This Row],[Requested Qty]]="",IPRF_Lines[[#This Row],[Picked Qty]]=""),"",IPRF_Lines[[#This Row],[Requested Qty]]-IPRF_Lines[[#This Row],[Picked Qty]])</f>
        <v/>
      </c>
      <c r="M442" s="18" t="str" cm="1">
        <f t="array" ref="M442">IF(
    OR(IPRF_Lines[[#This Row],[Item Description]]="",IPRF_Lines[[#This Row],[Requested Qty]]="",IPRF_Lines[[#This Row],[Unit]]=""),
    "",UPPER(IPRF_Header[Request number] &amp; "-" &amp; IPRF_Lines[[#This Row],[Line num]]))</f>
        <v/>
      </c>
      <c r="N442" s="19" t="str" cm="1">
        <f t="array" ref="N44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IF(OR(IPRF_Lines[[#This Row],[Requested Qty]]="",IPRF_Lines[[#This Row],[Picked Qty]]=""),"",IPRF_Lines[[#This Row],[Requested Qty]]-IPRF_Lines[[#This Row],[Picked Qty]])</f>
        <v/>
      </c>
      <c r="M443" s="18" t="str" cm="1">
        <f t="array" ref="M443">IF(
    OR(IPRF_Lines[[#This Row],[Item Description]]="",IPRF_Lines[[#This Row],[Requested Qty]]="",IPRF_Lines[[#This Row],[Unit]]=""),
    "",UPPER(IPRF_Header[Request number] &amp; "-" &amp; IPRF_Lines[[#This Row],[Line num]]))</f>
        <v/>
      </c>
      <c r="N443" s="19" t="str" cm="1">
        <f t="array" ref="N44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IF(OR(IPRF_Lines[[#This Row],[Requested Qty]]="",IPRF_Lines[[#This Row],[Picked Qty]]=""),"",IPRF_Lines[[#This Row],[Requested Qty]]-IPRF_Lines[[#This Row],[Picked Qty]])</f>
        <v/>
      </c>
      <c r="M444" s="18" t="str" cm="1">
        <f t="array" ref="M444">IF(
    OR(IPRF_Lines[[#This Row],[Item Description]]="",IPRF_Lines[[#This Row],[Requested Qty]]="",IPRF_Lines[[#This Row],[Unit]]=""),
    "",UPPER(IPRF_Header[Request number] &amp; "-" &amp; IPRF_Lines[[#This Row],[Line num]]))</f>
        <v/>
      </c>
      <c r="N444" s="19" t="str" cm="1">
        <f t="array" ref="N44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IF(OR(IPRF_Lines[[#This Row],[Requested Qty]]="",IPRF_Lines[[#This Row],[Picked Qty]]=""),"",IPRF_Lines[[#This Row],[Requested Qty]]-IPRF_Lines[[#This Row],[Picked Qty]])</f>
        <v/>
      </c>
      <c r="M445" s="18" t="str" cm="1">
        <f t="array" ref="M445">IF(
    OR(IPRF_Lines[[#This Row],[Item Description]]="",IPRF_Lines[[#This Row],[Requested Qty]]="",IPRF_Lines[[#This Row],[Unit]]=""),
    "",UPPER(IPRF_Header[Request number] &amp; "-" &amp; IPRF_Lines[[#This Row],[Line num]]))</f>
        <v/>
      </c>
      <c r="N445" s="19" t="str" cm="1">
        <f t="array" ref="N44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IF(OR(IPRF_Lines[[#This Row],[Requested Qty]]="",IPRF_Lines[[#This Row],[Picked Qty]]=""),"",IPRF_Lines[[#This Row],[Requested Qty]]-IPRF_Lines[[#This Row],[Picked Qty]])</f>
        <v/>
      </c>
      <c r="M446" s="18" t="str" cm="1">
        <f t="array" ref="M446">IF(
    OR(IPRF_Lines[[#This Row],[Item Description]]="",IPRF_Lines[[#This Row],[Requested Qty]]="",IPRF_Lines[[#This Row],[Unit]]=""),
    "",UPPER(IPRF_Header[Request number] &amp; "-" &amp; IPRF_Lines[[#This Row],[Line num]]))</f>
        <v/>
      </c>
      <c r="N446" s="19" t="str" cm="1">
        <f t="array" ref="N44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IF(OR(IPRF_Lines[[#This Row],[Requested Qty]]="",IPRF_Lines[[#This Row],[Picked Qty]]=""),"",IPRF_Lines[[#This Row],[Requested Qty]]-IPRF_Lines[[#This Row],[Picked Qty]])</f>
        <v/>
      </c>
      <c r="M447" s="18" t="str" cm="1">
        <f t="array" ref="M447">IF(
    OR(IPRF_Lines[[#This Row],[Item Description]]="",IPRF_Lines[[#This Row],[Requested Qty]]="",IPRF_Lines[[#This Row],[Unit]]=""),
    "",UPPER(IPRF_Header[Request number] &amp; "-" &amp; IPRF_Lines[[#This Row],[Line num]]))</f>
        <v/>
      </c>
      <c r="N447" s="19" t="str" cm="1">
        <f t="array" ref="N44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IF(OR(IPRF_Lines[[#This Row],[Requested Qty]]="",IPRF_Lines[[#This Row],[Picked Qty]]=""),"",IPRF_Lines[[#This Row],[Requested Qty]]-IPRF_Lines[[#This Row],[Picked Qty]])</f>
        <v/>
      </c>
      <c r="M448" s="18" t="str" cm="1">
        <f t="array" ref="M448">IF(
    OR(IPRF_Lines[[#This Row],[Item Description]]="",IPRF_Lines[[#This Row],[Requested Qty]]="",IPRF_Lines[[#This Row],[Unit]]=""),
    "",UPPER(IPRF_Header[Request number] &amp; "-" &amp; IPRF_Lines[[#This Row],[Line num]]))</f>
        <v/>
      </c>
      <c r="N448" s="19" t="str" cm="1">
        <f t="array" ref="N44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IF(OR(IPRF_Lines[[#This Row],[Requested Qty]]="",IPRF_Lines[[#This Row],[Picked Qty]]=""),"",IPRF_Lines[[#This Row],[Requested Qty]]-IPRF_Lines[[#This Row],[Picked Qty]])</f>
        <v/>
      </c>
      <c r="M449" s="18" t="str" cm="1">
        <f t="array" ref="M449">IF(
    OR(IPRF_Lines[[#This Row],[Item Description]]="",IPRF_Lines[[#This Row],[Requested Qty]]="",IPRF_Lines[[#This Row],[Unit]]=""),
    "",UPPER(IPRF_Header[Request number] &amp; "-" &amp; IPRF_Lines[[#This Row],[Line num]]))</f>
        <v/>
      </c>
      <c r="N449" s="19" t="str" cm="1">
        <f t="array" ref="N44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IF(OR(IPRF_Lines[[#This Row],[Requested Qty]]="",IPRF_Lines[[#This Row],[Picked Qty]]=""),"",IPRF_Lines[[#This Row],[Requested Qty]]-IPRF_Lines[[#This Row],[Picked Qty]])</f>
        <v/>
      </c>
      <c r="M450" s="18" t="str" cm="1">
        <f t="array" ref="M450">IF(
    OR(IPRF_Lines[[#This Row],[Item Description]]="",IPRF_Lines[[#This Row],[Requested Qty]]="",IPRF_Lines[[#This Row],[Unit]]=""),
    "",UPPER(IPRF_Header[Request number] &amp; "-" &amp; IPRF_Lines[[#This Row],[Line num]]))</f>
        <v/>
      </c>
      <c r="N450" s="19" t="str" cm="1">
        <f t="array" ref="N45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IF(OR(IPRF_Lines[[#This Row],[Requested Qty]]="",IPRF_Lines[[#This Row],[Picked Qty]]=""),"",IPRF_Lines[[#This Row],[Requested Qty]]-IPRF_Lines[[#This Row],[Picked Qty]])</f>
        <v/>
      </c>
      <c r="M451" s="18" t="str" cm="1">
        <f t="array" ref="M451">IF(
    OR(IPRF_Lines[[#This Row],[Item Description]]="",IPRF_Lines[[#This Row],[Requested Qty]]="",IPRF_Lines[[#This Row],[Unit]]=""),
    "",UPPER(IPRF_Header[Request number] &amp; "-" &amp; IPRF_Lines[[#This Row],[Line num]]))</f>
        <v/>
      </c>
      <c r="N451" s="19" t="str" cm="1">
        <f t="array" ref="N45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IF(OR(IPRF_Lines[[#This Row],[Requested Qty]]="",IPRF_Lines[[#This Row],[Picked Qty]]=""),"",IPRF_Lines[[#This Row],[Requested Qty]]-IPRF_Lines[[#This Row],[Picked Qty]])</f>
        <v/>
      </c>
      <c r="M452" s="18" t="str" cm="1">
        <f t="array" ref="M452">IF(
    OR(IPRF_Lines[[#This Row],[Item Description]]="",IPRF_Lines[[#This Row],[Requested Qty]]="",IPRF_Lines[[#This Row],[Unit]]=""),
    "",UPPER(IPRF_Header[Request number] &amp; "-" &amp; IPRF_Lines[[#This Row],[Line num]]))</f>
        <v/>
      </c>
      <c r="N452" s="19" t="str" cm="1">
        <f t="array" ref="N45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IF(OR(IPRF_Lines[[#This Row],[Requested Qty]]="",IPRF_Lines[[#This Row],[Picked Qty]]=""),"",IPRF_Lines[[#This Row],[Requested Qty]]-IPRF_Lines[[#This Row],[Picked Qty]])</f>
        <v/>
      </c>
      <c r="M453" s="18" t="str" cm="1">
        <f t="array" ref="M453">IF(
    OR(IPRF_Lines[[#This Row],[Item Description]]="",IPRF_Lines[[#This Row],[Requested Qty]]="",IPRF_Lines[[#This Row],[Unit]]=""),
    "",UPPER(IPRF_Header[Request number] &amp; "-" &amp; IPRF_Lines[[#This Row],[Line num]]))</f>
        <v/>
      </c>
      <c r="N453" s="19" t="str" cm="1">
        <f t="array" ref="N45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IF(OR(IPRF_Lines[[#This Row],[Requested Qty]]="",IPRF_Lines[[#This Row],[Picked Qty]]=""),"",IPRF_Lines[[#This Row],[Requested Qty]]-IPRF_Lines[[#This Row],[Picked Qty]])</f>
        <v/>
      </c>
      <c r="M454" s="18" t="str" cm="1">
        <f t="array" ref="M454">IF(
    OR(IPRF_Lines[[#This Row],[Item Description]]="",IPRF_Lines[[#This Row],[Requested Qty]]="",IPRF_Lines[[#This Row],[Unit]]=""),
    "",UPPER(IPRF_Header[Request number] &amp; "-" &amp; IPRF_Lines[[#This Row],[Line num]]))</f>
        <v/>
      </c>
      <c r="N454" s="19" t="str" cm="1">
        <f t="array" ref="N45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IF(OR(IPRF_Lines[[#This Row],[Requested Qty]]="",IPRF_Lines[[#This Row],[Picked Qty]]=""),"",IPRF_Lines[[#This Row],[Requested Qty]]-IPRF_Lines[[#This Row],[Picked Qty]])</f>
        <v/>
      </c>
      <c r="M455" s="18" t="str" cm="1">
        <f t="array" ref="M455">IF(
    OR(IPRF_Lines[[#This Row],[Item Description]]="",IPRF_Lines[[#This Row],[Requested Qty]]="",IPRF_Lines[[#This Row],[Unit]]=""),
    "",UPPER(IPRF_Header[Request number] &amp; "-" &amp; IPRF_Lines[[#This Row],[Line num]]))</f>
        <v/>
      </c>
      <c r="N455" s="19" t="str" cm="1">
        <f t="array" ref="N45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IF(OR(IPRF_Lines[[#This Row],[Requested Qty]]="",IPRF_Lines[[#This Row],[Picked Qty]]=""),"",IPRF_Lines[[#This Row],[Requested Qty]]-IPRF_Lines[[#This Row],[Picked Qty]])</f>
        <v/>
      </c>
      <c r="M456" s="18" t="str" cm="1">
        <f t="array" ref="M456">IF(
    OR(IPRF_Lines[[#This Row],[Item Description]]="",IPRF_Lines[[#This Row],[Requested Qty]]="",IPRF_Lines[[#This Row],[Unit]]=""),
    "",UPPER(IPRF_Header[Request number] &amp; "-" &amp; IPRF_Lines[[#This Row],[Line num]]))</f>
        <v/>
      </c>
      <c r="N456" s="19" t="str" cm="1">
        <f t="array" ref="N45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IF(OR(IPRF_Lines[[#This Row],[Requested Qty]]="",IPRF_Lines[[#This Row],[Picked Qty]]=""),"",IPRF_Lines[[#This Row],[Requested Qty]]-IPRF_Lines[[#This Row],[Picked Qty]])</f>
        <v/>
      </c>
      <c r="M457" s="18" t="str" cm="1">
        <f t="array" ref="M457">IF(
    OR(IPRF_Lines[[#This Row],[Item Description]]="",IPRF_Lines[[#This Row],[Requested Qty]]="",IPRF_Lines[[#This Row],[Unit]]=""),
    "",UPPER(IPRF_Header[Request number] &amp; "-" &amp; IPRF_Lines[[#This Row],[Line num]]))</f>
        <v/>
      </c>
      <c r="N457" s="19" t="str" cm="1">
        <f t="array" ref="N45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IF(OR(IPRF_Lines[[#This Row],[Requested Qty]]="",IPRF_Lines[[#This Row],[Picked Qty]]=""),"",IPRF_Lines[[#This Row],[Requested Qty]]-IPRF_Lines[[#This Row],[Picked Qty]])</f>
        <v/>
      </c>
      <c r="M458" s="18" t="str" cm="1">
        <f t="array" ref="M458">IF(
    OR(IPRF_Lines[[#This Row],[Item Description]]="",IPRF_Lines[[#This Row],[Requested Qty]]="",IPRF_Lines[[#This Row],[Unit]]=""),
    "",UPPER(IPRF_Header[Request number] &amp; "-" &amp; IPRF_Lines[[#This Row],[Line num]]))</f>
        <v/>
      </c>
      <c r="N458" s="19" t="str" cm="1">
        <f t="array" ref="N45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IF(OR(IPRF_Lines[[#This Row],[Requested Qty]]="",IPRF_Lines[[#This Row],[Picked Qty]]=""),"",IPRF_Lines[[#This Row],[Requested Qty]]-IPRF_Lines[[#This Row],[Picked Qty]])</f>
        <v/>
      </c>
      <c r="M459" s="18" t="str" cm="1">
        <f t="array" ref="M459">IF(
    OR(IPRF_Lines[[#This Row],[Item Description]]="",IPRF_Lines[[#This Row],[Requested Qty]]="",IPRF_Lines[[#This Row],[Unit]]=""),
    "",UPPER(IPRF_Header[Request number] &amp; "-" &amp; IPRF_Lines[[#This Row],[Line num]]))</f>
        <v/>
      </c>
      <c r="N459" s="19" t="str" cm="1">
        <f t="array" ref="N45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IF(OR(IPRF_Lines[[#This Row],[Requested Qty]]="",IPRF_Lines[[#This Row],[Picked Qty]]=""),"",IPRF_Lines[[#This Row],[Requested Qty]]-IPRF_Lines[[#This Row],[Picked Qty]])</f>
        <v/>
      </c>
      <c r="M460" s="18" t="str" cm="1">
        <f t="array" ref="M460">IF(
    OR(IPRF_Lines[[#This Row],[Item Description]]="",IPRF_Lines[[#This Row],[Requested Qty]]="",IPRF_Lines[[#This Row],[Unit]]=""),
    "",UPPER(IPRF_Header[Request number] &amp; "-" &amp; IPRF_Lines[[#This Row],[Line num]]))</f>
        <v/>
      </c>
      <c r="N460" s="19" t="str" cm="1">
        <f t="array" ref="N46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IF(OR(IPRF_Lines[[#This Row],[Requested Qty]]="",IPRF_Lines[[#This Row],[Picked Qty]]=""),"",IPRF_Lines[[#This Row],[Requested Qty]]-IPRF_Lines[[#This Row],[Picked Qty]])</f>
        <v/>
      </c>
      <c r="M461" s="18" t="str" cm="1">
        <f t="array" ref="M461">IF(
    OR(IPRF_Lines[[#This Row],[Item Description]]="",IPRF_Lines[[#This Row],[Requested Qty]]="",IPRF_Lines[[#This Row],[Unit]]=""),
    "",UPPER(IPRF_Header[Request number] &amp; "-" &amp; IPRF_Lines[[#This Row],[Line num]]))</f>
        <v/>
      </c>
      <c r="N461" s="19" t="str" cm="1">
        <f t="array" ref="N46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IF(OR(IPRF_Lines[[#This Row],[Requested Qty]]="",IPRF_Lines[[#This Row],[Picked Qty]]=""),"",IPRF_Lines[[#This Row],[Requested Qty]]-IPRF_Lines[[#This Row],[Picked Qty]])</f>
        <v/>
      </c>
      <c r="M462" s="18" t="str" cm="1">
        <f t="array" ref="M462">IF(
    OR(IPRF_Lines[[#This Row],[Item Description]]="",IPRF_Lines[[#This Row],[Requested Qty]]="",IPRF_Lines[[#This Row],[Unit]]=""),
    "",UPPER(IPRF_Header[Request number] &amp; "-" &amp; IPRF_Lines[[#This Row],[Line num]]))</f>
        <v/>
      </c>
      <c r="N462" s="19" t="str" cm="1">
        <f t="array" ref="N46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IF(OR(IPRF_Lines[[#This Row],[Requested Qty]]="",IPRF_Lines[[#This Row],[Picked Qty]]=""),"",IPRF_Lines[[#This Row],[Requested Qty]]-IPRF_Lines[[#This Row],[Picked Qty]])</f>
        <v/>
      </c>
      <c r="M463" s="18" t="str" cm="1">
        <f t="array" ref="M463">IF(
    OR(IPRF_Lines[[#This Row],[Item Description]]="",IPRF_Lines[[#This Row],[Requested Qty]]="",IPRF_Lines[[#This Row],[Unit]]=""),
    "",UPPER(IPRF_Header[Request number] &amp; "-" &amp; IPRF_Lines[[#This Row],[Line num]]))</f>
        <v/>
      </c>
      <c r="N463" s="19" t="str" cm="1">
        <f t="array" ref="N46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IF(OR(IPRF_Lines[[#This Row],[Requested Qty]]="",IPRF_Lines[[#This Row],[Picked Qty]]=""),"",IPRF_Lines[[#This Row],[Requested Qty]]-IPRF_Lines[[#This Row],[Picked Qty]])</f>
        <v/>
      </c>
      <c r="M464" s="18" t="str" cm="1">
        <f t="array" ref="M464">IF(
    OR(IPRF_Lines[[#This Row],[Item Description]]="",IPRF_Lines[[#This Row],[Requested Qty]]="",IPRF_Lines[[#This Row],[Unit]]=""),
    "",UPPER(IPRF_Header[Request number] &amp; "-" &amp; IPRF_Lines[[#This Row],[Line num]]))</f>
        <v/>
      </c>
      <c r="N464" s="19" t="str" cm="1">
        <f t="array" ref="N46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IF(OR(IPRF_Lines[[#This Row],[Requested Qty]]="",IPRF_Lines[[#This Row],[Picked Qty]]=""),"",IPRF_Lines[[#This Row],[Requested Qty]]-IPRF_Lines[[#This Row],[Picked Qty]])</f>
        <v/>
      </c>
      <c r="M465" s="18" t="str" cm="1">
        <f t="array" ref="M465">IF(
    OR(IPRF_Lines[[#This Row],[Item Description]]="",IPRF_Lines[[#This Row],[Requested Qty]]="",IPRF_Lines[[#This Row],[Unit]]=""),
    "",UPPER(IPRF_Header[Request number] &amp; "-" &amp; IPRF_Lines[[#This Row],[Line num]]))</f>
        <v/>
      </c>
      <c r="N465" s="19" t="str" cm="1">
        <f t="array" ref="N46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IF(OR(IPRF_Lines[[#This Row],[Requested Qty]]="",IPRF_Lines[[#This Row],[Picked Qty]]=""),"",IPRF_Lines[[#This Row],[Requested Qty]]-IPRF_Lines[[#This Row],[Picked Qty]])</f>
        <v/>
      </c>
      <c r="M466" s="18" t="str" cm="1">
        <f t="array" ref="M466">IF(
    OR(IPRF_Lines[[#This Row],[Item Description]]="",IPRF_Lines[[#This Row],[Requested Qty]]="",IPRF_Lines[[#This Row],[Unit]]=""),
    "",UPPER(IPRF_Header[Request number] &amp; "-" &amp; IPRF_Lines[[#This Row],[Line num]]))</f>
        <v/>
      </c>
      <c r="N466" s="19" t="str" cm="1">
        <f t="array" ref="N46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IF(OR(IPRF_Lines[[#This Row],[Requested Qty]]="",IPRF_Lines[[#This Row],[Picked Qty]]=""),"",IPRF_Lines[[#This Row],[Requested Qty]]-IPRF_Lines[[#This Row],[Picked Qty]])</f>
        <v/>
      </c>
      <c r="M467" s="18" t="str" cm="1">
        <f t="array" ref="M467">IF(
    OR(IPRF_Lines[[#This Row],[Item Description]]="",IPRF_Lines[[#This Row],[Requested Qty]]="",IPRF_Lines[[#This Row],[Unit]]=""),
    "",UPPER(IPRF_Header[Request number] &amp; "-" &amp; IPRF_Lines[[#This Row],[Line num]]))</f>
        <v/>
      </c>
      <c r="N467" s="19" t="str" cm="1">
        <f t="array" ref="N46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IF(OR(IPRF_Lines[[#This Row],[Requested Qty]]="",IPRF_Lines[[#This Row],[Picked Qty]]=""),"",IPRF_Lines[[#This Row],[Requested Qty]]-IPRF_Lines[[#This Row],[Picked Qty]])</f>
        <v/>
      </c>
      <c r="M468" s="18" t="str" cm="1">
        <f t="array" ref="M468">IF(
    OR(IPRF_Lines[[#This Row],[Item Description]]="",IPRF_Lines[[#This Row],[Requested Qty]]="",IPRF_Lines[[#This Row],[Unit]]=""),
    "",UPPER(IPRF_Header[Request number] &amp; "-" &amp; IPRF_Lines[[#This Row],[Line num]]))</f>
        <v/>
      </c>
      <c r="N468" s="19" t="str" cm="1">
        <f t="array" ref="N46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IF(OR(IPRF_Lines[[#This Row],[Requested Qty]]="",IPRF_Lines[[#This Row],[Picked Qty]]=""),"",IPRF_Lines[[#This Row],[Requested Qty]]-IPRF_Lines[[#This Row],[Picked Qty]])</f>
        <v/>
      </c>
      <c r="M469" s="18" t="str" cm="1">
        <f t="array" ref="M469">IF(
    OR(IPRF_Lines[[#This Row],[Item Description]]="",IPRF_Lines[[#This Row],[Requested Qty]]="",IPRF_Lines[[#This Row],[Unit]]=""),
    "",UPPER(IPRF_Header[Request number] &amp; "-" &amp; IPRF_Lines[[#This Row],[Line num]]))</f>
        <v/>
      </c>
      <c r="N469" s="19" t="str" cm="1">
        <f t="array" ref="N46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IF(OR(IPRF_Lines[[#This Row],[Requested Qty]]="",IPRF_Lines[[#This Row],[Picked Qty]]=""),"",IPRF_Lines[[#This Row],[Requested Qty]]-IPRF_Lines[[#This Row],[Picked Qty]])</f>
        <v/>
      </c>
      <c r="M470" s="18" t="str" cm="1">
        <f t="array" ref="M470">IF(
    OR(IPRF_Lines[[#This Row],[Item Description]]="",IPRF_Lines[[#This Row],[Requested Qty]]="",IPRF_Lines[[#This Row],[Unit]]=""),
    "",UPPER(IPRF_Header[Request number] &amp; "-" &amp; IPRF_Lines[[#This Row],[Line num]]))</f>
        <v/>
      </c>
      <c r="N470" s="19" t="str" cm="1">
        <f t="array" ref="N47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IF(OR(IPRF_Lines[[#This Row],[Requested Qty]]="",IPRF_Lines[[#This Row],[Picked Qty]]=""),"",IPRF_Lines[[#This Row],[Requested Qty]]-IPRF_Lines[[#This Row],[Picked Qty]])</f>
        <v/>
      </c>
      <c r="M471" s="18" t="str" cm="1">
        <f t="array" ref="M471">IF(
    OR(IPRF_Lines[[#This Row],[Item Description]]="",IPRF_Lines[[#This Row],[Requested Qty]]="",IPRF_Lines[[#This Row],[Unit]]=""),
    "",UPPER(IPRF_Header[Request number] &amp; "-" &amp; IPRF_Lines[[#This Row],[Line num]]))</f>
        <v/>
      </c>
      <c r="N471" s="19" t="str" cm="1">
        <f t="array" ref="N47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IF(OR(IPRF_Lines[[#This Row],[Requested Qty]]="",IPRF_Lines[[#This Row],[Picked Qty]]=""),"",IPRF_Lines[[#This Row],[Requested Qty]]-IPRF_Lines[[#This Row],[Picked Qty]])</f>
        <v/>
      </c>
      <c r="M472" s="18" t="str" cm="1">
        <f t="array" ref="M472">IF(
    OR(IPRF_Lines[[#This Row],[Item Description]]="",IPRF_Lines[[#This Row],[Requested Qty]]="",IPRF_Lines[[#This Row],[Unit]]=""),
    "",UPPER(IPRF_Header[Request number] &amp; "-" &amp; IPRF_Lines[[#This Row],[Line num]]))</f>
        <v/>
      </c>
      <c r="N472" s="19" t="str" cm="1">
        <f t="array" ref="N47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IF(OR(IPRF_Lines[[#This Row],[Requested Qty]]="",IPRF_Lines[[#This Row],[Picked Qty]]=""),"",IPRF_Lines[[#This Row],[Requested Qty]]-IPRF_Lines[[#This Row],[Picked Qty]])</f>
        <v/>
      </c>
      <c r="M473" s="18" t="str" cm="1">
        <f t="array" ref="M473">IF(
    OR(IPRF_Lines[[#This Row],[Item Description]]="",IPRF_Lines[[#This Row],[Requested Qty]]="",IPRF_Lines[[#This Row],[Unit]]=""),
    "",UPPER(IPRF_Header[Request number] &amp; "-" &amp; IPRF_Lines[[#This Row],[Line num]]))</f>
        <v/>
      </c>
      <c r="N473" s="19" t="str" cm="1">
        <f t="array" ref="N47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IF(OR(IPRF_Lines[[#This Row],[Requested Qty]]="",IPRF_Lines[[#This Row],[Picked Qty]]=""),"",IPRF_Lines[[#This Row],[Requested Qty]]-IPRF_Lines[[#This Row],[Picked Qty]])</f>
        <v/>
      </c>
      <c r="M474" s="18" t="str" cm="1">
        <f t="array" ref="M474">IF(
    OR(IPRF_Lines[[#This Row],[Item Description]]="",IPRF_Lines[[#This Row],[Requested Qty]]="",IPRF_Lines[[#This Row],[Unit]]=""),
    "",UPPER(IPRF_Header[Request number] &amp; "-" &amp; IPRF_Lines[[#This Row],[Line num]]))</f>
        <v/>
      </c>
      <c r="N474" s="19" t="str" cm="1">
        <f t="array" ref="N47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IF(OR(IPRF_Lines[[#This Row],[Requested Qty]]="",IPRF_Lines[[#This Row],[Picked Qty]]=""),"",IPRF_Lines[[#This Row],[Requested Qty]]-IPRF_Lines[[#This Row],[Picked Qty]])</f>
        <v/>
      </c>
      <c r="M475" s="18" t="str" cm="1">
        <f t="array" ref="M475">IF(
    OR(IPRF_Lines[[#This Row],[Item Description]]="",IPRF_Lines[[#This Row],[Requested Qty]]="",IPRF_Lines[[#This Row],[Unit]]=""),
    "",UPPER(IPRF_Header[Request number] &amp; "-" &amp; IPRF_Lines[[#This Row],[Line num]]))</f>
        <v/>
      </c>
      <c r="N475" s="19" t="str" cm="1">
        <f t="array" ref="N47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IF(OR(IPRF_Lines[[#This Row],[Requested Qty]]="",IPRF_Lines[[#This Row],[Picked Qty]]=""),"",IPRF_Lines[[#This Row],[Requested Qty]]-IPRF_Lines[[#This Row],[Picked Qty]])</f>
        <v/>
      </c>
      <c r="M476" s="18" t="str" cm="1">
        <f t="array" ref="M476">IF(
    OR(IPRF_Lines[[#This Row],[Item Description]]="",IPRF_Lines[[#This Row],[Requested Qty]]="",IPRF_Lines[[#This Row],[Unit]]=""),
    "",UPPER(IPRF_Header[Request number] &amp; "-" &amp; IPRF_Lines[[#This Row],[Line num]]))</f>
        <v/>
      </c>
      <c r="N476" s="19" t="str" cm="1">
        <f t="array" ref="N47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IF(OR(IPRF_Lines[[#This Row],[Requested Qty]]="",IPRF_Lines[[#This Row],[Picked Qty]]=""),"",IPRF_Lines[[#This Row],[Requested Qty]]-IPRF_Lines[[#This Row],[Picked Qty]])</f>
        <v/>
      </c>
      <c r="M477" s="18" t="str" cm="1">
        <f t="array" ref="M477">IF(
    OR(IPRF_Lines[[#This Row],[Item Description]]="",IPRF_Lines[[#This Row],[Requested Qty]]="",IPRF_Lines[[#This Row],[Unit]]=""),
    "",UPPER(IPRF_Header[Request number] &amp; "-" &amp; IPRF_Lines[[#This Row],[Line num]]))</f>
        <v/>
      </c>
      <c r="N477" s="19" t="str" cm="1">
        <f t="array" ref="N47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IF(OR(IPRF_Lines[[#This Row],[Requested Qty]]="",IPRF_Lines[[#This Row],[Picked Qty]]=""),"",IPRF_Lines[[#This Row],[Requested Qty]]-IPRF_Lines[[#This Row],[Picked Qty]])</f>
        <v/>
      </c>
      <c r="M478" s="18" t="str" cm="1">
        <f t="array" ref="M478">IF(
    OR(IPRF_Lines[[#This Row],[Item Description]]="",IPRF_Lines[[#This Row],[Requested Qty]]="",IPRF_Lines[[#This Row],[Unit]]=""),
    "",UPPER(IPRF_Header[Request number] &amp; "-" &amp; IPRF_Lines[[#This Row],[Line num]]))</f>
        <v/>
      </c>
      <c r="N478" s="19" t="str" cm="1">
        <f t="array" ref="N47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IF(OR(IPRF_Lines[[#This Row],[Requested Qty]]="",IPRF_Lines[[#This Row],[Picked Qty]]=""),"",IPRF_Lines[[#This Row],[Requested Qty]]-IPRF_Lines[[#This Row],[Picked Qty]])</f>
        <v/>
      </c>
      <c r="M479" s="18" t="str" cm="1">
        <f t="array" ref="M479">IF(
    OR(IPRF_Lines[[#This Row],[Item Description]]="",IPRF_Lines[[#This Row],[Requested Qty]]="",IPRF_Lines[[#This Row],[Unit]]=""),
    "",UPPER(IPRF_Header[Request number] &amp; "-" &amp; IPRF_Lines[[#This Row],[Line num]]))</f>
        <v/>
      </c>
      <c r="N479" s="19" t="str" cm="1">
        <f t="array" ref="N47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IF(OR(IPRF_Lines[[#This Row],[Requested Qty]]="",IPRF_Lines[[#This Row],[Picked Qty]]=""),"",IPRF_Lines[[#This Row],[Requested Qty]]-IPRF_Lines[[#This Row],[Picked Qty]])</f>
        <v/>
      </c>
      <c r="M480" s="18" t="str" cm="1">
        <f t="array" ref="M480">IF(
    OR(IPRF_Lines[[#This Row],[Item Description]]="",IPRF_Lines[[#This Row],[Requested Qty]]="",IPRF_Lines[[#This Row],[Unit]]=""),
    "",UPPER(IPRF_Header[Request number] &amp; "-" &amp; IPRF_Lines[[#This Row],[Line num]]))</f>
        <v/>
      </c>
      <c r="N480" s="19" t="str" cm="1">
        <f t="array" ref="N48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IF(OR(IPRF_Lines[[#This Row],[Requested Qty]]="",IPRF_Lines[[#This Row],[Picked Qty]]=""),"",IPRF_Lines[[#This Row],[Requested Qty]]-IPRF_Lines[[#This Row],[Picked Qty]])</f>
        <v/>
      </c>
      <c r="M481" s="18" t="str" cm="1">
        <f t="array" ref="M481">IF(
    OR(IPRF_Lines[[#This Row],[Item Description]]="",IPRF_Lines[[#This Row],[Requested Qty]]="",IPRF_Lines[[#This Row],[Unit]]=""),
    "",UPPER(IPRF_Header[Request number] &amp; "-" &amp; IPRF_Lines[[#This Row],[Line num]]))</f>
        <v/>
      </c>
      <c r="N481" s="19" t="str" cm="1">
        <f t="array" ref="N48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IF(OR(IPRF_Lines[[#This Row],[Requested Qty]]="",IPRF_Lines[[#This Row],[Picked Qty]]=""),"",IPRF_Lines[[#This Row],[Requested Qty]]-IPRF_Lines[[#This Row],[Picked Qty]])</f>
        <v/>
      </c>
      <c r="M482" s="18" t="str" cm="1">
        <f t="array" ref="M482">IF(
    OR(IPRF_Lines[[#This Row],[Item Description]]="",IPRF_Lines[[#This Row],[Requested Qty]]="",IPRF_Lines[[#This Row],[Unit]]=""),
    "",UPPER(IPRF_Header[Request number] &amp; "-" &amp; IPRF_Lines[[#This Row],[Line num]]))</f>
        <v/>
      </c>
      <c r="N482" s="19" t="str" cm="1">
        <f t="array" ref="N48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IF(OR(IPRF_Lines[[#This Row],[Requested Qty]]="",IPRF_Lines[[#This Row],[Picked Qty]]=""),"",IPRF_Lines[[#This Row],[Requested Qty]]-IPRF_Lines[[#This Row],[Picked Qty]])</f>
        <v/>
      </c>
      <c r="M483" s="18" t="str" cm="1">
        <f t="array" ref="M483">IF(
    OR(IPRF_Lines[[#This Row],[Item Description]]="",IPRF_Lines[[#This Row],[Requested Qty]]="",IPRF_Lines[[#This Row],[Unit]]=""),
    "",UPPER(IPRF_Header[Request number] &amp; "-" &amp; IPRF_Lines[[#This Row],[Line num]]))</f>
        <v/>
      </c>
      <c r="N483" s="19" t="str" cm="1">
        <f t="array" ref="N48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IF(OR(IPRF_Lines[[#This Row],[Requested Qty]]="",IPRF_Lines[[#This Row],[Picked Qty]]=""),"",IPRF_Lines[[#This Row],[Requested Qty]]-IPRF_Lines[[#This Row],[Picked Qty]])</f>
        <v/>
      </c>
      <c r="M484" s="18" t="str" cm="1">
        <f t="array" ref="M484">IF(
    OR(IPRF_Lines[[#This Row],[Item Description]]="",IPRF_Lines[[#This Row],[Requested Qty]]="",IPRF_Lines[[#This Row],[Unit]]=""),
    "",UPPER(IPRF_Header[Request number] &amp; "-" &amp; IPRF_Lines[[#This Row],[Line num]]))</f>
        <v/>
      </c>
      <c r="N484" s="19" t="str" cm="1">
        <f t="array" ref="N48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IF(OR(IPRF_Lines[[#This Row],[Requested Qty]]="",IPRF_Lines[[#This Row],[Picked Qty]]=""),"",IPRF_Lines[[#This Row],[Requested Qty]]-IPRF_Lines[[#This Row],[Picked Qty]])</f>
        <v/>
      </c>
      <c r="M485" s="18" t="str" cm="1">
        <f t="array" ref="M485">IF(
    OR(IPRF_Lines[[#This Row],[Item Description]]="",IPRF_Lines[[#This Row],[Requested Qty]]="",IPRF_Lines[[#This Row],[Unit]]=""),
    "",UPPER(IPRF_Header[Request number] &amp; "-" &amp; IPRF_Lines[[#This Row],[Line num]]))</f>
        <v/>
      </c>
      <c r="N485" s="19" t="str" cm="1">
        <f t="array" ref="N48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IF(OR(IPRF_Lines[[#This Row],[Requested Qty]]="",IPRF_Lines[[#This Row],[Picked Qty]]=""),"",IPRF_Lines[[#This Row],[Requested Qty]]-IPRF_Lines[[#This Row],[Picked Qty]])</f>
        <v/>
      </c>
      <c r="M486" s="18" t="str" cm="1">
        <f t="array" ref="M486">IF(
    OR(IPRF_Lines[[#This Row],[Item Description]]="",IPRF_Lines[[#This Row],[Requested Qty]]="",IPRF_Lines[[#This Row],[Unit]]=""),
    "",UPPER(IPRF_Header[Request number] &amp; "-" &amp; IPRF_Lines[[#This Row],[Line num]]))</f>
        <v/>
      </c>
      <c r="N486" s="19" t="str" cm="1">
        <f t="array" ref="N48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IF(OR(IPRF_Lines[[#This Row],[Requested Qty]]="",IPRF_Lines[[#This Row],[Picked Qty]]=""),"",IPRF_Lines[[#This Row],[Requested Qty]]-IPRF_Lines[[#This Row],[Picked Qty]])</f>
        <v/>
      </c>
      <c r="M487" s="18" t="str" cm="1">
        <f t="array" ref="M487">IF(
    OR(IPRF_Lines[[#This Row],[Item Description]]="",IPRF_Lines[[#This Row],[Requested Qty]]="",IPRF_Lines[[#This Row],[Unit]]=""),
    "",UPPER(IPRF_Header[Request number] &amp; "-" &amp; IPRF_Lines[[#This Row],[Line num]]))</f>
        <v/>
      </c>
      <c r="N487" s="19" t="str" cm="1">
        <f t="array" ref="N48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IF(OR(IPRF_Lines[[#This Row],[Requested Qty]]="",IPRF_Lines[[#This Row],[Picked Qty]]=""),"",IPRF_Lines[[#This Row],[Requested Qty]]-IPRF_Lines[[#This Row],[Picked Qty]])</f>
        <v/>
      </c>
      <c r="M488" s="18" t="str" cm="1">
        <f t="array" ref="M488">IF(
    OR(IPRF_Lines[[#This Row],[Item Description]]="",IPRF_Lines[[#This Row],[Requested Qty]]="",IPRF_Lines[[#This Row],[Unit]]=""),
    "",UPPER(IPRF_Header[Request number] &amp; "-" &amp; IPRF_Lines[[#This Row],[Line num]]))</f>
        <v/>
      </c>
      <c r="N488" s="19" t="str" cm="1">
        <f t="array" ref="N48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IF(OR(IPRF_Lines[[#This Row],[Requested Qty]]="",IPRF_Lines[[#This Row],[Picked Qty]]=""),"",IPRF_Lines[[#This Row],[Requested Qty]]-IPRF_Lines[[#This Row],[Picked Qty]])</f>
        <v/>
      </c>
      <c r="M489" s="18" t="str" cm="1">
        <f t="array" ref="M489">IF(
    OR(IPRF_Lines[[#This Row],[Item Description]]="",IPRF_Lines[[#This Row],[Requested Qty]]="",IPRF_Lines[[#This Row],[Unit]]=""),
    "",UPPER(IPRF_Header[Request number] &amp; "-" &amp; IPRF_Lines[[#This Row],[Line num]]))</f>
        <v/>
      </c>
      <c r="N489" s="19" t="str" cm="1">
        <f t="array" ref="N48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IF(OR(IPRF_Lines[[#This Row],[Requested Qty]]="",IPRF_Lines[[#This Row],[Picked Qty]]=""),"",IPRF_Lines[[#This Row],[Requested Qty]]-IPRF_Lines[[#This Row],[Picked Qty]])</f>
        <v/>
      </c>
      <c r="M490" s="18" t="str" cm="1">
        <f t="array" ref="M490">IF(
    OR(IPRF_Lines[[#This Row],[Item Description]]="",IPRF_Lines[[#This Row],[Requested Qty]]="",IPRF_Lines[[#This Row],[Unit]]=""),
    "",UPPER(IPRF_Header[Request number] &amp; "-" &amp; IPRF_Lines[[#This Row],[Line num]]))</f>
        <v/>
      </c>
      <c r="N490" s="19" t="str" cm="1">
        <f t="array" ref="N49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IF(OR(IPRF_Lines[[#This Row],[Requested Qty]]="",IPRF_Lines[[#This Row],[Picked Qty]]=""),"",IPRF_Lines[[#This Row],[Requested Qty]]-IPRF_Lines[[#This Row],[Picked Qty]])</f>
        <v/>
      </c>
      <c r="M491" s="18" t="str" cm="1">
        <f t="array" ref="M491">IF(
    OR(IPRF_Lines[[#This Row],[Item Description]]="",IPRF_Lines[[#This Row],[Requested Qty]]="",IPRF_Lines[[#This Row],[Unit]]=""),
    "",UPPER(IPRF_Header[Request number] &amp; "-" &amp; IPRF_Lines[[#This Row],[Line num]]))</f>
        <v/>
      </c>
      <c r="N491" s="19" t="str" cm="1">
        <f t="array" ref="N49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IF(OR(IPRF_Lines[[#This Row],[Requested Qty]]="",IPRF_Lines[[#This Row],[Picked Qty]]=""),"",IPRF_Lines[[#This Row],[Requested Qty]]-IPRF_Lines[[#This Row],[Picked Qty]])</f>
        <v/>
      </c>
      <c r="M492" s="18" t="str" cm="1">
        <f t="array" ref="M492">IF(
    OR(IPRF_Lines[[#This Row],[Item Description]]="",IPRF_Lines[[#This Row],[Requested Qty]]="",IPRF_Lines[[#This Row],[Unit]]=""),
    "",UPPER(IPRF_Header[Request number] &amp; "-" &amp; IPRF_Lines[[#This Row],[Line num]]))</f>
        <v/>
      </c>
      <c r="N492" s="19" t="str" cm="1">
        <f t="array" ref="N49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IF(OR(IPRF_Lines[[#This Row],[Requested Qty]]="",IPRF_Lines[[#This Row],[Picked Qty]]=""),"",IPRF_Lines[[#This Row],[Requested Qty]]-IPRF_Lines[[#This Row],[Picked Qty]])</f>
        <v/>
      </c>
      <c r="M493" s="18" t="str" cm="1">
        <f t="array" ref="M493">IF(
    OR(IPRF_Lines[[#This Row],[Item Description]]="",IPRF_Lines[[#This Row],[Requested Qty]]="",IPRF_Lines[[#This Row],[Unit]]=""),
    "",UPPER(IPRF_Header[Request number] &amp; "-" &amp; IPRF_Lines[[#This Row],[Line num]]))</f>
        <v/>
      </c>
      <c r="N493" s="19" t="str" cm="1">
        <f t="array" ref="N49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IF(OR(IPRF_Lines[[#This Row],[Requested Qty]]="",IPRF_Lines[[#This Row],[Picked Qty]]=""),"",IPRF_Lines[[#This Row],[Requested Qty]]-IPRF_Lines[[#This Row],[Picked Qty]])</f>
        <v/>
      </c>
      <c r="M494" s="18" t="str" cm="1">
        <f t="array" ref="M494">IF(
    OR(IPRF_Lines[[#This Row],[Item Description]]="",IPRF_Lines[[#This Row],[Requested Qty]]="",IPRF_Lines[[#This Row],[Unit]]=""),
    "",UPPER(IPRF_Header[Request number] &amp; "-" &amp; IPRF_Lines[[#This Row],[Line num]]))</f>
        <v/>
      </c>
      <c r="N494" s="19" t="str" cm="1">
        <f t="array" ref="N49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IF(OR(IPRF_Lines[[#This Row],[Requested Qty]]="",IPRF_Lines[[#This Row],[Picked Qty]]=""),"",IPRF_Lines[[#This Row],[Requested Qty]]-IPRF_Lines[[#This Row],[Picked Qty]])</f>
        <v/>
      </c>
      <c r="M495" s="18" t="str" cm="1">
        <f t="array" ref="M495">IF(
    OR(IPRF_Lines[[#This Row],[Item Description]]="",IPRF_Lines[[#This Row],[Requested Qty]]="",IPRF_Lines[[#This Row],[Unit]]=""),
    "",UPPER(IPRF_Header[Request number] &amp; "-" &amp; IPRF_Lines[[#This Row],[Line num]]))</f>
        <v/>
      </c>
      <c r="N495" s="19" t="str" cm="1">
        <f t="array" ref="N49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IF(OR(IPRF_Lines[[#This Row],[Requested Qty]]="",IPRF_Lines[[#This Row],[Picked Qty]]=""),"",IPRF_Lines[[#This Row],[Requested Qty]]-IPRF_Lines[[#This Row],[Picked Qty]])</f>
        <v/>
      </c>
      <c r="M496" s="18" t="str" cm="1">
        <f t="array" ref="M496">IF(
    OR(IPRF_Lines[[#This Row],[Item Description]]="",IPRF_Lines[[#This Row],[Requested Qty]]="",IPRF_Lines[[#This Row],[Unit]]=""),
    "",UPPER(IPRF_Header[Request number] &amp; "-" &amp; IPRF_Lines[[#This Row],[Line num]]))</f>
        <v/>
      </c>
      <c r="N496" s="19" t="str" cm="1">
        <f t="array" ref="N49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IF(OR(IPRF_Lines[[#This Row],[Requested Qty]]="",IPRF_Lines[[#This Row],[Picked Qty]]=""),"",IPRF_Lines[[#This Row],[Requested Qty]]-IPRF_Lines[[#This Row],[Picked Qty]])</f>
        <v/>
      </c>
      <c r="M497" s="18" t="str" cm="1">
        <f t="array" ref="M497">IF(
    OR(IPRF_Lines[[#This Row],[Item Description]]="",IPRF_Lines[[#This Row],[Requested Qty]]="",IPRF_Lines[[#This Row],[Unit]]=""),
    "",UPPER(IPRF_Header[Request number] &amp; "-" &amp; IPRF_Lines[[#This Row],[Line num]]))</f>
        <v/>
      </c>
      <c r="N497" s="19" t="str" cm="1">
        <f t="array" ref="N49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IF(OR(IPRF_Lines[[#This Row],[Requested Qty]]="",IPRF_Lines[[#This Row],[Picked Qty]]=""),"",IPRF_Lines[[#This Row],[Requested Qty]]-IPRF_Lines[[#This Row],[Picked Qty]])</f>
        <v/>
      </c>
      <c r="M498" s="18" t="str" cm="1">
        <f t="array" ref="M498">IF(
    OR(IPRF_Lines[[#This Row],[Item Description]]="",IPRF_Lines[[#This Row],[Requested Qty]]="",IPRF_Lines[[#This Row],[Unit]]=""),
    "",UPPER(IPRF_Header[Request number] &amp; "-" &amp; IPRF_Lines[[#This Row],[Line num]]))</f>
        <v/>
      </c>
      <c r="N498" s="19" t="str" cm="1">
        <f t="array" ref="N49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OR(IPRF_Lines[[#This Row],[Item Description]]="",IPRF_Lines[[#This Row],[Requested Qty]]="",IPRF_Lines[[#This Row],[Unit]]=""),
    "",
    TEXT(ROW()-ROW(IPRF_Lines[[#Headers],[Line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IF(OR(IPRF_Lines[[#This Row],[Requested Qty]]="",IPRF_Lines[[#This Row],[Picked Qty]]=""),"",IPRF_Lines[[#This Row],[Requested Qty]]-IPRF_Lines[[#This Row],[Picked Qty]])</f>
        <v/>
      </c>
      <c r="M499" s="18" t="str" cm="1">
        <f t="array" ref="M499">IF(
    OR(IPRF_Lines[[#This Row],[Item Description]]="",IPRF_Lines[[#This Row],[Requested Qty]]="",IPRF_Lines[[#This Row],[Unit]]=""),
    "",UPPER(IPRF_Header[Request number] &amp; "-" &amp; IPRF_Lines[[#This Row],[Line num]]))</f>
        <v/>
      </c>
      <c r="N499" s="19" t="str" cm="1">
        <f t="array" ref="N49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IF(OR(IPRF_Lines[[#This Row],[Requested Qty]]="",IPRF_Lines[[#This Row],[Picked Qty]]=""),"",IPRF_Lines[[#This Row],[Requested Qty]]-IPRF_Lines[[#This Row],[Picked Qty]])</f>
        <v/>
      </c>
      <c r="M500" s="18" t="str" cm="1">
        <f t="array" ref="M500">IF(
    OR(IPRF_Lines[[#This Row],[Item Description]]="",IPRF_Lines[[#This Row],[Requested Qty]]="",IPRF_Lines[[#This Row],[Unit]]=""),
    "",UPPER(IPRF_Header[Request number] &amp; "-" &amp; IPRF_Lines[[#This Row],[Line num]]))</f>
        <v/>
      </c>
      <c r="N500" s="19" t="str" cm="1">
        <f t="array" ref="N50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IF(OR(IPRF_Lines[[#This Row],[Requested Qty]]="",IPRF_Lines[[#This Row],[Picked Qty]]=""),"",IPRF_Lines[[#This Row],[Requested Qty]]-IPRF_Lines[[#This Row],[Picked Qty]])</f>
        <v/>
      </c>
      <c r="M501" s="18" t="str" cm="1">
        <f t="array" ref="M501">IF(
    OR(IPRF_Lines[[#This Row],[Item Description]]="",IPRF_Lines[[#This Row],[Requested Qty]]="",IPRF_Lines[[#This Row],[Unit]]=""),
    "",UPPER(IPRF_Header[Request number] &amp; "-" &amp; IPRF_Lines[[#This Row],[Line num]]))</f>
        <v/>
      </c>
      <c r="N501" s="19" t="str" cm="1">
        <f t="array" ref="N50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IF(OR(IPRF_Lines[[#This Row],[Requested Qty]]="",IPRF_Lines[[#This Row],[Picked Qty]]=""),"",IPRF_Lines[[#This Row],[Requested Qty]]-IPRF_Lines[[#This Row],[Picked Qty]])</f>
        <v/>
      </c>
      <c r="M502" s="18" t="str" cm="1">
        <f t="array" ref="M502">IF(
    OR(IPRF_Lines[[#This Row],[Item Description]]="",IPRF_Lines[[#This Row],[Requested Qty]]="",IPRF_Lines[[#This Row],[Unit]]=""),
    "",UPPER(IPRF_Header[Request number] &amp; "-" &amp; IPRF_Lines[[#This Row],[Line num]]))</f>
        <v/>
      </c>
      <c r="N502" s="19" t="str" cm="1">
        <f t="array" ref="N50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IF(OR(IPRF_Lines[[#This Row],[Requested Qty]]="",IPRF_Lines[[#This Row],[Picked Qty]]=""),"",IPRF_Lines[[#This Row],[Requested Qty]]-IPRF_Lines[[#This Row],[Picked Qty]])</f>
        <v/>
      </c>
      <c r="M503" s="18" t="str" cm="1">
        <f t="array" ref="M503">IF(
    OR(IPRF_Lines[[#This Row],[Item Description]]="",IPRF_Lines[[#This Row],[Requested Qty]]="",IPRF_Lines[[#This Row],[Unit]]=""),
    "",UPPER(IPRF_Header[Request number] &amp; "-" &amp; IPRF_Lines[[#This Row],[Line num]]))</f>
        <v/>
      </c>
      <c r="N503" s="19" t="str" cm="1">
        <f t="array" ref="N50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IF(OR(IPRF_Lines[[#This Row],[Requested Qty]]="",IPRF_Lines[[#This Row],[Picked Qty]]=""),"",IPRF_Lines[[#This Row],[Requested Qty]]-IPRF_Lines[[#This Row],[Picked Qty]])</f>
        <v/>
      </c>
      <c r="M504" s="18" t="str" cm="1">
        <f t="array" ref="M504">IF(
    OR(IPRF_Lines[[#This Row],[Item Description]]="",IPRF_Lines[[#This Row],[Requested Qty]]="",IPRF_Lines[[#This Row],[Unit]]=""),
    "",UPPER(IPRF_Header[Request number] &amp; "-" &amp; IPRF_Lines[[#This Row],[Line num]]))</f>
        <v/>
      </c>
      <c r="N504" s="19" t="str" cm="1">
        <f t="array" ref="N504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IF(OR(IPRF_Lines[[#This Row],[Requested Qty]]="",IPRF_Lines[[#This Row],[Picked Qty]]=""),"",IPRF_Lines[[#This Row],[Requested Qty]]-IPRF_Lines[[#This Row],[Picked Qty]])</f>
        <v/>
      </c>
      <c r="M505" s="18" t="str" cm="1">
        <f t="array" ref="M505">IF(
    OR(IPRF_Lines[[#This Row],[Item Description]]="",IPRF_Lines[[#This Row],[Requested Qty]]="",IPRF_Lines[[#This Row],[Unit]]=""),
    "",UPPER(IPRF_Header[Request number] &amp; "-" &amp; IPRF_Lines[[#This Row],[Line num]]))</f>
        <v/>
      </c>
      <c r="N505" s="19" t="str" cm="1">
        <f t="array" ref="N505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IF(OR(IPRF_Lines[[#This Row],[Requested Qty]]="",IPRF_Lines[[#This Row],[Picked Qty]]=""),"",IPRF_Lines[[#This Row],[Requested Qty]]-IPRF_Lines[[#This Row],[Picked Qty]])</f>
        <v/>
      </c>
      <c r="M506" s="18" t="str" cm="1">
        <f t="array" ref="M506">IF(
    OR(IPRF_Lines[[#This Row],[Item Description]]="",IPRF_Lines[[#This Row],[Requested Qty]]="",IPRF_Lines[[#This Row],[Unit]]=""),
    "",UPPER(IPRF_Header[Request number] &amp; "-" &amp; IPRF_Lines[[#This Row],[Line num]]))</f>
        <v/>
      </c>
      <c r="N506" s="19" t="str" cm="1">
        <f t="array" ref="N506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IF(OR(IPRF_Lines[[#This Row],[Requested Qty]]="",IPRF_Lines[[#This Row],[Picked Qty]]=""),"",IPRF_Lines[[#This Row],[Requested Qty]]-IPRF_Lines[[#This Row],[Picked Qty]])</f>
        <v/>
      </c>
      <c r="M507" s="18" t="str" cm="1">
        <f t="array" ref="M507">IF(
    OR(IPRF_Lines[[#This Row],[Item Description]]="",IPRF_Lines[[#This Row],[Requested Qty]]="",IPRF_Lines[[#This Row],[Unit]]=""),
    "",UPPER(IPRF_Header[Request number] &amp; "-" &amp; IPRF_Lines[[#This Row],[Line num]]))</f>
        <v/>
      </c>
      <c r="N507" s="19" t="str" cm="1">
        <f t="array" ref="N507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IF(OR(IPRF_Lines[[#This Row],[Requested Qty]]="",IPRF_Lines[[#This Row],[Picked Qty]]=""),"",IPRF_Lines[[#This Row],[Requested Qty]]-IPRF_Lines[[#This Row],[Picked Qty]])</f>
        <v/>
      </c>
      <c r="M508" s="18" t="str" cm="1">
        <f t="array" ref="M508">IF(
    OR(IPRF_Lines[[#This Row],[Item Description]]="",IPRF_Lines[[#This Row],[Requested Qty]]="",IPRF_Lines[[#This Row],[Unit]]=""),
    "",UPPER(IPRF_Header[Request number] &amp; "-" &amp; IPRF_Lines[[#This Row],[Line num]]))</f>
        <v/>
      </c>
      <c r="N508" s="19" t="str" cm="1">
        <f t="array" ref="N508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OR(IPRF_Lines[[#This Row],[Item Description]]="",IPRF_Lines[[#This Row],[Requested Qty]]="",IPRF_Lines[[#This Row],[Unit]]=""),
    "",
    TEXT(ROW()-ROW(IPRF_Lines[[#Headers],[Line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IF(OR(IPRF_Lines[[#This Row],[Requested Qty]]="",IPRF_Lines[[#This Row],[Picked Qty]]=""),"",IPRF_Lines[[#This Row],[Requested Qty]]-IPRF_Lines[[#This Row],[Picked Qty]])</f>
        <v/>
      </c>
      <c r="M509" s="18" t="str" cm="1">
        <f t="array" ref="M509">IF(
    OR(IPRF_Lines[[#This Row],[Item Description]]="",IPRF_Lines[[#This Row],[Requested Qty]]="",IPRF_Lines[[#This Row],[Unit]]=""),
    "",UPPER(IPRF_Header[Request number] &amp; "-" &amp; IPRF_Lines[[#This Row],[Line num]]))</f>
        <v/>
      </c>
      <c r="N509" s="19" t="str" cm="1">
        <f t="array" ref="N509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IF(OR(IPRF_Lines[[#This Row],[Requested Qty]]="",IPRF_Lines[[#This Row],[Picked Qty]]=""),"",IPRF_Lines[[#This Row],[Requested Qty]]-IPRF_Lines[[#This Row],[Picked Qty]])</f>
        <v/>
      </c>
      <c r="M510" s="18" t="str" cm="1">
        <f t="array" ref="M510">IF(
    OR(IPRF_Lines[[#This Row],[Item Description]]="",IPRF_Lines[[#This Row],[Requested Qty]]="",IPRF_Lines[[#This Row],[Unit]]=""),
    "",UPPER(IPRF_Header[Request number] &amp; "-" &amp; IPRF_Lines[[#This Row],[Line num]]))</f>
        <v/>
      </c>
      <c r="N510" s="19" t="str" cm="1">
        <f t="array" ref="N510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IF(OR(IPRF_Lines[[#This Row],[Requested Qty]]="",IPRF_Lines[[#This Row],[Picked Qty]]=""),"",IPRF_Lines[[#This Row],[Requested Qty]]-IPRF_Lines[[#This Row],[Picked Qty]])</f>
        <v/>
      </c>
      <c r="M511" s="18" t="str" cm="1">
        <f t="array" ref="M511">IF(
    OR(IPRF_Lines[[#This Row],[Item Description]]="",IPRF_Lines[[#This Row],[Requested Qty]]="",IPRF_Lines[[#This Row],[Unit]]=""),
    "",UPPER(IPRF_Header[Request number] &amp; "-" &amp; IPRF_Lines[[#This Row],[Line num]]))</f>
        <v/>
      </c>
      <c r="N511" s="19" t="str" cm="1">
        <f t="array" ref="N511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OR(IPRF_Lines[[#This Row],[Item Description]]="",IPRF_Lines[[#This Row],[Requested Qty]]="",IPRF_Lines[[#This Row],[Unit]]=""),
    "",
    TEXT(ROW()-ROW(IPRF_Lines[[#Headers],[Line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IF(OR(IPRF_Lines[[#This Row],[Requested Qty]]="",IPRF_Lines[[#This Row],[Picked Qty]]=""),"",IPRF_Lines[[#This Row],[Requested Qty]]-IPRF_Lines[[#This Row],[Picked Qty]])</f>
        <v/>
      </c>
      <c r="M512" s="18" t="str" cm="1">
        <f t="array" ref="M512">IF(
    OR(IPRF_Lines[[#This Row],[Item Description]]="",IPRF_Lines[[#This Row],[Requested Qty]]="",IPRF_Lines[[#This Row],[Unit]]=""),
    "",UPPER(IPRF_Header[Request number] &amp; "-" &amp; IPRF_Lines[[#This Row],[Line num]]))</f>
        <v/>
      </c>
      <c r="N512" s="19" t="str" cm="1">
        <f t="array" ref="N512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OR(IPRF_Lines[[#This Row],[Item Description]]="",IPRF_Lines[[#This Row],[Requested Qty]]="",IPRF_Lines[[#This Row],[Unit]]=""),
    "",
    TEXT(ROW()-ROW(IPRF_Lines[[#Headers],[Line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IF(OR(IPRF_Lines[[#This Row],[Requested Qty]]="",IPRF_Lines[[#This Row],[Picked Qty]]=""),"",IPRF_Lines[[#This Row],[Requested Qty]]-IPRF_Lines[[#This Row],[Picked Qty]])</f>
        <v/>
      </c>
      <c r="M513" s="20" t="str" cm="1">
        <f t="array" ref="M513">IF(
    OR(IPRF_Lines[[#This Row],[Item Description]]="",IPRF_Lines[[#This Row],[Requested Qty]]="",IPRF_Lines[[#This Row],[Unit]]=""),
    "",UPPER(IPRF_Header[Request number] &amp; "-" &amp; IPRF_Lines[[#This Row],[Line num]]))</f>
        <v/>
      </c>
      <c r="N513" s="21" t="str" cm="1">
        <f t="array" ref="N513">IF(
    OR(IPRF_Lines[[#This Row],[Item Description]]="",IPRF_Lines[[#This Row],[Requested Qty]]="",IPRF_Header[Request number]="",IPRF_Lines[[#This Row],[Unit]]=""),
    "",
    UPPER(
        SUBSTITUTE(
            _xlfn.TEXTJOIN(
                CHAR(10),
                TRUE,
                IPRF_Lines[[#This Row],[Item Description]],
                "Item ID: " &amp; IPRF_Header[Request number] &amp; "-" &amp; IPRF_Lines[[#This Row],[Line num]],
                IF(IPRF_Lines[[#This Row],[Object ID]]&lt;&gt;"","Object ID: " &amp; IPRF_Lines[[#This Row],[Object ID]],""),
                IF(IPRF_Lines[[#This Row],[Work Order]]&lt;&gt;"","Work Order: " &amp; IPRF_Lines[[#This Row],[Work Order]],""),
                IF(Input_Asset&lt;&gt;"","Asset Number: " &amp; Input_Asset,"")
            ),
            CHAR(10),
            " || "
        )
    )
)</f>
        <v/>
      </c>
    </row>
  </sheetData>
  <sheetProtection algorithmName="SHA-512" hashValue="iUuAgA5rc5AjopzykBPdjtMYMhL1CfT4YxUpjgBiGSOMc12EMLOLqqLN1a/sX9ZCH0e7nNY7DhgmkBQje/PYZw==" saltValue="+MrHdyhvP3r/ZyhMUiZVmw==" spinCount="100000" sheet="1" objects="1" scenarios="1" selectLockedCells="1"/>
  <protectedRanges>
    <protectedRange sqref="C5:D9 H5:I9 C10 M6:N11" name="Range3"/>
    <protectedRange sqref="B16:E513 K16 H17:K513" name="Item details"/>
    <protectedRange sqref="F16:G513" name="Item_Additional"/>
  </protectedRanges>
  <mergeCells count="34">
    <mergeCell ref="K11:L11"/>
    <mergeCell ref="A13:D13"/>
    <mergeCell ref="C6:D6"/>
    <mergeCell ref="C7:D7"/>
    <mergeCell ref="C8:D8"/>
    <mergeCell ref="A6:B6"/>
    <mergeCell ref="A7:B7"/>
    <mergeCell ref="A8:B8"/>
    <mergeCell ref="A9:B9"/>
    <mergeCell ref="C10:D10"/>
    <mergeCell ref="A10:B10"/>
    <mergeCell ref="K6:L6"/>
    <mergeCell ref="K7:L7"/>
    <mergeCell ref="K8:L8"/>
    <mergeCell ref="K9:L9"/>
    <mergeCell ref="C1:N2"/>
    <mergeCell ref="C3:N3"/>
    <mergeCell ref="C5:D5"/>
    <mergeCell ref="H5:I5"/>
    <mergeCell ref="K5:L5"/>
    <mergeCell ref="A5:B5"/>
    <mergeCell ref="K10:L10"/>
    <mergeCell ref="H9:I9"/>
    <mergeCell ref="F10:G10"/>
    <mergeCell ref="H10:I10"/>
    <mergeCell ref="F5:G5"/>
    <mergeCell ref="C9:D9"/>
    <mergeCell ref="F6:G6"/>
    <mergeCell ref="F7:G7"/>
    <mergeCell ref="F8:G8"/>
    <mergeCell ref="F9:G9"/>
    <mergeCell ref="H6:I6"/>
    <mergeCell ref="H7:I7"/>
    <mergeCell ref="H8:I8"/>
  </mergeCells>
  <phoneticPr fontId="5" type="noConversion"/>
  <dataValidations count="16">
    <dataValidation type="decimal" operator="greaterThan" allowBlank="1" showInputMessage="1" showErrorMessage="1" sqref="E16:E513 J16:K513" xr:uid="{799D22A7-459B-43E5-81BE-A502A5C20BB5}">
      <formula1>0</formula1>
    </dataValidation>
    <dataValidation type="list" allowBlank="1" showInputMessage="1" showErrorMessage="1" sqref="G16:G35" xr:uid="{DA4DCEC1-7264-4C64-A5D6-BC5E1513EF95}">
      <formula1>"Urgent, Stock, Breakdown, Normal"</formula1>
    </dataValidation>
    <dataValidation type="date" operator="greaterThanOrEqual" allowBlank="1" showInputMessage="1" showErrorMessage="1" sqref="N5" xr:uid="{C82AB31E-291A-4FB6-9E37-A0C723A16CB6}">
      <formula1>TODAY()</formula1>
    </dataValidation>
    <dataValidation type="date" operator="greaterThanOrEqual" allowBlank="1" showInputMessage="1" showErrorMessage="1" sqref="J7" xr:uid="{61C13FB4-4A6D-4E29-A2CE-FC974BE23C9B}">
      <formula1>TODAY()+2</formula1>
    </dataValidation>
    <dataValidation type="list" allowBlank="1" showInputMessage="1" showErrorMessage="1" sqref="C6" xr:uid="{29D45D42-176D-4373-85E9-06905E19B9B3}">
      <formula1>R_request_type</formula1>
    </dataValidation>
    <dataValidation type="list" allowBlank="1" showInputMessage="1" showErrorMessage="1" sqref="H6" xr:uid="{542661A7-B742-447F-B6CA-32EDB33C390C}">
      <formula1>R_item_type</formula1>
    </dataValidation>
    <dataValidation type="list" allowBlank="1" showInputMessage="1" showErrorMessage="1" sqref="N6" xr:uid="{18ACAFD6-3539-42E9-8DBC-5DA139309714}">
      <formula1>R_entity</formula1>
    </dataValidation>
    <dataValidation type="list" allowBlank="1" showInputMessage="1" showErrorMessage="1" sqref="C7" xr:uid="{9A9AB646-5A5D-448A-8BBB-64C2FBF5BEB4}">
      <formula1>R_bu</formula1>
    </dataValidation>
    <dataValidation type="list" allowBlank="1" showInputMessage="1" showErrorMessage="1" sqref="C10" xr:uid="{5F6CC737-00F5-4428-A3C4-70334AABCC55}">
      <formula1>R_projects</formula1>
    </dataValidation>
    <dataValidation type="list" allowBlank="1" showInputMessage="1" showErrorMessage="1" sqref="N9" xr:uid="{7A551967-E6AD-4A05-AE61-002340E6ECAE}">
      <formula1>R_requester_name</formula1>
    </dataValidation>
    <dataValidation type="list" allowBlank="1" showInputMessage="1" showErrorMessage="1" sqref="N10" xr:uid="{1397C59A-4D3A-451C-8B3D-F56D42F9084F}">
      <formula1>R_warehouse_rep_name</formula1>
    </dataValidation>
    <dataValidation type="textLength" allowBlank="1" showInputMessage="1" showErrorMessage="1" sqref="H17:H513" xr:uid="{EEE4719F-6BAF-4639-9EA3-F1B2E8621980}">
      <formula1>4</formula1>
      <formula2>10</formula2>
    </dataValidation>
    <dataValidation type="list" operator="greaterThanOrEqual" allowBlank="1" showInputMessage="1" showErrorMessage="1" sqref="H8" xr:uid="{D3142246-8CED-40A3-B3FC-C7BD3754B005}">
      <formula1>R_location</formula1>
    </dataValidation>
    <dataValidation type="list" allowBlank="1" showInputMessage="1" showErrorMessage="1" sqref="J7 H8" xr:uid="{D88B4C4A-E468-49D8-89F0-09E8B9498F55}">
      <formula1>R_location</formula1>
    </dataValidation>
    <dataValidation type="whole" operator="greaterThan" allowBlank="1" showInputMessage="1" showErrorMessage="1" sqref="K16" xr:uid="{1B6879FE-6606-43BD-ABA6-90FE8A9C0188}">
      <formula1>0</formula1>
    </dataValidation>
    <dataValidation type="list" allowBlank="1" showInputMessage="1" showErrorMessage="1" sqref="N11" xr:uid="{90F8D05A-5E4A-4A78-8D20-B953A8A9EA05}">
      <formula1>"Inprogress"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180" r:id="rId4" name="chbox_postfacto">
          <controlPr defaultSize="0" autoLine="0" autoPict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11</xdr:col>
                <xdr:colOff>847725</xdr:colOff>
                <xdr:row>7</xdr:row>
                <xdr:rowOff>19050</xdr:rowOff>
              </to>
            </anchor>
          </controlPr>
        </control>
      </mc:Choice>
      <mc:Fallback>
        <control shapeId="3180" r:id="rId4" name="chbox_postfacto"/>
      </mc:Fallback>
    </mc:AlternateContent>
    <mc:AlternateContent xmlns:mc="http://schemas.openxmlformats.org/markup-compatibility/2006">
      <mc:Choice Requires="x14">
        <control shapeId="3179" r:id="rId6" name="chbox_rimses">
          <controlPr defaultSize="0" autoLine="0" autoPict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79" r:id="rId6" name="chbox_rimses"/>
      </mc:Fallback>
    </mc:AlternateContent>
    <mc:AlternateContent xmlns:mc="http://schemas.openxmlformats.org/markup-compatibility/2006">
      <mc:Choice Requires="x14">
        <control shapeId="3178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3178" r:id="rId8" name="Chbox_Sourcing"/>
      </mc:Fallback>
    </mc:AlternateContent>
    <mc:AlternateContent xmlns:mc="http://schemas.openxmlformats.org/markup-compatibility/2006">
      <mc:Choice Requires="x14">
        <control shapeId="3176" r:id="rId10" name="btn_reset_line">
          <controlPr defaultSize="0" autoLine="0" autoPict="0" r:id="rId11">
            <anchor moveWithCells="1">
              <from>
                <xdr:col>1</xdr:col>
                <xdr:colOff>504825</xdr:colOff>
                <xdr:row>10</xdr:row>
                <xdr:rowOff>238125</xdr:rowOff>
              </from>
              <to>
                <xdr:col>2</xdr:col>
                <xdr:colOff>533400</xdr:colOff>
                <xdr:row>11</xdr:row>
                <xdr:rowOff>285750</xdr:rowOff>
              </to>
            </anchor>
          </controlPr>
        </control>
      </mc:Choice>
      <mc:Fallback>
        <control shapeId="3176" r:id="rId10" name="btn_reset_line"/>
      </mc:Fallback>
    </mc:AlternateContent>
    <mc:AlternateContent xmlns:mc="http://schemas.openxmlformats.org/markup-compatibility/2006">
      <mc:Choice Requires="x14">
        <control shapeId="3125" r:id="rId12" name="btn_new_request">
          <controlPr defaultSize="0" autoLine="0" autoPict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1</xdr:col>
                <xdr:colOff>361950</xdr:colOff>
                <xdr:row>11</xdr:row>
                <xdr:rowOff>285750</xdr:rowOff>
              </to>
            </anchor>
          </controlPr>
        </control>
      </mc:Choice>
      <mc:Fallback>
        <control shapeId="3125" r:id="rId12" name="btn_new_request"/>
      </mc:Fallback>
    </mc:AlternateContent>
    <mc:AlternateContent xmlns:mc="http://schemas.openxmlformats.org/markup-compatibility/2006">
      <mc:Choice Requires="x14">
        <control shapeId="3124" r:id="rId14" name="btn_submit_request">
          <controlPr defaultSize="0" autoLine="0" r:id="rId15">
            <anchor moveWithCells="1">
              <from>
                <xdr:col>2</xdr:col>
                <xdr:colOff>666750</xdr:colOff>
                <xdr:row>10</xdr:row>
                <xdr:rowOff>238125</xdr:rowOff>
              </from>
              <to>
                <xdr:col>3</xdr:col>
                <xdr:colOff>1533525</xdr:colOff>
                <xdr:row>11</xdr:row>
                <xdr:rowOff>266700</xdr:rowOff>
              </to>
            </anchor>
          </controlPr>
        </control>
      </mc:Choice>
      <mc:Fallback>
        <control shapeId="3124" r:id="rId14" name="btn_submit_request"/>
      </mc:Fallback>
    </mc:AlternateContent>
    <mc:AlternateContent xmlns:mc="http://schemas.openxmlformats.org/markup-compatibility/2006">
      <mc:Choice Requires="x14">
        <control shapeId="3113" r:id="rId16" name="chbox_workorder">
          <controlPr defaultSize="0" autoLine="0" autoPict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3113" r:id="rId16" name="chbox_workorder"/>
      </mc:Fallback>
    </mc:AlternateContent>
  </controls>
  <tableParts count="1">
    <tablePart r:id="rId1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C8B33F-E9CF-4794-B8E5-9D1F044AAD94}">
  <sheetPr codeName="Sheet4">
    <pageSetUpPr fitToPage="1"/>
  </sheetPr>
  <dimension ref="A1:N513"/>
  <sheetViews>
    <sheetView showGridLines="0" zoomScaleNormal="100" workbookViewId="0">
      <selection activeCell="C19" sqref="C19"/>
    </sheetView>
  </sheetViews>
  <sheetFormatPr defaultRowHeight="15"/>
  <cols>
    <col min="1" max="1" width="9.42578125" customWidth="1"/>
    <col min="2" max="2" width="17.28515625" customWidth="1"/>
    <col min="3" max="3" width="12.7109375" customWidth="1"/>
    <col min="4" max="4" width="30.28515625" customWidth="1"/>
    <col min="5" max="5" width="14.28515625" bestFit="1" customWidth="1"/>
    <col min="6" max="6" width="8.5703125" customWidth="1"/>
    <col min="7" max="7" width="12.140625" bestFit="1" customWidth="1"/>
    <col min="8" max="8" width="13" customWidth="1"/>
    <col min="9" max="9" width="26.5703125" customWidth="1"/>
    <col min="10" max="10" width="12.28515625" customWidth="1"/>
    <col min="11" max="11" width="13.5703125" customWidth="1"/>
    <col min="12" max="12" width="12.85546875" customWidth="1"/>
    <col min="13" max="13" width="17.7109375" hidden="1" customWidth="1"/>
    <col min="14" max="14" width="45.140625" customWidth="1"/>
  </cols>
  <sheetData>
    <row r="1" spans="1:14" ht="20.100000000000001" customHeight="1">
      <c r="A1" s="40"/>
      <c r="B1" s="41"/>
      <c r="C1" s="88" t="s">
        <v>0</v>
      </c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14" ht="20.100000000000001" customHeight="1">
      <c r="A2" s="42"/>
      <c r="B2" s="43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</row>
    <row r="3" spans="1:14" ht="20.100000000000001" customHeight="1">
      <c r="A3" s="44"/>
      <c r="B3" s="45"/>
      <c r="C3" s="89" t="s">
        <v>1</v>
      </c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14" ht="9" customHeight="1">
      <c r="A4" s="43"/>
      <c r="B4" s="43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</row>
    <row r="5" spans="1:14" s="15" customFormat="1" ht="20.100000000000001" customHeight="1">
      <c r="A5" s="80" t="s">
        <v>2</v>
      </c>
      <c r="B5" s="81"/>
      <c r="C5" s="103">
        <v>58161</v>
      </c>
      <c r="D5" s="103"/>
      <c r="F5" s="80" t="s">
        <v>3</v>
      </c>
      <c r="G5" s="81"/>
      <c r="H5" s="103" t="s">
        <v>36</v>
      </c>
      <c r="I5" s="103"/>
      <c r="J5" s="38"/>
      <c r="K5" s="80" t="s">
        <v>4</v>
      </c>
      <c r="L5" s="81"/>
      <c r="M5" s="55"/>
      <c r="N5" s="62">
        <v>46009</v>
      </c>
    </row>
    <row r="6" spans="1:14" s="15" customFormat="1" ht="20.100000000000001" customHeight="1">
      <c r="A6" s="80" t="s">
        <v>5</v>
      </c>
      <c r="B6" s="81"/>
      <c r="C6" s="103" t="s">
        <v>6</v>
      </c>
      <c r="D6" s="103"/>
      <c r="F6" s="80" t="s">
        <v>7</v>
      </c>
      <c r="G6" s="81"/>
      <c r="H6" s="103" t="s">
        <v>8</v>
      </c>
      <c r="I6" s="103"/>
      <c r="J6" s="38"/>
      <c r="K6" s="80" t="s">
        <v>9</v>
      </c>
      <c r="L6" s="81"/>
      <c r="M6" s="54"/>
      <c r="N6" s="39" t="s">
        <v>37</v>
      </c>
    </row>
    <row r="7" spans="1:14" s="15" customFormat="1" ht="20.100000000000001" customHeight="1">
      <c r="A7" s="80" t="s">
        <v>11</v>
      </c>
      <c r="B7" s="81"/>
      <c r="C7" s="103" t="s">
        <v>12</v>
      </c>
      <c r="D7" s="103"/>
      <c r="F7" s="80"/>
      <c r="G7" s="81"/>
      <c r="H7" s="103"/>
      <c r="I7" s="103"/>
      <c r="J7" s="38"/>
      <c r="K7" s="80"/>
      <c r="L7" s="81"/>
      <c r="M7" s="103" t="s">
        <v>38</v>
      </c>
      <c r="N7" s="103"/>
    </row>
    <row r="8" spans="1:14" s="15" customFormat="1" ht="20.100000000000001" customHeight="1">
      <c r="A8" s="80" t="s">
        <v>13</v>
      </c>
      <c r="B8" s="81"/>
      <c r="C8" s="104">
        <v>46009</v>
      </c>
      <c r="D8" s="104"/>
      <c r="F8" s="80" t="s">
        <v>14</v>
      </c>
      <c r="G8" s="81"/>
      <c r="H8" s="100" t="s">
        <v>39</v>
      </c>
      <c r="I8" s="100"/>
      <c r="K8" s="80" t="s">
        <v>15</v>
      </c>
      <c r="L8" s="81"/>
      <c r="M8" s="56"/>
      <c r="N8" s="56" t="s">
        <v>40</v>
      </c>
    </row>
    <row r="9" spans="1:14" s="15" customFormat="1" ht="20.100000000000001" customHeight="1">
      <c r="A9" s="94"/>
      <c r="B9" s="101"/>
      <c r="C9" s="102">
        <v>1254816</v>
      </c>
      <c r="D9" s="102"/>
      <c r="F9" s="80"/>
      <c r="G9" s="81"/>
      <c r="H9" s="102">
        <v>8741085</v>
      </c>
      <c r="I9" s="102"/>
      <c r="J9" s="38"/>
      <c r="K9" s="80" t="s">
        <v>16</v>
      </c>
      <c r="L9" s="81"/>
      <c r="M9" s="57"/>
      <c r="N9" s="36"/>
    </row>
    <row r="10" spans="1:14" s="15" customFormat="1" ht="20.100000000000001" customHeight="1">
      <c r="A10" s="80" t="s">
        <v>18</v>
      </c>
      <c r="B10" s="81"/>
      <c r="C10" s="98"/>
      <c r="D10" s="99"/>
      <c r="F10" s="80" t="s">
        <v>19</v>
      </c>
      <c r="G10" s="81"/>
      <c r="H10" s="100"/>
      <c r="I10" s="100"/>
      <c r="J10" s="38"/>
      <c r="K10" s="80" t="s">
        <v>20</v>
      </c>
      <c r="L10" s="81"/>
      <c r="M10" s="57"/>
      <c r="N10" s="36" t="s">
        <v>42</v>
      </c>
    </row>
    <row r="11" spans="1:14" s="15" customFormat="1" ht="20.100000000000001" customHeight="1">
      <c r="I11" s="38"/>
      <c r="J11" s="38"/>
    </row>
    <row r="12" spans="1:14" ht="30" customHeight="1">
      <c r="E12" s="15"/>
    </row>
    <row r="13" spans="1:14" ht="27.75" customHeight="1">
      <c r="A13" s="92" t="s">
        <v>21</v>
      </c>
      <c r="B13" s="92"/>
      <c r="C13" s="92"/>
      <c r="D13" s="92"/>
      <c r="F13" s="47"/>
      <c r="G13" s="47"/>
      <c r="H13" s="47"/>
      <c r="I13" s="47"/>
      <c r="J13" s="47"/>
      <c r="K13" s="47"/>
      <c r="L13" s="47"/>
    </row>
    <row r="14" spans="1:14" ht="20.100000000000001" customHeight="1" thickBot="1">
      <c r="A14" s="48"/>
    </row>
    <row r="15" spans="1:14" ht="30" customHeight="1" thickBot="1">
      <c r="A15" s="49" t="s">
        <v>22</v>
      </c>
      <c r="B15" s="50" t="s">
        <v>23</v>
      </c>
      <c r="C15" s="49" t="s">
        <v>24</v>
      </c>
      <c r="D15" s="50" t="s">
        <v>25</v>
      </c>
      <c r="E15" s="51" t="s">
        <v>26</v>
      </c>
      <c r="F15" s="49" t="s">
        <v>27</v>
      </c>
      <c r="G15" s="49" t="s">
        <v>28</v>
      </c>
      <c r="H15" s="49" t="s">
        <v>29</v>
      </c>
      <c r="I15" s="52" t="s">
        <v>30</v>
      </c>
      <c r="J15" s="49" t="s">
        <v>31</v>
      </c>
      <c r="K15" s="51" t="s">
        <v>32</v>
      </c>
      <c r="L15" s="51" t="s">
        <v>33</v>
      </c>
      <c r="M15" s="51" t="s">
        <v>34</v>
      </c>
      <c r="N15" s="53" t="s">
        <v>35</v>
      </c>
    </row>
    <row r="16" spans="1:14" ht="30" customHeight="1">
      <c r="A16" s="22" t="str">
        <f>IF(
    OR(IPRF_Lines_Edit[[#This Row],[Item Description]]="",IPRF_Lines_Edit[[#This Row],[Requested Qty]]="",IPRF_Lines_Edit[[#This Row],[Unit]]=""),
    "",
    TEXT(ROW()-ROW(IPRF_Lines_Edit[[#Headers],[Line num]]), "000")
)</f>
        <v>001</v>
      </c>
      <c r="B16" s="6" t="s">
        <v>43</v>
      </c>
      <c r="C16" s="7" t="s">
        <v>44</v>
      </c>
      <c r="D16" s="8" t="s">
        <v>45</v>
      </c>
      <c r="E16" s="9">
        <v>1</v>
      </c>
      <c r="F16" s="10" t="s">
        <v>46</v>
      </c>
      <c r="G16" s="10" t="s">
        <v>47</v>
      </c>
      <c r="H16" s="10"/>
      <c r="I16" s="10"/>
      <c r="J16" s="60"/>
      <c r="K16" s="9"/>
      <c r="L16" s="58" t="str">
        <f>IF(OR(IPRF_Lines_Edit[[#This Row],[Requested Qty]]="",IPRF_Lines_Edit[[#This Row],[Picked Qty]]=""),"",IPRF_Lines_Edit[[#This Row],[Requested Qty]]-IPRF_Lines_Edit[[#This Row],[Picked Qty]])</f>
        <v/>
      </c>
      <c r="M16" s="18" t="str" cm="1">
        <f t="array" ref="M16">IF(
    OR(IPRF_Lines_Edit[[#This Row],[Item Description]]="",IPRF_Lines_Edit[[#This Row],[Requested Qty]]="",IPRF_Lines_Edit[[#This Row],[Unit]]=""),
    "",UPPER(IPRF_Header[Request number] &amp; "-" &amp; IPRF_Lines_Edit[[#This Row],[Line num]]))</f>
        <v>-001</v>
      </c>
      <c r="N16" s="19" t="str" cm="1">
        <f t="array" ref="N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" spans="1:14" ht="30" customHeight="1">
      <c r="A17" s="22" t="str">
        <f>IF(
    OR(IPRF_Lines_Edit[[#This Row],[Item Description]]="",IPRF_Lines_Edit[[#This Row],[Requested Qty]]="",IPRF_Lines_Edit[[#This Row],[Unit]]=""),
    "",
    TEXT(ROW()-ROW(IPRF_Lines_Edit[[#Headers],[Line num]]), "000")
)</f>
        <v>002</v>
      </c>
      <c r="B17" s="6" t="s">
        <v>48</v>
      </c>
      <c r="C17" s="7" t="s">
        <v>49</v>
      </c>
      <c r="D17" s="6" t="s">
        <v>50</v>
      </c>
      <c r="E17" s="9">
        <v>5</v>
      </c>
      <c r="F17" s="10" t="s">
        <v>46</v>
      </c>
      <c r="G17" s="10" t="s">
        <v>51</v>
      </c>
      <c r="H17" s="7"/>
      <c r="I17" s="7"/>
      <c r="J17" s="60"/>
      <c r="K17" s="9"/>
      <c r="L17" s="58" t="str">
        <f>IF(OR(IPRF_Lines_Edit[[#This Row],[Requested Qty]]="",IPRF_Lines_Edit[[#This Row],[Picked Qty]]=""),"",IPRF_Lines_Edit[[#This Row],[Requested Qty]]-IPRF_Lines_Edit[[#This Row],[Picked Qty]])</f>
        <v/>
      </c>
      <c r="M17" s="18" t="str" cm="1">
        <f t="array" ref="M17">IF(
    OR(IPRF_Lines_Edit[[#This Row],[Item Description]]="",IPRF_Lines_Edit[[#This Row],[Requested Qty]]="",IPRF_Lines_Edit[[#This Row],[Unit]]=""),
    "",UPPER(IPRF_Header[Request number] &amp; "-" &amp; IPRF_Lines_Edit[[#This Row],[Line num]]))</f>
        <v>-002</v>
      </c>
      <c r="N17" s="19" t="str" cm="1">
        <f t="array" ref="N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" spans="1:14" ht="30" customHeight="1">
      <c r="A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" s="6"/>
      <c r="C18" s="7"/>
      <c r="D18" s="6"/>
      <c r="E18" s="9"/>
      <c r="F18" s="10"/>
      <c r="G18" s="10"/>
      <c r="H18" s="7"/>
      <c r="I18" s="7"/>
      <c r="J18" s="60"/>
      <c r="K18" s="9"/>
      <c r="L18" s="58" t="str">
        <f>IF(OR(IPRF_Lines_Edit[[#This Row],[Requested Qty]]="",IPRF_Lines_Edit[[#This Row],[Picked Qty]]=""),"",IPRF_Lines_Edit[[#This Row],[Requested Qty]]-IPRF_Lines_Edit[[#This Row],[Picked Qty]])</f>
        <v/>
      </c>
      <c r="M18" s="18" t="str" cm="1">
        <f t="array" ref="M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" s="19" t="str" cm="1">
        <f t="array" ref="N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" spans="1:14" ht="30" customHeight="1">
      <c r="A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" s="6"/>
      <c r="C19" s="7"/>
      <c r="D19" s="6"/>
      <c r="E19" s="9"/>
      <c r="F19" s="10"/>
      <c r="G19" s="10"/>
      <c r="H19" s="7"/>
      <c r="I19" s="7"/>
      <c r="J19" s="60"/>
      <c r="K19" s="9"/>
      <c r="L19" s="58" t="str">
        <f>IF(OR(IPRF_Lines_Edit[[#This Row],[Requested Qty]]="",IPRF_Lines_Edit[[#This Row],[Picked Qty]]=""),"",IPRF_Lines_Edit[[#This Row],[Requested Qty]]-IPRF_Lines_Edit[[#This Row],[Picked Qty]])</f>
        <v/>
      </c>
      <c r="M19" s="18" t="str" cm="1">
        <f t="array" ref="M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" s="19" t="str" cm="1">
        <f t="array" ref="N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" spans="1:14" ht="30" customHeight="1">
      <c r="A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" s="6"/>
      <c r="C20" s="7"/>
      <c r="D20" s="6"/>
      <c r="E20" s="9"/>
      <c r="F20" s="10"/>
      <c r="G20" s="10"/>
      <c r="H20" s="7"/>
      <c r="I20" s="7"/>
      <c r="J20" s="60"/>
      <c r="K20" s="9"/>
      <c r="L20" s="58" t="str">
        <f>IF(OR(IPRF_Lines_Edit[[#This Row],[Requested Qty]]="",IPRF_Lines_Edit[[#This Row],[Picked Qty]]=""),"",IPRF_Lines_Edit[[#This Row],[Requested Qty]]-IPRF_Lines_Edit[[#This Row],[Picked Qty]])</f>
        <v/>
      </c>
      <c r="M20" s="18" t="str" cm="1">
        <f t="array" ref="M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" s="19" t="str" cm="1">
        <f t="array" ref="N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" spans="1:14" ht="30" customHeight="1">
      <c r="A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" s="6"/>
      <c r="C21" s="7"/>
      <c r="D21" s="6"/>
      <c r="E21" s="9"/>
      <c r="F21" s="10"/>
      <c r="G21" s="10"/>
      <c r="H21" s="7"/>
      <c r="I21" s="7"/>
      <c r="J21" s="60"/>
      <c r="K21" s="9"/>
      <c r="L21" s="58" t="str">
        <f>IF(OR(IPRF_Lines_Edit[[#This Row],[Requested Qty]]="",IPRF_Lines_Edit[[#This Row],[Picked Qty]]=""),"",IPRF_Lines_Edit[[#This Row],[Requested Qty]]-IPRF_Lines_Edit[[#This Row],[Picked Qty]])</f>
        <v/>
      </c>
      <c r="M21" s="18" t="str" cm="1">
        <f t="array" ref="M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" s="19" t="str" cm="1">
        <f t="array" ref="N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" spans="1:14" ht="30" customHeight="1">
      <c r="A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" s="6"/>
      <c r="C22" s="7"/>
      <c r="D22" s="6"/>
      <c r="E22" s="9"/>
      <c r="F22" s="10"/>
      <c r="G22" s="10"/>
      <c r="H22" s="7"/>
      <c r="I22" s="7"/>
      <c r="J22" s="60"/>
      <c r="K22" s="9"/>
      <c r="L22" s="58" t="str">
        <f>IF(OR(IPRF_Lines_Edit[[#This Row],[Requested Qty]]="",IPRF_Lines_Edit[[#This Row],[Picked Qty]]=""),"",IPRF_Lines_Edit[[#This Row],[Requested Qty]]-IPRF_Lines_Edit[[#This Row],[Picked Qty]])</f>
        <v/>
      </c>
      <c r="M22" s="18" t="str" cm="1">
        <f t="array" ref="M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" s="19" t="str" cm="1">
        <f t="array" ref="N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" spans="1:14" ht="30" customHeight="1">
      <c r="A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" s="6"/>
      <c r="C23" s="7"/>
      <c r="D23" s="6"/>
      <c r="E23" s="9"/>
      <c r="F23" s="10"/>
      <c r="G23" s="10"/>
      <c r="H23" s="7"/>
      <c r="I23" s="7"/>
      <c r="J23" s="60"/>
      <c r="K23" s="9"/>
      <c r="L23" s="58" t="str">
        <f>IF(OR(IPRF_Lines_Edit[[#This Row],[Requested Qty]]="",IPRF_Lines_Edit[[#This Row],[Picked Qty]]=""),"",IPRF_Lines_Edit[[#This Row],[Requested Qty]]-IPRF_Lines_Edit[[#This Row],[Picked Qty]])</f>
        <v/>
      </c>
      <c r="M23" s="18" t="str" cm="1">
        <f t="array" ref="M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" s="19" t="str" cm="1">
        <f t="array" ref="N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" spans="1:14" ht="30" customHeight="1">
      <c r="A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" s="6"/>
      <c r="C24" s="7"/>
      <c r="D24" s="6"/>
      <c r="E24" s="9"/>
      <c r="F24" s="10"/>
      <c r="G24" s="10"/>
      <c r="H24" s="7"/>
      <c r="I24" s="7"/>
      <c r="J24" s="60"/>
      <c r="K24" s="9"/>
      <c r="L24" s="58" t="str">
        <f>IF(OR(IPRF_Lines_Edit[[#This Row],[Requested Qty]]="",IPRF_Lines_Edit[[#This Row],[Picked Qty]]=""),"",IPRF_Lines_Edit[[#This Row],[Requested Qty]]-IPRF_Lines_Edit[[#This Row],[Picked Qty]])</f>
        <v/>
      </c>
      <c r="M24" s="18" t="str" cm="1">
        <f t="array" ref="M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" s="19" t="str" cm="1">
        <f t="array" ref="N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" spans="1:14" ht="30" customHeight="1">
      <c r="A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" s="6"/>
      <c r="C25" s="7"/>
      <c r="D25" s="6"/>
      <c r="E25" s="9"/>
      <c r="F25" s="10"/>
      <c r="G25" s="10"/>
      <c r="H25" s="7"/>
      <c r="I25" s="7"/>
      <c r="J25" s="60"/>
      <c r="K25" s="9"/>
      <c r="L25" s="58" t="str">
        <f>IF(OR(IPRF_Lines_Edit[[#This Row],[Requested Qty]]="",IPRF_Lines_Edit[[#This Row],[Picked Qty]]=""),"",IPRF_Lines_Edit[[#This Row],[Requested Qty]]-IPRF_Lines_Edit[[#This Row],[Picked Qty]])</f>
        <v/>
      </c>
      <c r="M25" s="18" t="str" cm="1">
        <f t="array" ref="M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" s="19" t="str" cm="1">
        <f t="array" ref="N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" spans="1:14" ht="30" customHeight="1">
      <c r="A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" s="6"/>
      <c r="C26" s="7"/>
      <c r="D26" s="6"/>
      <c r="E26" s="9"/>
      <c r="F26" s="10"/>
      <c r="G26" s="10"/>
      <c r="H26" s="7"/>
      <c r="I26" s="7"/>
      <c r="J26" s="60"/>
      <c r="K26" s="9"/>
      <c r="L26" s="58" t="str">
        <f>IF(OR(IPRF_Lines_Edit[[#This Row],[Requested Qty]]="",IPRF_Lines_Edit[[#This Row],[Picked Qty]]=""),"",IPRF_Lines_Edit[[#This Row],[Requested Qty]]-IPRF_Lines_Edit[[#This Row],[Picked Qty]])</f>
        <v/>
      </c>
      <c r="M26" s="18" t="str" cm="1">
        <f t="array" ref="M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" s="19" t="str" cm="1">
        <f t="array" ref="N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" spans="1:14" ht="30" customHeight="1">
      <c r="A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" s="6"/>
      <c r="C27" s="7"/>
      <c r="D27" s="6"/>
      <c r="E27" s="9"/>
      <c r="F27" s="10"/>
      <c r="G27" s="10"/>
      <c r="H27" s="7"/>
      <c r="I27" s="7"/>
      <c r="J27" s="60"/>
      <c r="K27" s="9"/>
      <c r="L27" s="58" t="str">
        <f>IF(OR(IPRF_Lines_Edit[[#This Row],[Requested Qty]]="",IPRF_Lines_Edit[[#This Row],[Picked Qty]]=""),"",IPRF_Lines_Edit[[#This Row],[Requested Qty]]-IPRF_Lines_Edit[[#This Row],[Picked Qty]])</f>
        <v/>
      </c>
      <c r="M27" s="18" t="str" cm="1">
        <f t="array" ref="M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" s="19" t="str" cm="1">
        <f t="array" ref="N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" spans="1:14" ht="30" customHeight="1">
      <c r="A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" s="6"/>
      <c r="C28" s="7"/>
      <c r="D28" s="6"/>
      <c r="E28" s="9"/>
      <c r="F28" s="10"/>
      <c r="G28" s="10"/>
      <c r="H28" s="7"/>
      <c r="I28" s="7"/>
      <c r="J28" s="60"/>
      <c r="K28" s="9"/>
      <c r="L28" s="58" t="str">
        <f>IF(OR(IPRF_Lines_Edit[[#This Row],[Requested Qty]]="",IPRF_Lines_Edit[[#This Row],[Picked Qty]]=""),"",IPRF_Lines_Edit[[#This Row],[Requested Qty]]-IPRF_Lines_Edit[[#This Row],[Picked Qty]])</f>
        <v/>
      </c>
      <c r="M28" s="18" t="str" cm="1">
        <f t="array" ref="M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" s="19" t="str" cm="1">
        <f t="array" ref="N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" spans="1:14" ht="30" customHeight="1">
      <c r="A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" s="6"/>
      <c r="C29" s="7"/>
      <c r="D29" s="6"/>
      <c r="E29" s="9"/>
      <c r="F29" s="10"/>
      <c r="G29" s="10"/>
      <c r="H29" s="7"/>
      <c r="I29" s="7"/>
      <c r="J29" s="60"/>
      <c r="K29" s="9"/>
      <c r="L29" s="58" t="str">
        <f>IF(OR(IPRF_Lines_Edit[[#This Row],[Requested Qty]]="",IPRF_Lines_Edit[[#This Row],[Picked Qty]]=""),"",IPRF_Lines_Edit[[#This Row],[Requested Qty]]-IPRF_Lines_Edit[[#This Row],[Picked Qty]])</f>
        <v/>
      </c>
      <c r="M29" s="18" t="str" cm="1">
        <f t="array" ref="M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" s="19" t="str" cm="1">
        <f t="array" ref="N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" spans="1:14" ht="30" customHeight="1">
      <c r="A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" s="6"/>
      <c r="C30" s="7"/>
      <c r="D30" s="6"/>
      <c r="E30" s="9"/>
      <c r="F30" s="10"/>
      <c r="G30" s="10"/>
      <c r="H30" s="7"/>
      <c r="I30" s="7"/>
      <c r="J30" s="60"/>
      <c r="K30" s="9"/>
      <c r="L30" s="58" t="str">
        <f>IF(OR(IPRF_Lines_Edit[[#This Row],[Requested Qty]]="",IPRF_Lines_Edit[[#This Row],[Picked Qty]]=""),"",IPRF_Lines_Edit[[#This Row],[Requested Qty]]-IPRF_Lines_Edit[[#This Row],[Picked Qty]])</f>
        <v/>
      </c>
      <c r="M30" s="18" t="str" cm="1">
        <f t="array" ref="M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" s="19" t="str" cm="1">
        <f t="array" ref="N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" spans="1:14" ht="30" customHeight="1">
      <c r="A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" s="6"/>
      <c r="C31" s="7"/>
      <c r="D31" s="6"/>
      <c r="E31" s="9"/>
      <c r="F31" s="10"/>
      <c r="G31" s="10"/>
      <c r="H31" s="7"/>
      <c r="I31" s="7"/>
      <c r="J31" s="60"/>
      <c r="K31" s="9"/>
      <c r="L31" s="58" t="str">
        <f>IF(OR(IPRF_Lines_Edit[[#This Row],[Requested Qty]]="",IPRF_Lines_Edit[[#This Row],[Picked Qty]]=""),"",IPRF_Lines_Edit[[#This Row],[Requested Qty]]-IPRF_Lines_Edit[[#This Row],[Picked Qty]])</f>
        <v/>
      </c>
      <c r="M31" s="18" t="str" cm="1">
        <f t="array" ref="M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" s="19" t="str" cm="1">
        <f t="array" ref="N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" spans="1:14" ht="30" customHeight="1">
      <c r="A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" s="6"/>
      <c r="C32" s="7"/>
      <c r="D32" s="6"/>
      <c r="E32" s="9"/>
      <c r="F32" s="10"/>
      <c r="G32" s="10"/>
      <c r="H32" s="7"/>
      <c r="I32" s="7"/>
      <c r="J32" s="60"/>
      <c r="K32" s="9"/>
      <c r="L32" s="58" t="str">
        <f>IF(OR(IPRF_Lines_Edit[[#This Row],[Requested Qty]]="",IPRF_Lines_Edit[[#This Row],[Picked Qty]]=""),"",IPRF_Lines_Edit[[#This Row],[Requested Qty]]-IPRF_Lines_Edit[[#This Row],[Picked Qty]])</f>
        <v/>
      </c>
      <c r="M32" s="18" t="str" cm="1">
        <f t="array" ref="M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" s="19" t="str" cm="1">
        <f t="array" ref="N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" spans="1:14" ht="30" customHeight="1">
      <c r="A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" s="6"/>
      <c r="C33" s="7"/>
      <c r="D33" s="6"/>
      <c r="E33" s="9"/>
      <c r="F33" s="10"/>
      <c r="G33" s="10"/>
      <c r="H33" s="7"/>
      <c r="I33" s="7"/>
      <c r="J33" s="60"/>
      <c r="K33" s="9"/>
      <c r="L33" s="58" t="str">
        <f>IF(OR(IPRF_Lines_Edit[[#This Row],[Requested Qty]]="",IPRF_Lines_Edit[[#This Row],[Picked Qty]]=""),"",IPRF_Lines_Edit[[#This Row],[Requested Qty]]-IPRF_Lines_Edit[[#This Row],[Picked Qty]])</f>
        <v/>
      </c>
      <c r="M33" s="18" t="str" cm="1">
        <f t="array" ref="M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" s="19" t="str" cm="1">
        <f t="array" ref="N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" spans="1:14" ht="30" customHeight="1">
      <c r="A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" s="6"/>
      <c r="C34" s="7"/>
      <c r="D34" s="6"/>
      <c r="E34" s="9"/>
      <c r="F34" s="10"/>
      <c r="G34" s="10"/>
      <c r="H34" s="7"/>
      <c r="I34" s="7"/>
      <c r="J34" s="60"/>
      <c r="K34" s="9"/>
      <c r="L34" s="58" t="str">
        <f>IF(OR(IPRF_Lines_Edit[[#This Row],[Requested Qty]]="",IPRF_Lines_Edit[[#This Row],[Picked Qty]]=""),"",IPRF_Lines_Edit[[#This Row],[Requested Qty]]-IPRF_Lines_Edit[[#This Row],[Picked Qty]])</f>
        <v/>
      </c>
      <c r="M34" s="18" t="str" cm="1">
        <f t="array" ref="M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" s="19" t="str" cm="1">
        <f t="array" ref="N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" spans="1:14" ht="30" customHeight="1">
      <c r="A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" s="6"/>
      <c r="C35" s="7"/>
      <c r="D35" s="6"/>
      <c r="E35" s="9"/>
      <c r="F35" s="10"/>
      <c r="G35" s="10"/>
      <c r="H35" s="7"/>
      <c r="I35" s="7"/>
      <c r="J35" s="60"/>
      <c r="K35" s="9"/>
      <c r="L35" s="58" t="str">
        <f>IF(OR(IPRF_Lines_Edit[[#This Row],[Requested Qty]]="",IPRF_Lines_Edit[[#This Row],[Picked Qty]]=""),"",IPRF_Lines_Edit[[#This Row],[Requested Qty]]-IPRF_Lines_Edit[[#This Row],[Picked Qty]])</f>
        <v/>
      </c>
      <c r="M35" s="18" t="str" cm="1">
        <f t="array" ref="M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" s="19" t="str" cm="1">
        <f t="array" ref="N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" spans="1:14" ht="30" customHeight="1">
      <c r="A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" s="6"/>
      <c r="C36" s="7"/>
      <c r="D36" s="6"/>
      <c r="E36" s="9"/>
      <c r="F36" s="10"/>
      <c r="G36" s="10"/>
      <c r="H36" s="7"/>
      <c r="I36" s="7"/>
      <c r="J36" s="60"/>
      <c r="K36" s="9"/>
      <c r="L36" s="58" t="str">
        <f>IF(OR(IPRF_Lines_Edit[[#This Row],[Requested Qty]]="",IPRF_Lines_Edit[[#This Row],[Picked Qty]]=""),"",IPRF_Lines_Edit[[#This Row],[Requested Qty]]-IPRF_Lines_Edit[[#This Row],[Picked Qty]])</f>
        <v/>
      </c>
      <c r="M36" s="18" t="str" cm="1">
        <f t="array" ref="M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" s="19" t="str" cm="1">
        <f t="array" ref="N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" spans="1:14" ht="30" customHeight="1">
      <c r="A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" s="6"/>
      <c r="C37" s="7"/>
      <c r="D37" s="6"/>
      <c r="E37" s="9"/>
      <c r="F37" s="10"/>
      <c r="G37" s="10"/>
      <c r="H37" s="7"/>
      <c r="I37" s="7"/>
      <c r="J37" s="60"/>
      <c r="K37" s="9"/>
      <c r="L37" s="58" t="str">
        <f>IF(OR(IPRF_Lines_Edit[[#This Row],[Requested Qty]]="",IPRF_Lines_Edit[[#This Row],[Picked Qty]]=""),"",IPRF_Lines_Edit[[#This Row],[Requested Qty]]-IPRF_Lines_Edit[[#This Row],[Picked Qty]])</f>
        <v/>
      </c>
      <c r="M37" s="18" t="str" cm="1">
        <f t="array" ref="M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" s="19" t="str" cm="1">
        <f t="array" ref="N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" spans="1:14" ht="30" customHeight="1">
      <c r="A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" s="6"/>
      <c r="C38" s="7"/>
      <c r="D38" s="6"/>
      <c r="E38" s="9"/>
      <c r="F38" s="10"/>
      <c r="G38" s="10"/>
      <c r="H38" s="7"/>
      <c r="I38" s="7"/>
      <c r="J38" s="60"/>
      <c r="K38" s="9"/>
      <c r="L38" s="58" t="str">
        <f>IF(OR(IPRF_Lines_Edit[[#This Row],[Requested Qty]]="",IPRF_Lines_Edit[[#This Row],[Picked Qty]]=""),"",IPRF_Lines_Edit[[#This Row],[Requested Qty]]-IPRF_Lines_Edit[[#This Row],[Picked Qty]])</f>
        <v/>
      </c>
      <c r="M38" s="18" t="str" cm="1">
        <f t="array" ref="M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" s="19" t="str" cm="1">
        <f t="array" ref="N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" spans="1:14" ht="30" customHeight="1">
      <c r="A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" s="6"/>
      <c r="C39" s="7"/>
      <c r="D39" s="6"/>
      <c r="E39" s="9"/>
      <c r="F39" s="10"/>
      <c r="G39" s="10"/>
      <c r="H39" s="7"/>
      <c r="I39" s="7"/>
      <c r="J39" s="60"/>
      <c r="K39" s="9"/>
      <c r="L39" s="58" t="str">
        <f>IF(OR(IPRF_Lines_Edit[[#This Row],[Requested Qty]]="",IPRF_Lines_Edit[[#This Row],[Picked Qty]]=""),"",IPRF_Lines_Edit[[#This Row],[Requested Qty]]-IPRF_Lines_Edit[[#This Row],[Picked Qty]])</f>
        <v/>
      </c>
      <c r="M39" s="18" t="str" cm="1">
        <f t="array" ref="M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" s="19" t="str" cm="1">
        <f t="array" ref="N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" spans="1:14" ht="30" customHeight="1">
      <c r="A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" s="6"/>
      <c r="C40" s="7"/>
      <c r="D40" s="6"/>
      <c r="E40" s="9"/>
      <c r="F40" s="10"/>
      <c r="G40" s="10"/>
      <c r="H40" s="7"/>
      <c r="I40" s="7"/>
      <c r="J40" s="60"/>
      <c r="K40" s="9"/>
      <c r="L40" s="58" t="str">
        <f>IF(OR(IPRF_Lines_Edit[[#This Row],[Requested Qty]]="",IPRF_Lines_Edit[[#This Row],[Picked Qty]]=""),"",IPRF_Lines_Edit[[#This Row],[Requested Qty]]-IPRF_Lines_Edit[[#This Row],[Picked Qty]])</f>
        <v/>
      </c>
      <c r="M40" s="18" t="str" cm="1">
        <f t="array" ref="M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" s="19" t="str" cm="1">
        <f t="array" ref="N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" spans="1:14" ht="30" customHeight="1">
      <c r="A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" s="6"/>
      <c r="C41" s="7"/>
      <c r="D41" s="6"/>
      <c r="E41" s="9"/>
      <c r="F41" s="10"/>
      <c r="G41" s="10"/>
      <c r="H41" s="7"/>
      <c r="I41" s="7"/>
      <c r="J41" s="60"/>
      <c r="K41" s="9"/>
      <c r="L41" s="58" t="str">
        <f>IF(OR(IPRF_Lines_Edit[[#This Row],[Requested Qty]]="",IPRF_Lines_Edit[[#This Row],[Picked Qty]]=""),"",IPRF_Lines_Edit[[#This Row],[Requested Qty]]-IPRF_Lines_Edit[[#This Row],[Picked Qty]])</f>
        <v/>
      </c>
      <c r="M41" s="18" t="str" cm="1">
        <f t="array" ref="M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" s="19" t="str" cm="1">
        <f t="array" ref="N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" spans="1:14" ht="30" customHeight="1">
      <c r="A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" s="6"/>
      <c r="C42" s="7"/>
      <c r="D42" s="6"/>
      <c r="E42" s="9"/>
      <c r="F42" s="10"/>
      <c r="G42" s="10"/>
      <c r="H42" s="7"/>
      <c r="I42" s="7"/>
      <c r="J42" s="60"/>
      <c r="K42" s="9"/>
      <c r="L42" s="58" t="str">
        <f>IF(OR(IPRF_Lines_Edit[[#This Row],[Requested Qty]]="",IPRF_Lines_Edit[[#This Row],[Picked Qty]]=""),"",IPRF_Lines_Edit[[#This Row],[Requested Qty]]-IPRF_Lines_Edit[[#This Row],[Picked Qty]])</f>
        <v/>
      </c>
      <c r="M42" s="18" t="str" cm="1">
        <f t="array" ref="M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" s="19" t="str" cm="1">
        <f t="array" ref="N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" spans="1:14" ht="30" customHeight="1">
      <c r="A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" s="6"/>
      <c r="C43" s="7"/>
      <c r="D43" s="6"/>
      <c r="E43" s="9"/>
      <c r="F43" s="10"/>
      <c r="G43" s="10"/>
      <c r="H43" s="7"/>
      <c r="I43" s="7"/>
      <c r="J43" s="60"/>
      <c r="K43" s="9"/>
      <c r="L43" s="58" t="str">
        <f>IF(OR(IPRF_Lines_Edit[[#This Row],[Requested Qty]]="",IPRF_Lines_Edit[[#This Row],[Picked Qty]]=""),"",IPRF_Lines_Edit[[#This Row],[Requested Qty]]-IPRF_Lines_Edit[[#This Row],[Picked Qty]])</f>
        <v/>
      </c>
      <c r="M43" s="18" t="str" cm="1">
        <f t="array" ref="M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" s="19" t="str" cm="1">
        <f t="array" ref="N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" spans="1:14" ht="30" customHeight="1">
      <c r="A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" s="6"/>
      <c r="C44" s="7"/>
      <c r="D44" s="6"/>
      <c r="E44" s="9"/>
      <c r="F44" s="10"/>
      <c r="G44" s="10"/>
      <c r="H44" s="7"/>
      <c r="I44" s="7"/>
      <c r="J44" s="60"/>
      <c r="K44" s="9"/>
      <c r="L44" s="58" t="str">
        <f>IF(OR(IPRF_Lines_Edit[[#This Row],[Requested Qty]]="",IPRF_Lines_Edit[[#This Row],[Picked Qty]]=""),"",IPRF_Lines_Edit[[#This Row],[Requested Qty]]-IPRF_Lines_Edit[[#This Row],[Picked Qty]])</f>
        <v/>
      </c>
      <c r="M44" s="18" t="str" cm="1">
        <f t="array" ref="M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" s="19" t="str" cm="1">
        <f t="array" ref="N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" spans="1:14" ht="30" customHeight="1">
      <c r="A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" s="6"/>
      <c r="C45" s="7"/>
      <c r="D45" s="6"/>
      <c r="E45" s="9"/>
      <c r="F45" s="10"/>
      <c r="G45" s="10"/>
      <c r="H45" s="7"/>
      <c r="I45" s="7"/>
      <c r="J45" s="60"/>
      <c r="K45" s="9"/>
      <c r="L45" s="58" t="str">
        <f>IF(OR(IPRF_Lines_Edit[[#This Row],[Requested Qty]]="",IPRF_Lines_Edit[[#This Row],[Picked Qty]]=""),"",IPRF_Lines_Edit[[#This Row],[Requested Qty]]-IPRF_Lines_Edit[[#This Row],[Picked Qty]])</f>
        <v/>
      </c>
      <c r="M45" s="18" t="str" cm="1">
        <f t="array" ref="M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" s="19" t="str" cm="1">
        <f t="array" ref="N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" spans="1:14" ht="30" customHeight="1">
      <c r="A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" s="6"/>
      <c r="C46" s="7"/>
      <c r="D46" s="6"/>
      <c r="E46" s="9"/>
      <c r="F46" s="10"/>
      <c r="G46" s="10"/>
      <c r="H46" s="7"/>
      <c r="I46" s="7"/>
      <c r="J46" s="60"/>
      <c r="K46" s="9"/>
      <c r="L46" s="58" t="str">
        <f>IF(OR(IPRF_Lines_Edit[[#This Row],[Requested Qty]]="",IPRF_Lines_Edit[[#This Row],[Picked Qty]]=""),"",IPRF_Lines_Edit[[#This Row],[Requested Qty]]-IPRF_Lines_Edit[[#This Row],[Picked Qty]])</f>
        <v/>
      </c>
      <c r="M46" s="18" t="str" cm="1">
        <f t="array" ref="M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" s="19" t="str" cm="1">
        <f t="array" ref="N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" spans="1:14" ht="30" customHeight="1">
      <c r="A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" s="6"/>
      <c r="C47" s="7"/>
      <c r="D47" s="6"/>
      <c r="E47" s="9"/>
      <c r="F47" s="10"/>
      <c r="G47" s="10"/>
      <c r="H47" s="7"/>
      <c r="I47" s="7"/>
      <c r="J47" s="60"/>
      <c r="K47" s="9"/>
      <c r="L47" s="58" t="str">
        <f>IF(OR(IPRF_Lines_Edit[[#This Row],[Requested Qty]]="",IPRF_Lines_Edit[[#This Row],[Picked Qty]]=""),"",IPRF_Lines_Edit[[#This Row],[Requested Qty]]-IPRF_Lines_Edit[[#This Row],[Picked Qty]])</f>
        <v/>
      </c>
      <c r="M47" s="18" t="str" cm="1">
        <f t="array" ref="M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" s="19" t="str" cm="1">
        <f t="array" ref="N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" spans="1:14" ht="30" customHeight="1">
      <c r="A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" s="6"/>
      <c r="C48" s="7"/>
      <c r="D48" s="6"/>
      <c r="E48" s="9"/>
      <c r="F48" s="10"/>
      <c r="G48" s="10"/>
      <c r="H48" s="7"/>
      <c r="I48" s="7"/>
      <c r="J48" s="60"/>
      <c r="K48" s="9"/>
      <c r="L48" s="58" t="str">
        <f>IF(OR(IPRF_Lines_Edit[[#This Row],[Requested Qty]]="",IPRF_Lines_Edit[[#This Row],[Picked Qty]]=""),"",IPRF_Lines_Edit[[#This Row],[Requested Qty]]-IPRF_Lines_Edit[[#This Row],[Picked Qty]])</f>
        <v/>
      </c>
      <c r="M48" s="18" t="str" cm="1">
        <f t="array" ref="M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" s="19" t="str" cm="1">
        <f t="array" ref="N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" spans="1:14" ht="30" customHeight="1">
      <c r="A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" s="6"/>
      <c r="C49" s="7"/>
      <c r="D49" s="6"/>
      <c r="E49" s="9"/>
      <c r="F49" s="10"/>
      <c r="G49" s="10"/>
      <c r="H49" s="7"/>
      <c r="I49" s="7"/>
      <c r="J49" s="60"/>
      <c r="K49" s="9"/>
      <c r="L49" s="58" t="str">
        <f>IF(OR(IPRF_Lines_Edit[[#This Row],[Requested Qty]]="",IPRF_Lines_Edit[[#This Row],[Picked Qty]]=""),"",IPRF_Lines_Edit[[#This Row],[Requested Qty]]-IPRF_Lines_Edit[[#This Row],[Picked Qty]])</f>
        <v/>
      </c>
      <c r="M49" s="18" t="str" cm="1">
        <f t="array" ref="M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" s="19" t="str" cm="1">
        <f t="array" ref="N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" spans="1:14" ht="30" customHeight="1">
      <c r="A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" s="6"/>
      <c r="C50" s="7"/>
      <c r="D50" s="6"/>
      <c r="E50" s="9"/>
      <c r="F50" s="10"/>
      <c r="G50" s="10"/>
      <c r="H50" s="7"/>
      <c r="I50" s="7"/>
      <c r="J50" s="60"/>
      <c r="K50" s="9"/>
      <c r="L50" s="58" t="str">
        <f>IF(OR(IPRF_Lines_Edit[[#This Row],[Requested Qty]]="",IPRF_Lines_Edit[[#This Row],[Picked Qty]]=""),"",IPRF_Lines_Edit[[#This Row],[Requested Qty]]-IPRF_Lines_Edit[[#This Row],[Picked Qty]])</f>
        <v/>
      </c>
      <c r="M50" s="18" t="str" cm="1">
        <f t="array" ref="M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" s="19" t="str" cm="1">
        <f t="array" ref="N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" spans="1:14" ht="30" customHeight="1">
      <c r="A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" s="6"/>
      <c r="C51" s="7"/>
      <c r="D51" s="6"/>
      <c r="E51" s="9"/>
      <c r="F51" s="10"/>
      <c r="G51" s="10"/>
      <c r="H51" s="7"/>
      <c r="I51" s="7"/>
      <c r="J51" s="60"/>
      <c r="K51" s="9"/>
      <c r="L51" s="58" t="str">
        <f>IF(OR(IPRF_Lines_Edit[[#This Row],[Requested Qty]]="",IPRF_Lines_Edit[[#This Row],[Picked Qty]]=""),"",IPRF_Lines_Edit[[#This Row],[Requested Qty]]-IPRF_Lines_Edit[[#This Row],[Picked Qty]])</f>
        <v/>
      </c>
      <c r="M51" s="18" t="str" cm="1">
        <f t="array" ref="M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" s="19" t="str" cm="1">
        <f t="array" ref="N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2" spans="1:14" ht="30" customHeight="1">
      <c r="A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2" s="6"/>
      <c r="C52" s="7"/>
      <c r="D52" s="6"/>
      <c r="E52" s="9"/>
      <c r="F52" s="10"/>
      <c r="G52" s="10"/>
      <c r="H52" s="7"/>
      <c r="I52" s="7"/>
      <c r="J52" s="60"/>
      <c r="K52" s="9"/>
      <c r="L52" s="58" t="str">
        <f>IF(OR(IPRF_Lines_Edit[[#This Row],[Requested Qty]]="",IPRF_Lines_Edit[[#This Row],[Picked Qty]]=""),"",IPRF_Lines_Edit[[#This Row],[Requested Qty]]-IPRF_Lines_Edit[[#This Row],[Picked Qty]])</f>
        <v/>
      </c>
      <c r="M52" s="18" t="str" cm="1">
        <f t="array" ref="M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2" s="19" t="str" cm="1">
        <f t="array" ref="N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3" spans="1:14" ht="30" customHeight="1">
      <c r="A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3" s="6"/>
      <c r="C53" s="7"/>
      <c r="D53" s="6"/>
      <c r="E53" s="9"/>
      <c r="F53" s="10"/>
      <c r="G53" s="10"/>
      <c r="H53" s="7"/>
      <c r="I53" s="7"/>
      <c r="J53" s="60"/>
      <c r="K53" s="9"/>
      <c r="L53" s="58" t="str">
        <f>IF(OR(IPRF_Lines_Edit[[#This Row],[Requested Qty]]="",IPRF_Lines_Edit[[#This Row],[Picked Qty]]=""),"",IPRF_Lines_Edit[[#This Row],[Requested Qty]]-IPRF_Lines_Edit[[#This Row],[Picked Qty]])</f>
        <v/>
      </c>
      <c r="M53" s="18" t="str" cm="1">
        <f t="array" ref="M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3" s="19" t="str" cm="1">
        <f t="array" ref="N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4" spans="1:14" ht="30" customHeight="1">
      <c r="A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4" s="6"/>
      <c r="C54" s="7"/>
      <c r="D54" s="6"/>
      <c r="E54" s="9"/>
      <c r="F54" s="10"/>
      <c r="G54" s="10"/>
      <c r="H54" s="7"/>
      <c r="I54" s="7"/>
      <c r="J54" s="60"/>
      <c r="K54" s="9"/>
      <c r="L54" s="58" t="str">
        <f>IF(OR(IPRF_Lines_Edit[[#This Row],[Requested Qty]]="",IPRF_Lines_Edit[[#This Row],[Picked Qty]]=""),"",IPRF_Lines_Edit[[#This Row],[Requested Qty]]-IPRF_Lines_Edit[[#This Row],[Picked Qty]])</f>
        <v/>
      </c>
      <c r="M54" s="18" t="str" cm="1">
        <f t="array" ref="M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4" s="19" t="str" cm="1">
        <f t="array" ref="N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5" spans="1:14" ht="30" customHeight="1">
      <c r="A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5" s="6"/>
      <c r="C55" s="7"/>
      <c r="D55" s="6"/>
      <c r="E55" s="9"/>
      <c r="F55" s="10"/>
      <c r="G55" s="10"/>
      <c r="H55" s="7"/>
      <c r="I55" s="7"/>
      <c r="J55" s="60"/>
      <c r="K55" s="9"/>
      <c r="L55" s="58" t="str">
        <f>IF(OR(IPRF_Lines_Edit[[#This Row],[Requested Qty]]="",IPRF_Lines_Edit[[#This Row],[Picked Qty]]=""),"",IPRF_Lines_Edit[[#This Row],[Requested Qty]]-IPRF_Lines_Edit[[#This Row],[Picked Qty]])</f>
        <v/>
      </c>
      <c r="M55" s="18" t="str" cm="1">
        <f t="array" ref="M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5" s="19" t="str" cm="1">
        <f t="array" ref="N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6" spans="1:14" ht="30" customHeight="1">
      <c r="A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6" s="6"/>
      <c r="C56" s="7"/>
      <c r="D56" s="6"/>
      <c r="E56" s="9"/>
      <c r="F56" s="10"/>
      <c r="G56" s="10"/>
      <c r="H56" s="7"/>
      <c r="I56" s="7"/>
      <c r="J56" s="60"/>
      <c r="K56" s="9"/>
      <c r="L56" s="58" t="str">
        <f>IF(OR(IPRF_Lines_Edit[[#This Row],[Requested Qty]]="",IPRF_Lines_Edit[[#This Row],[Picked Qty]]=""),"",IPRF_Lines_Edit[[#This Row],[Requested Qty]]-IPRF_Lines_Edit[[#This Row],[Picked Qty]])</f>
        <v/>
      </c>
      <c r="M56" s="18" t="str" cm="1">
        <f t="array" ref="M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6" s="19" t="str" cm="1">
        <f t="array" ref="N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7" spans="1:14" ht="30" customHeight="1">
      <c r="A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7" s="6"/>
      <c r="C57" s="7"/>
      <c r="D57" s="6"/>
      <c r="E57" s="9"/>
      <c r="F57" s="10"/>
      <c r="G57" s="10"/>
      <c r="H57" s="7"/>
      <c r="I57" s="7"/>
      <c r="J57" s="60"/>
      <c r="K57" s="9"/>
      <c r="L57" s="58" t="str">
        <f>IF(OR(IPRF_Lines_Edit[[#This Row],[Requested Qty]]="",IPRF_Lines_Edit[[#This Row],[Picked Qty]]=""),"",IPRF_Lines_Edit[[#This Row],[Requested Qty]]-IPRF_Lines_Edit[[#This Row],[Picked Qty]])</f>
        <v/>
      </c>
      <c r="M57" s="18" t="str" cm="1">
        <f t="array" ref="M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7" s="19" t="str" cm="1">
        <f t="array" ref="N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8" spans="1:14" ht="30" customHeight="1">
      <c r="A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8" s="6"/>
      <c r="C58" s="7"/>
      <c r="D58" s="6"/>
      <c r="E58" s="9"/>
      <c r="F58" s="10"/>
      <c r="G58" s="10"/>
      <c r="H58" s="7"/>
      <c r="I58" s="7"/>
      <c r="J58" s="60"/>
      <c r="K58" s="9"/>
      <c r="L58" s="58" t="str">
        <f>IF(OR(IPRF_Lines_Edit[[#This Row],[Requested Qty]]="",IPRF_Lines_Edit[[#This Row],[Picked Qty]]=""),"",IPRF_Lines_Edit[[#This Row],[Requested Qty]]-IPRF_Lines_Edit[[#This Row],[Picked Qty]])</f>
        <v/>
      </c>
      <c r="M58" s="18" t="str" cm="1">
        <f t="array" ref="M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8" s="19" t="str" cm="1">
        <f t="array" ref="N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9" spans="1:14" ht="30" customHeight="1">
      <c r="A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9" s="6"/>
      <c r="C59" s="7"/>
      <c r="D59" s="6"/>
      <c r="E59" s="9"/>
      <c r="F59" s="10"/>
      <c r="G59" s="10"/>
      <c r="H59" s="7"/>
      <c r="I59" s="7"/>
      <c r="J59" s="60"/>
      <c r="K59" s="9"/>
      <c r="L59" s="58" t="str">
        <f>IF(OR(IPRF_Lines_Edit[[#This Row],[Requested Qty]]="",IPRF_Lines_Edit[[#This Row],[Picked Qty]]=""),"",IPRF_Lines_Edit[[#This Row],[Requested Qty]]-IPRF_Lines_Edit[[#This Row],[Picked Qty]])</f>
        <v/>
      </c>
      <c r="M59" s="18" t="str" cm="1">
        <f t="array" ref="M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9" s="19" t="str" cm="1">
        <f t="array" ref="N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0" spans="1:14" ht="30" customHeight="1">
      <c r="A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0" s="6"/>
      <c r="C60" s="7"/>
      <c r="D60" s="6"/>
      <c r="E60" s="9"/>
      <c r="F60" s="10"/>
      <c r="G60" s="10"/>
      <c r="H60" s="7"/>
      <c r="I60" s="7"/>
      <c r="J60" s="60"/>
      <c r="K60" s="9"/>
      <c r="L60" s="58" t="str">
        <f>IF(OR(IPRF_Lines_Edit[[#This Row],[Requested Qty]]="",IPRF_Lines_Edit[[#This Row],[Picked Qty]]=""),"",IPRF_Lines_Edit[[#This Row],[Requested Qty]]-IPRF_Lines_Edit[[#This Row],[Picked Qty]])</f>
        <v/>
      </c>
      <c r="M60" s="18" t="str" cm="1">
        <f t="array" ref="M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0" s="19" t="str" cm="1">
        <f t="array" ref="N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1" spans="1:14" ht="30" customHeight="1">
      <c r="A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1" s="6"/>
      <c r="C61" s="7"/>
      <c r="D61" s="6"/>
      <c r="E61" s="9"/>
      <c r="F61" s="10"/>
      <c r="G61" s="10"/>
      <c r="H61" s="7"/>
      <c r="I61" s="7"/>
      <c r="J61" s="60"/>
      <c r="K61" s="9"/>
      <c r="L61" s="58" t="str">
        <f>IF(OR(IPRF_Lines_Edit[[#This Row],[Requested Qty]]="",IPRF_Lines_Edit[[#This Row],[Picked Qty]]=""),"",IPRF_Lines_Edit[[#This Row],[Requested Qty]]-IPRF_Lines_Edit[[#This Row],[Picked Qty]])</f>
        <v/>
      </c>
      <c r="M61" s="18" t="str" cm="1">
        <f t="array" ref="M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1" s="19" t="str" cm="1">
        <f t="array" ref="N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2" spans="1:14" ht="30" customHeight="1">
      <c r="A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2" s="6"/>
      <c r="C62" s="7"/>
      <c r="D62" s="6"/>
      <c r="E62" s="9"/>
      <c r="F62" s="10"/>
      <c r="G62" s="10"/>
      <c r="H62" s="7"/>
      <c r="I62" s="7"/>
      <c r="J62" s="60"/>
      <c r="K62" s="9"/>
      <c r="L62" s="58" t="str">
        <f>IF(OR(IPRF_Lines_Edit[[#This Row],[Requested Qty]]="",IPRF_Lines_Edit[[#This Row],[Picked Qty]]=""),"",IPRF_Lines_Edit[[#This Row],[Requested Qty]]-IPRF_Lines_Edit[[#This Row],[Picked Qty]])</f>
        <v/>
      </c>
      <c r="M62" s="18" t="str" cm="1">
        <f t="array" ref="M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2" s="19" t="str" cm="1">
        <f t="array" ref="N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3" spans="1:14" ht="30" customHeight="1">
      <c r="A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3" s="6"/>
      <c r="C63" s="7"/>
      <c r="D63" s="6"/>
      <c r="E63" s="9"/>
      <c r="F63" s="10"/>
      <c r="G63" s="10"/>
      <c r="H63" s="7"/>
      <c r="I63" s="7"/>
      <c r="J63" s="60"/>
      <c r="K63" s="9"/>
      <c r="L63" s="58" t="str">
        <f>IF(OR(IPRF_Lines_Edit[[#This Row],[Requested Qty]]="",IPRF_Lines_Edit[[#This Row],[Picked Qty]]=""),"",IPRF_Lines_Edit[[#This Row],[Requested Qty]]-IPRF_Lines_Edit[[#This Row],[Picked Qty]])</f>
        <v/>
      </c>
      <c r="M63" s="18" t="str" cm="1">
        <f t="array" ref="M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3" s="19" t="str" cm="1">
        <f t="array" ref="N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4" spans="1:14" ht="30" customHeight="1">
      <c r="A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4" s="6"/>
      <c r="C64" s="7"/>
      <c r="D64" s="6"/>
      <c r="E64" s="9"/>
      <c r="F64" s="10"/>
      <c r="G64" s="10"/>
      <c r="H64" s="7"/>
      <c r="I64" s="7"/>
      <c r="J64" s="60"/>
      <c r="K64" s="9"/>
      <c r="L64" s="58" t="str">
        <f>IF(OR(IPRF_Lines_Edit[[#This Row],[Requested Qty]]="",IPRF_Lines_Edit[[#This Row],[Picked Qty]]=""),"",IPRF_Lines_Edit[[#This Row],[Requested Qty]]-IPRF_Lines_Edit[[#This Row],[Picked Qty]])</f>
        <v/>
      </c>
      <c r="M64" s="18" t="str" cm="1">
        <f t="array" ref="M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4" s="19" t="str" cm="1">
        <f t="array" ref="N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5" spans="1:14" ht="30" customHeight="1">
      <c r="A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5" s="6"/>
      <c r="C65" s="7"/>
      <c r="D65" s="6"/>
      <c r="E65" s="9"/>
      <c r="F65" s="10"/>
      <c r="G65" s="10"/>
      <c r="H65" s="7"/>
      <c r="I65" s="7"/>
      <c r="J65" s="60"/>
      <c r="K65" s="9"/>
      <c r="L65" s="58" t="str">
        <f>IF(OR(IPRF_Lines_Edit[[#This Row],[Requested Qty]]="",IPRF_Lines_Edit[[#This Row],[Picked Qty]]=""),"",IPRF_Lines_Edit[[#This Row],[Requested Qty]]-IPRF_Lines_Edit[[#This Row],[Picked Qty]])</f>
        <v/>
      </c>
      <c r="M65" s="18" t="str" cm="1">
        <f t="array" ref="M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5" s="19" t="str" cm="1">
        <f t="array" ref="N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6" spans="1:14" ht="30" customHeight="1">
      <c r="A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6" s="6"/>
      <c r="C66" s="7"/>
      <c r="D66" s="6"/>
      <c r="E66" s="9"/>
      <c r="F66" s="10"/>
      <c r="G66" s="10"/>
      <c r="H66" s="7"/>
      <c r="I66" s="7"/>
      <c r="J66" s="60"/>
      <c r="K66" s="9"/>
      <c r="L66" s="58" t="str">
        <f>IF(OR(IPRF_Lines_Edit[[#This Row],[Requested Qty]]="",IPRF_Lines_Edit[[#This Row],[Picked Qty]]=""),"",IPRF_Lines_Edit[[#This Row],[Requested Qty]]-IPRF_Lines_Edit[[#This Row],[Picked Qty]])</f>
        <v/>
      </c>
      <c r="M66" s="18" t="str" cm="1">
        <f t="array" ref="M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6" s="19" t="str" cm="1">
        <f t="array" ref="N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7" spans="1:14" ht="30" customHeight="1">
      <c r="A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7" s="6"/>
      <c r="C67" s="7"/>
      <c r="D67" s="6"/>
      <c r="E67" s="9"/>
      <c r="F67" s="10"/>
      <c r="G67" s="10"/>
      <c r="H67" s="7"/>
      <c r="I67" s="7"/>
      <c r="J67" s="60"/>
      <c r="K67" s="9"/>
      <c r="L67" s="58" t="str">
        <f>IF(OR(IPRF_Lines_Edit[[#This Row],[Requested Qty]]="",IPRF_Lines_Edit[[#This Row],[Picked Qty]]=""),"",IPRF_Lines_Edit[[#This Row],[Requested Qty]]-IPRF_Lines_Edit[[#This Row],[Picked Qty]])</f>
        <v/>
      </c>
      <c r="M67" s="18" t="str" cm="1">
        <f t="array" ref="M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7" s="19" t="str" cm="1">
        <f t="array" ref="N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8" spans="1:14" ht="30" customHeight="1">
      <c r="A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8" s="6"/>
      <c r="C68" s="7"/>
      <c r="D68" s="6"/>
      <c r="E68" s="9"/>
      <c r="F68" s="10"/>
      <c r="G68" s="10"/>
      <c r="H68" s="7"/>
      <c r="I68" s="7"/>
      <c r="J68" s="60"/>
      <c r="K68" s="9"/>
      <c r="L68" s="58" t="str">
        <f>IF(OR(IPRF_Lines_Edit[[#This Row],[Requested Qty]]="",IPRF_Lines_Edit[[#This Row],[Picked Qty]]=""),"",IPRF_Lines_Edit[[#This Row],[Requested Qty]]-IPRF_Lines_Edit[[#This Row],[Picked Qty]])</f>
        <v/>
      </c>
      <c r="M68" s="18" t="str" cm="1">
        <f t="array" ref="M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8" s="19" t="str" cm="1">
        <f t="array" ref="N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69" spans="1:14" ht="30" customHeight="1">
      <c r="A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69" s="6"/>
      <c r="C69" s="7"/>
      <c r="D69" s="6"/>
      <c r="E69" s="9"/>
      <c r="F69" s="10"/>
      <c r="G69" s="10"/>
      <c r="H69" s="7"/>
      <c r="I69" s="7"/>
      <c r="J69" s="60"/>
      <c r="K69" s="9"/>
      <c r="L69" s="58" t="str">
        <f>IF(OR(IPRF_Lines_Edit[[#This Row],[Requested Qty]]="",IPRF_Lines_Edit[[#This Row],[Picked Qty]]=""),"",IPRF_Lines_Edit[[#This Row],[Requested Qty]]-IPRF_Lines_Edit[[#This Row],[Picked Qty]])</f>
        <v/>
      </c>
      <c r="M69" s="18" t="str" cm="1">
        <f t="array" ref="M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69" s="19" t="str" cm="1">
        <f t="array" ref="N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0" spans="1:14" ht="30" customHeight="1">
      <c r="A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0" s="6"/>
      <c r="C70" s="7"/>
      <c r="D70" s="6"/>
      <c r="E70" s="9"/>
      <c r="F70" s="10"/>
      <c r="G70" s="10"/>
      <c r="H70" s="7"/>
      <c r="I70" s="7"/>
      <c r="J70" s="60"/>
      <c r="K70" s="9"/>
      <c r="L70" s="58" t="str">
        <f>IF(OR(IPRF_Lines_Edit[[#This Row],[Requested Qty]]="",IPRF_Lines_Edit[[#This Row],[Picked Qty]]=""),"",IPRF_Lines_Edit[[#This Row],[Requested Qty]]-IPRF_Lines_Edit[[#This Row],[Picked Qty]])</f>
        <v/>
      </c>
      <c r="M70" s="18" t="str" cm="1">
        <f t="array" ref="M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0" s="19" t="str" cm="1">
        <f t="array" ref="N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1" spans="1:14" ht="30" customHeight="1">
      <c r="A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1" s="6"/>
      <c r="C71" s="7"/>
      <c r="D71" s="6"/>
      <c r="E71" s="9"/>
      <c r="F71" s="10"/>
      <c r="G71" s="10"/>
      <c r="H71" s="7"/>
      <c r="I71" s="7"/>
      <c r="J71" s="60"/>
      <c r="K71" s="9"/>
      <c r="L71" s="58" t="str">
        <f>IF(OR(IPRF_Lines_Edit[[#This Row],[Requested Qty]]="",IPRF_Lines_Edit[[#This Row],[Picked Qty]]=""),"",IPRF_Lines_Edit[[#This Row],[Requested Qty]]-IPRF_Lines_Edit[[#This Row],[Picked Qty]])</f>
        <v/>
      </c>
      <c r="M71" s="18" t="str" cm="1">
        <f t="array" ref="M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1" s="19" t="str" cm="1">
        <f t="array" ref="N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2" spans="1:14" ht="30" customHeight="1">
      <c r="A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2" s="6"/>
      <c r="C72" s="7"/>
      <c r="D72" s="6"/>
      <c r="E72" s="9"/>
      <c r="F72" s="10"/>
      <c r="G72" s="10"/>
      <c r="H72" s="7"/>
      <c r="I72" s="7"/>
      <c r="J72" s="60"/>
      <c r="K72" s="9"/>
      <c r="L72" s="58" t="str">
        <f>IF(OR(IPRF_Lines_Edit[[#This Row],[Requested Qty]]="",IPRF_Lines_Edit[[#This Row],[Picked Qty]]=""),"",IPRF_Lines_Edit[[#This Row],[Requested Qty]]-IPRF_Lines_Edit[[#This Row],[Picked Qty]])</f>
        <v/>
      </c>
      <c r="M72" s="18" t="str" cm="1">
        <f t="array" ref="M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2" s="19" t="str" cm="1">
        <f t="array" ref="N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3" spans="1:14" ht="30" customHeight="1">
      <c r="A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3" s="6"/>
      <c r="C73" s="7"/>
      <c r="D73" s="6"/>
      <c r="E73" s="9"/>
      <c r="F73" s="10"/>
      <c r="G73" s="10"/>
      <c r="H73" s="7"/>
      <c r="I73" s="7"/>
      <c r="J73" s="60"/>
      <c r="K73" s="9"/>
      <c r="L73" s="58" t="str">
        <f>IF(OR(IPRF_Lines_Edit[[#This Row],[Requested Qty]]="",IPRF_Lines_Edit[[#This Row],[Picked Qty]]=""),"",IPRF_Lines_Edit[[#This Row],[Requested Qty]]-IPRF_Lines_Edit[[#This Row],[Picked Qty]])</f>
        <v/>
      </c>
      <c r="M73" s="18" t="str" cm="1">
        <f t="array" ref="M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3" s="19" t="str" cm="1">
        <f t="array" ref="N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4" spans="1:14" ht="30" customHeight="1">
      <c r="A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4" s="6"/>
      <c r="C74" s="7"/>
      <c r="D74" s="6"/>
      <c r="E74" s="9"/>
      <c r="F74" s="10"/>
      <c r="G74" s="10"/>
      <c r="H74" s="7"/>
      <c r="I74" s="7"/>
      <c r="J74" s="60"/>
      <c r="K74" s="9"/>
      <c r="L74" s="58" t="str">
        <f>IF(OR(IPRF_Lines_Edit[[#This Row],[Requested Qty]]="",IPRF_Lines_Edit[[#This Row],[Picked Qty]]=""),"",IPRF_Lines_Edit[[#This Row],[Requested Qty]]-IPRF_Lines_Edit[[#This Row],[Picked Qty]])</f>
        <v/>
      </c>
      <c r="M74" s="18" t="str" cm="1">
        <f t="array" ref="M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4" s="19" t="str" cm="1">
        <f t="array" ref="N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5" spans="1:14" ht="30" customHeight="1">
      <c r="A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5" s="6"/>
      <c r="C75" s="7"/>
      <c r="D75" s="6"/>
      <c r="E75" s="9"/>
      <c r="F75" s="10"/>
      <c r="G75" s="10"/>
      <c r="H75" s="7"/>
      <c r="I75" s="7"/>
      <c r="J75" s="60"/>
      <c r="K75" s="9"/>
      <c r="L75" s="58" t="str">
        <f>IF(OR(IPRF_Lines_Edit[[#This Row],[Requested Qty]]="",IPRF_Lines_Edit[[#This Row],[Picked Qty]]=""),"",IPRF_Lines_Edit[[#This Row],[Requested Qty]]-IPRF_Lines_Edit[[#This Row],[Picked Qty]])</f>
        <v/>
      </c>
      <c r="M75" s="18" t="str" cm="1">
        <f t="array" ref="M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5" s="19" t="str" cm="1">
        <f t="array" ref="N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6" spans="1:14" ht="30" customHeight="1">
      <c r="A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6" s="6"/>
      <c r="C76" s="7"/>
      <c r="D76" s="6"/>
      <c r="E76" s="9"/>
      <c r="F76" s="10"/>
      <c r="G76" s="10"/>
      <c r="H76" s="7"/>
      <c r="I76" s="7"/>
      <c r="J76" s="60"/>
      <c r="K76" s="9"/>
      <c r="L76" s="58" t="str">
        <f>IF(OR(IPRF_Lines_Edit[[#This Row],[Requested Qty]]="",IPRF_Lines_Edit[[#This Row],[Picked Qty]]=""),"",IPRF_Lines_Edit[[#This Row],[Requested Qty]]-IPRF_Lines_Edit[[#This Row],[Picked Qty]])</f>
        <v/>
      </c>
      <c r="M76" s="18" t="str" cm="1">
        <f t="array" ref="M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6" s="19" t="str" cm="1">
        <f t="array" ref="N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7" spans="1:14" ht="30" customHeight="1">
      <c r="A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7" s="6"/>
      <c r="C77" s="7"/>
      <c r="D77" s="6"/>
      <c r="E77" s="9"/>
      <c r="F77" s="10"/>
      <c r="G77" s="10"/>
      <c r="H77" s="7"/>
      <c r="I77" s="7"/>
      <c r="J77" s="60"/>
      <c r="K77" s="9"/>
      <c r="L77" s="58" t="str">
        <f>IF(OR(IPRF_Lines_Edit[[#This Row],[Requested Qty]]="",IPRF_Lines_Edit[[#This Row],[Picked Qty]]=""),"",IPRF_Lines_Edit[[#This Row],[Requested Qty]]-IPRF_Lines_Edit[[#This Row],[Picked Qty]])</f>
        <v/>
      </c>
      <c r="M77" s="18" t="str" cm="1">
        <f t="array" ref="M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7" s="19" t="str" cm="1">
        <f t="array" ref="N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8" spans="1:14" ht="30" customHeight="1">
      <c r="A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8" s="6"/>
      <c r="C78" s="7"/>
      <c r="D78" s="6"/>
      <c r="E78" s="9"/>
      <c r="F78" s="10"/>
      <c r="G78" s="10"/>
      <c r="H78" s="7"/>
      <c r="I78" s="7"/>
      <c r="J78" s="60"/>
      <c r="K78" s="9"/>
      <c r="L78" s="58" t="str">
        <f>IF(OR(IPRF_Lines_Edit[[#This Row],[Requested Qty]]="",IPRF_Lines_Edit[[#This Row],[Picked Qty]]=""),"",IPRF_Lines_Edit[[#This Row],[Requested Qty]]-IPRF_Lines_Edit[[#This Row],[Picked Qty]])</f>
        <v/>
      </c>
      <c r="M78" s="18" t="str" cm="1">
        <f t="array" ref="M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8" s="19" t="str" cm="1">
        <f t="array" ref="N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79" spans="1:14" ht="30" customHeight="1">
      <c r="A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79" s="6"/>
      <c r="C79" s="7"/>
      <c r="D79" s="6"/>
      <c r="E79" s="9"/>
      <c r="F79" s="10"/>
      <c r="G79" s="10"/>
      <c r="H79" s="7"/>
      <c r="I79" s="7"/>
      <c r="J79" s="60"/>
      <c r="K79" s="9"/>
      <c r="L79" s="58" t="str">
        <f>IF(OR(IPRF_Lines_Edit[[#This Row],[Requested Qty]]="",IPRF_Lines_Edit[[#This Row],[Picked Qty]]=""),"",IPRF_Lines_Edit[[#This Row],[Requested Qty]]-IPRF_Lines_Edit[[#This Row],[Picked Qty]])</f>
        <v/>
      </c>
      <c r="M79" s="18" t="str" cm="1">
        <f t="array" ref="M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79" s="19" t="str" cm="1">
        <f t="array" ref="N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0" spans="1:14" ht="30" customHeight="1">
      <c r="A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0" s="6"/>
      <c r="C80" s="7"/>
      <c r="D80" s="6"/>
      <c r="E80" s="9"/>
      <c r="F80" s="10"/>
      <c r="G80" s="10"/>
      <c r="H80" s="7"/>
      <c r="I80" s="7"/>
      <c r="J80" s="60"/>
      <c r="K80" s="9"/>
      <c r="L80" s="58" t="str">
        <f>IF(OR(IPRF_Lines_Edit[[#This Row],[Requested Qty]]="",IPRF_Lines_Edit[[#This Row],[Picked Qty]]=""),"",IPRF_Lines_Edit[[#This Row],[Requested Qty]]-IPRF_Lines_Edit[[#This Row],[Picked Qty]])</f>
        <v/>
      </c>
      <c r="M80" s="18" t="str" cm="1">
        <f t="array" ref="M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0" s="19" t="str" cm="1">
        <f t="array" ref="N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1" spans="1:14" ht="30" customHeight="1">
      <c r="A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1" s="6"/>
      <c r="C81" s="7"/>
      <c r="D81" s="6"/>
      <c r="E81" s="9"/>
      <c r="F81" s="10"/>
      <c r="G81" s="10"/>
      <c r="H81" s="7"/>
      <c r="I81" s="7"/>
      <c r="J81" s="60"/>
      <c r="K81" s="9"/>
      <c r="L81" s="58" t="str">
        <f>IF(OR(IPRF_Lines_Edit[[#This Row],[Requested Qty]]="",IPRF_Lines_Edit[[#This Row],[Picked Qty]]=""),"",IPRF_Lines_Edit[[#This Row],[Requested Qty]]-IPRF_Lines_Edit[[#This Row],[Picked Qty]])</f>
        <v/>
      </c>
      <c r="M81" s="18" t="str" cm="1">
        <f t="array" ref="M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1" s="19" t="str" cm="1">
        <f t="array" ref="N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2" spans="1:14" ht="30" customHeight="1">
      <c r="A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2" s="6"/>
      <c r="C82" s="7"/>
      <c r="D82" s="6"/>
      <c r="E82" s="9"/>
      <c r="F82" s="10"/>
      <c r="G82" s="10"/>
      <c r="H82" s="7"/>
      <c r="I82" s="7"/>
      <c r="J82" s="60"/>
      <c r="K82" s="9"/>
      <c r="L82" s="58" t="str">
        <f>IF(OR(IPRF_Lines_Edit[[#This Row],[Requested Qty]]="",IPRF_Lines_Edit[[#This Row],[Picked Qty]]=""),"",IPRF_Lines_Edit[[#This Row],[Requested Qty]]-IPRF_Lines_Edit[[#This Row],[Picked Qty]])</f>
        <v/>
      </c>
      <c r="M82" s="18" t="str" cm="1">
        <f t="array" ref="M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2" s="19" t="str" cm="1">
        <f t="array" ref="N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3" spans="1:14" ht="30" customHeight="1">
      <c r="A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3" s="6"/>
      <c r="C83" s="7"/>
      <c r="D83" s="6"/>
      <c r="E83" s="9"/>
      <c r="F83" s="10"/>
      <c r="G83" s="10"/>
      <c r="H83" s="7"/>
      <c r="I83" s="7"/>
      <c r="J83" s="60"/>
      <c r="K83" s="9"/>
      <c r="L83" s="58" t="str">
        <f>IF(OR(IPRF_Lines_Edit[[#This Row],[Requested Qty]]="",IPRF_Lines_Edit[[#This Row],[Picked Qty]]=""),"",IPRF_Lines_Edit[[#This Row],[Requested Qty]]-IPRF_Lines_Edit[[#This Row],[Picked Qty]])</f>
        <v/>
      </c>
      <c r="M83" s="18" t="str" cm="1">
        <f t="array" ref="M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3" s="19" t="str" cm="1">
        <f t="array" ref="N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4" spans="1:14" ht="30" customHeight="1">
      <c r="A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4" s="6"/>
      <c r="C84" s="7"/>
      <c r="D84" s="6"/>
      <c r="E84" s="9"/>
      <c r="F84" s="10"/>
      <c r="G84" s="10"/>
      <c r="H84" s="7"/>
      <c r="I84" s="7"/>
      <c r="J84" s="60"/>
      <c r="K84" s="9"/>
      <c r="L84" s="58" t="str">
        <f>IF(OR(IPRF_Lines_Edit[[#This Row],[Requested Qty]]="",IPRF_Lines_Edit[[#This Row],[Picked Qty]]=""),"",IPRF_Lines_Edit[[#This Row],[Requested Qty]]-IPRF_Lines_Edit[[#This Row],[Picked Qty]])</f>
        <v/>
      </c>
      <c r="M84" s="18" t="str" cm="1">
        <f t="array" ref="M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4" s="19" t="str" cm="1">
        <f t="array" ref="N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5" spans="1:14" ht="30" customHeight="1">
      <c r="A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5" s="6"/>
      <c r="C85" s="7"/>
      <c r="D85" s="6"/>
      <c r="E85" s="9"/>
      <c r="F85" s="10"/>
      <c r="G85" s="10"/>
      <c r="H85" s="7"/>
      <c r="I85" s="7"/>
      <c r="J85" s="60"/>
      <c r="K85" s="9"/>
      <c r="L85" s="58" t="str">
        <f>IF(OR(IPRF_Lines_Edit[[#This Row],[Requested Qty]]="",IPRF_Lines_Edit[[#This Row],[Picked Qty]]=""),"",IPRF_Lines_Edit[[#This Row],[Requested Qty]]-IPRF_Lines_Edit[[#This Row],[Picked Qty]])</f>
        <v/>
      </c>
      <c r="M85" s="18" t="str" cm="1">
        <f t="array" ref="M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5" s="19" t="str" cm="1">
        <f t="array" ref="N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6" spans="1:14" ht="30" customHeight="1">
      <c r="A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6" s="6"/>
      <c r="C86" s="7"/>
      <c r="D86" s="6"/>
      <c r="E86" s="9"/>
      <c r="F86" s="10"/>
      <c r="G86" s="10"/>
      <c r="H86" s="7"/>
      <c r="I86" s="7"/>
      <c r="J86" s="60"/>
      <c r="K86" s="9"/>
      <c r="L86" s="58" t="str">
        <f>IF(OR(IPRF_Lines_Edit[[#This Row],[Requested Qty]]="",IPRF_Lines_Edit[[#This Row],[Picked Qty]]=""),"",IPRF_Lines_Edit[[#This Row],[Requested Qty]]-IPRF_Lines_Edit[[#This Row],[Picked Qty]])</f>
        <v/>
      </c>
      <c r="M86" s="18" t="str" cm="1">
        <f t="array" ref="M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6" s="19" t="str" cm="1">
        <f t="array" ref="N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7" spans="1:14" ht="30" customHeight="1">
      <c r="A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7" s="6"/>
      <c r="C87" s="7"/>
      <c r="D87" s="6"/>
      <c r="E87" s="9"/>
      <c r="F87" s="10"/>
      <c r="G87" s="10"/>
      <c r="H87" s="7"/>
      <c r="I87" s="7"/>
      <c r="J87" s="60"/>
      <c r="K87" s="9"/>
      <c r="L87" s="58" t="str">
        <f>IF(OR(IPRF_Lines_Edit[[#This Row],[Requested Qty]]="",IPRF_Lines_Edit[[#This Row],[Picked Qty]]=""),"",IPRF_Lines_Edit[[#This Row],[Requested Qty]]-IPRF_Lines_Edit[[#This Row],[Picked Qty]])</f>
        <v/>
      </c>
      <c r="M87" s="18" t="str" cm="1">
        <f t="array" ref="M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7" s="19" t="str" cm="1">
        <f t="array" ref="N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8" spans="1:14" ht="30" customHeight="1">
      <c r="A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8" s="6"/>
      <c r="C88" s="7"/>
      <c r="D88" s="6"/>
      <c r="E88" s="9"/>
      <c r="F88" s="10"/>
      <c r="G88" s="10"/>
      <c r="H88" s="7"/>
      <c r="I88" s="7"/>
      <c r="J88" s="60"/>
      <c r="K88" s="9"/>
      <c r="L88" s="58" t="str">
        <f>IF(OR(IPRF_Lines_Edit[[#This Row],[Requested Qty]]="",IPRF_Lines_Edit[[#This Row],[Picked Qty]]=""),"",IPRF_Lines_Edit[[#This Row],[Requested Qty]]-IPRF_Lines_Edit[[#This Row],[Picked Qty]])</f>
        <v/>
      </c>
      <c r="M88" s="18" t="str" cm="1">
        <f t="array" ref="M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8" s="19" t="str" cm="1">
        <f t="array" ref="N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89" spans="1:14" ht="30" customHeight="1">
      <c r="A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89" s="6"/>
      <c r="C89" s="7"/>
      <c r="D89" s="6"/>
      <c r="E89" s="9"/>
      <c r="F89" s="10"/>
      <c r="G89" s="10"/>
      <c r="H89" s="7"/>
      <c r="I89" s="7"/>
      <c r="J89" s="60"/>
      <c r="K89" s="9"/>
      <c r="L89" s="58" t="str">
        <f>IF(OR(IPRF_Lines_Edit[[#This Row],[Requested Qty]]="",IPRF_Lines_Edit[[#This Row],[Picked Qty]]=""),"",IPRF_Lines_Edit[[#This Row],[Requested Qty]]-IPRF_Lines_Edit[[#This Row],[Picked Qty]])</f>
        <v/>
      </c>
      <c r="M89" s="18" t="str" cm="1">
        <f t="array" ref="M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89" s="19" t="str" cm="1">
        <f t="array" ref="N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0" spans="1:14" ht="30" customHeight="1">
      <c r="A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0" s="6"/>
      <c r="C90" s="7"/>
      <c r="D90" s="6"/>
      <c r="E90" s="9"/>
      <c r="F90" s="10"/>
      <c r="G90" s="10"/>
      <c r="H90" s="7"/>
      <c r="I90" s="7"/>
      <c r="J90" s="60"/>
      <c r="K90" s="9"/>
      <c r="L90" s="58" t="str">
        <f>IF(OR(IPRF_Lines_Edit[[#This Row],[Requested Qty]]="",IPRF_Lines_Edit[[#This Row],[Picked Qty]]=""),"",IPRF_Lines_Edit[[#This Row],[Requested Qty]]-IPRF_Lines_Edit[[#This Row],[Picked Qty]])</f>
        <v/>
      </c>
      <c r="M90" s="18" t="str" cm="1">
        <f t="array" ref="M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0" s="19" t="str" cm="1">
        <f t="array" ref="N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1" spans="1:14" ht="30" customHeight="1">
      <c r="A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1" s="6"/>
      <c r="C91" s="7"/>
      <c r="D91" s="6"/>
      <c r="E91" s="9"/>
      <c r="F91" s="10"/>
      <c r="G91" s="10"/>
      <c r="H91" s="7"/>
      <c r="I91" s="7"/>
      <c r="J91" s="60"/>
      <c r="K91" s="9"/>
      <c r="L91" s="58" t="str">
        <f>IF(OR(IPRF_Lines_Edit[[#This Row],[Requested Qty]]="",IPRF_Lines_Edit[[#This Row],[Picked Qty]]=""),"",IPRF_Lines_Edit[[#This Row],[Requested Qty]]-IPRF_Lines_Edit[[#This Row],[Picked Qty]])</f>
        <v/>
      </c>
      <c r="M91" s="18" t="str" cm="1">
        <f t="array" ref="M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1" s="19" t="str" cm="1">
        <f t="array" ref="N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2" spans="1:14" ht="30" customHeight="1">
      <c r="A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2" s="6"/>
      <c r="C92" s="7"/>
      <c r="D92" s="6"/>
      <c r="E92" s="9"/>
      <c r="F92" s="10"/>
      <c r="G92" s="10"/>
      <c r="H92" s="7"/>
      <c r="I92" s="7"/>
      <c r="J92" s="60"/>
      <c r="K92" s="9"/>
      <c r="L92" s="58" t="str">
        <f>IF(OR(IPRF_Lines_Edit[[#This Row],[Requested Qty]]="",IPRF_Lines_Edit[[#This Row],[Picked Qty]]=""),"",IPRF_Lines_Edit[[#This Row],[Requested Qty]]-IPRF_Lines_Edit[[#This Row],[Picked Qty]])</f>
        <v/>
      </c>
      <c r="M92" s="18" t="str" cm="1">
        <f t="array" ref="M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2" s="19" t="str" cm="1">
        <f t="array" ref="N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3" spans="1:14" ht="30" customHeight="1">
      <c r="A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3" s="6"/>
      <c r="C93" s="7"/>
      <c r="D93" s="6"/>
      <c r="E93" s="9"/>
      <c r="F93" s="10"/>
      <c r="G93" s="10"/>
      <c r="H93" s="7"/>
      <c r="I93" s="7"/>
      <c r="J93" s="60"/>
      <c r="K93" s="9"/>
      <c r="L93" s="58" t="str">
        <f>IF(OR(IPRF_Lines_Edit[[#This Row],[Requested Qty]]="",IPRF_Lines_Edit[[#This Row],[Picked Qty]]=""),"",IPRF_Lines_Edit[[#This Row],[Requested Qty]]-IPRF_Lines_Edit[[#This Row],[Picked Qty]])</f>
        <v/>
      </c>
      <c r="M93" s="18" t="str" cm="1">
        <f t="array" ref="M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3" s="19" t="str" cm="1">
        <f t="array" ref="N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4" spans="1:14" ht="30" customHeight="1">
      <c r="A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4" s="6"/>
      <c r="C94" s="7"/>
      <c r="D94" s="6"/>
      <c r="E94" s="9"/>
      <c r="F94" s="10"/>
      <c r="G94" s="10"/>
      <c r="H94" s="7"/>
      <c r="I94" s="7"/>
      <c r="J94" s="60"/>
      <c r="K94" s="9"/>
      <c r="L94" s="58" t="str">
        <f>IF(OR(IPRF_Lines_Edit[[#This Row],[Requested Qty]]="",IPRF_Lines_Edit[[#This Row],[Picked Qty]]=""),"",IPRF_Lines_Edit[[#This Row],[Requested Qty]]-IPRF_Lines_Edit[[#This Row],[Picked Qty]])</f>
        <v/>
      </c>
      <c r="M94" s="18" t="str" cm="1">
        <f t="array" ref="M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4" s="19" t="str" cm="1">
        <f t="array" ref="N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5" spans="1:14" ht="30" customHeight="1">
      <c r="A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5" s="6"/>
      <c r="C95" s="7"/>
      <c r="D95" s="6"/>
      <c r="E95" s="9"/>
      <c r="F95" s="10"/>
      <c r="G95" s="10"/>
      <c r="H95" s="7"/>
      <c r="I95" s="7"/>
      <c r="J95" s="60"/>
      <c r="K95" s="9"/>
      <c r="L95" s="58" t="str">
        <f>IF(OR(IPRF_Lines_Edit[[#This Row],[Requested Qty]]="",IPRF_Lines_Edit[[#This Row],[Picked Qty]]=""),"",IPRF_Lines_Edit[[#This Row],[Requested Qty]]-IPRF_Lines_Edit[[#This Row],[Picked Qty]])</f>
        <v/>
      </c>
      <c r="M95" s="18" t="str" cm="1">
        <f t="array" ref="M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5" s="19" t="str" cm="1">
        <f t="array" ref="N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6" spans="1:14" ht="30" customHeight="1">
      <c r="A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6" s="6"/>
      <c r="C96" s="7"/>
      <c r="D96" s="6"/>
      <c r="E96" s="9"/>
      <c r="F96" s="10"/>
      <c r="G96" s="10"/>
      <c r="H96" s="7"/>
      <c r="I96" s="7"/>
      <c r="J96" s="60"/>
      <c r="K96" s="9"/>
      <c r="L96" s="58" t="str">
        <f>IF(OR(IPRF_Lines_Edit[[#This Row],[Requested Qty]]="",IPRF_Lines_Edit[[#This Row],[Picked Qty]]=""),"",IPRF_Lines_Edit[[#This Row],[Requested Qty]]-IPRF_Lines_Edit[[#This Row],[Picked Qty]])</f>
        <v/>
      </c>
      <c r="M96" s="18" t="str" cm="1">
        <f t="array" ref="M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6" s="19" t="str" cm="1">
        <f t="array" ref="N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7" spans="1:14" ht="30" customHeight="1">
      <c r="A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7" s="6"/>
      <c r="C97" s="7"/>
      <c r="D97" s="6"/>
      <c r="E97" s="9"/>
      <c r="F97" s="10"/>
      <c r="G97" s="10"/>
      <c r="H97" s="7"/>
      <c r="I97" s="7"/>
      <c r="J97" s="60"/>
      <c r="K97" s="9"/>
      <c r="L97" s="58" t="str">
        <f>IF(OR(IPRF_Lines_Edit[[#This Row],[Requested Qty]]="",IPRF_Lines_Edit[[#This Row],[Picked Qty]]=""),"",IPRF_Lines_Edit[[#This Row],[Requested Qty]]-IPRF_Lines_Edit[[#This Row],[Picked Qty]])</f>
        <v/>
      </c>
      <c r="M97" s="18" t="str" cm="1">
        <f t="array" ref="M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7" s="19" t="str" cm="1">
        <f t="array" ref="N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8" spans="1:14" ht="30" customHeight="1">
      <c r="A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8" s="6"/>
      <c r="C98" s="7"/>
      <c r="D98" s="6"/>
      <c r="E98" s="9"/>
      <c r="F98" s="10"/>
      <c r="G98" s="10"/>
      <c r="H98" s="7"/>
      <c r="I98" s="7"/>
      <c r="J98" s="60"/>
      <c r="K98" s="9"/>
      <c r="L98" s="58" t="str">
        <f>IF(OR(IPRF_Lines_Edit[[#This Row],[Requested Qty]]="",IPRF_Lines_Edit[[#This Row],[Picked Qty]]=""),"",IPRF_Lines_Edit[[#This Row],[Requested Qty]]-IPRF_Lines_Edit[[#This Row],[Picked Qty]])</f>
        <v/>
      </c>
      <c r="M98" s="18" t="str" cm="1">
        <f t="array" ref="M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8" s="19" t="str" cm="1">
        <f t="array" ref="N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99" spans="1:14" ht="30" customHeight="1">
      <c r="A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99" s="6"/>
      <c r="C99" s="7"/>
      <c r="D99" s="6"/>
      <c r="E99" s="9"/>
      <c r="F99" s="10"/>
      <c r="G99" s="10"/>
      <c r="H99" s="7"/>
      <c r="I99" s="7"/>
      <c r="J99" s="60"/>
      <c r="K99" s="9"/>
      <c r="L99" s="58" t="str">
        <f>IF(OR(IPRF_Lines_Edit[[#This Row],[Requested Qty]]="",IPRF_Lines_Edit[[#This Row],[Picked Qty]]=""),"",IPRF_Lines_Edit[[#This Row],[Requested Qty]]-IPRF_Lines_Edit[[#This Row],[Picked Qty]])</f>
        <v/>
      </c>
      <c r="M99" s="18" t="str" cm="1">
        <f t="array" ref="M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99" s="19" t="str" cm="1">
        <f t="array" ref="N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0" spans="1:14" ht="30" customHeight="1">
      <c r="A1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0" s="6"/>
      <c r="C100" s="7"/>
      <c r="D100" s="6"/>
      <c r="E100" s="9"/>
      <c r="F100" s="10"/>
      <c r="G100" s="10"/>
      <c r="H100" s="7"/>
      <c r="I100" s="7"/>
      <c r="J100" s="60"/>
      <c r="K100" s="9"/>
      <c r="L100" s="58" t="str">
        <f>IF(OR(IPRF_Lines_Edit[[#This Row],[Requested Qty]]="",IPRF_Lines_Edit[[#This Row],[Picked Qty]]=""),"",IPRF_Lines_Edit[[#This Row],[Requested Qty]]-IPRF_Lines_Edit[[#This Row],[Picked Qty]])</f>
        <v/>
      </c>
      <c r="M100" s="18" t="str" cm="1">
        <f t="array" ref="M1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0" s="19" t="str" cm="1">
        <f t="array" ref="N1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1" spans="1:14" ht="30" customHeight="1">
      <c r="A1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1" s="6"/>
      <c r="C101" s="7"/>
      <c r="D101" s="6"/>
      <c r="E101" s="9"/>
      <c r="F101" s="10"/>
      <c r="G101" s="10"/>
      <c r="H101" s="7"/>
      <c r="I101" s="7"/>
      <c r="J101" s="60"/>
      <c r="K101" s="9"/>
      <c r="L101" s="58" t="str">
        <f>IF(OR(IPRF_Lines_Edit[[#This Row],[Requested Qty]]="",IPRF_Lines_Edit[[#This Row],[Picked Qty]]=""),"",IPRF_Lines_Edit[[#This Row],[Requested Qty]]-IPRF_Lines_Edit[[#This Row],[Picked Qty]])</f>
        <v/>
      </c>
      <c r="M101" s="18" t="str" cm="1">
        <f t="array" ref="M1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1" s="19" t="str" cm="1">
        <f t="array" ref="N1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2" spans="1:14" ht="30" customHeight="1">
      <c r="A1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2" s="6"/>
      <c r="C102" s="7"/>
      <c r="D102" s="6"/>
      <c r="E102" s="9"/>
      <c r="F102" s="10"/>
      <c r="G102" s="10"/>
      <c r="H102" s="7"/>
      <c r="I102" s="7"/>
      <c r="J102" s="60"/>
      <c r="K102" s="9"/>
      <c r="L102" s="58" t="str">
        <f>IF(OR(IPRF_Lines_Edit[[#This Row],[Requested Qty]]="",IPRF_Lines_Edit[[#This Row],[Picked Qty]]=""),"",IPRF_Lines_Edit[[#This Row],[Requested Qty]]-IPRF_Lines_Edit[[#This Row],[Picked Qty]])</f>
        <v/>
      </c>
      <c r="M102" s="18" t="str" cm="1">
        <f t="array" ref="M1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2" s="19" t="str" cm="1">
        <f t="array" ref="N1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3" spans="1:14" ht="30" customHeight="1">
      <c r="A1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3" s="6"/>
      <c r="C103" s="7"/>
      <c r="D103" s="6"/>
      <c r="E103" s="9"/>
      <c r="F103" s="10"/>
      <c r="G103" s="10"/>
      <c r="H103" s="7"/>
      <c r="I103" s="7"/>
      <c r="J103" s="60"/>
      <c r="K103" s="9"/>
      <c r="L103" s="58" t="str">
        <f>IF(OR(IPRF_Lines_Edit[[#This Row],[Requested Qty]]="",IPRF_Lines_Edit[[#This Row],[Picked Qty]]=""),"",IPRF_Lines_Edit[[#This Row],[Requested Qty]]-IPRF_Lines_Edit[[#This Row],[Picked Qty]])</f>
        <v/>
      </c>
      <c r="M103" s="18" t="str" cm="1">
        <f t="array" ref="M1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3" s="19" t="str" cm="1">
        <f t="array" ref="N1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4" spans="1:14" ht="30" customHeight="1">
      <c r="A1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4" s="6"/>
      <c r="C104" s="7"/>
      <c r="D104" s="6"/>
      <c r="E104" s="9"/>
      <c r="F104" s="10"/>
      <c r="G104" s="10"/>
      <c r="H104" s="7"/>
      <c r="I104" s="7"/>
      <c r="J104" s="60"/>
      <c r="K104" s="9"/>
      <c r="L104" s="58" t="str">
        <f>IF(OR(IPRF_Lines_Edit[[#This Row],[Requested Qty]]="",IPRF_Lines_Edit[[#This Row],[Picked Qty]]=""),"",IPRF_Lines_Edit[[#This Row],[Requested Qty]]-IPRF_Lines_Edit[[#This Row],[Picked Qty]])</f>
        <v/>
      </c>
      <c r="M104" s="18" t="str" cm="1">
        <f t="array" ref="M1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4" s="19" t="str" cm="1">
        <f t="array" ref="N1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5" spans="1:14" ht="30" customHeight="1">
      <c r="A1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5" s="6"/>
      <c r="C105" s="7"/>
      <c r="D105" s="6"/>
      <c r="E105" s="9"/>
      <c r="F105" s="10"/>
      <c r="G105" s="10"/>
      <c r="H105" s="7"/>
      <c r="I105" s="7"/>
      <c r="J105" s="60"/>
      <c r="K105" s="9"/>
      <c r="L105" s="58" t="str">
        <f>IF(OR(IPRF_Lines_Edit[[#This Row],[Requested Qty]]="",IPRF_Lines_Edit[[#This Row],[Picked Qty]]=""),"",IPRF_Lines_Edit[[#This Row],[Requested Qty]]-IPRF_Lines_Edit[[#This Row],[Picked Qty]])</f>
        <v/>
      </c>
      <c r="M105" s="18" t="str" cm="1">
        <f t="array" ref="M1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5" s="19" t="str" cm="1">
        <f t="array" ref="N1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6" spans="1:14" ht="30" customHeight="1">
      <c r="A1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6" s="6"/>
      <c r="C106" s="7"/>
      <c r="D106" s="6"/>
      <c r="E106" s="9"/>
      <c r="F106" s="10"/>
      <c r="G106" s="10"/>
      <c r="H106" s="7"/>
      <c r="I106" s="7"/>
      <c r="J106" s="60"/>
      <c r="K106" s="9"/>
      <c r="L106" s="58" t="str">
        <f>IF(OR(IPRF_Lines_Edit[[#This Row],[Requested Qty]]="",IPRF_Lines_Edit[[#This Row],[Picked Qty]]=""),"",IPRF_Lines_Edit[[#This Row],[Requested Qty]]-IPRF_Lines_Edit[[#This Row],[Picked Qty]])</f>
        <v/>
      </c>
      <c r="M106" s="18" t="str" cm="1">
        <f t="array" ref="M1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6" s="19" t="str" cm="1">
        <f t="array" ref="N1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7" spans="1:14" ht="30" customHeight="1">
      <c r="A1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7" s="6"/>
      <c r="C107" s="7"/>
      <c r="D107" s="6"/>
      <c r="E107" s="9"/>
      <c r="F107" s="10"/>
      <c r="G107" s="10"/>
      <c r="H107" s="7"/>
      <c r="I107" s="7"/>
      <c r="J107" s="60"/>
      <c r="K107" s="9"/>
      <c r="L107" s="58" t="str">
        <f>IF(OR(IPRF_Lines_Edit[[#This Row],[Requested Qty]]="",IPRF_Lines_Edit[[#This Row],[Picked Qty]]=""),"",IPRF_Lines_Edit[[#This Row],[Requested Qty]]-IPRF_Lines_Edit[[#This Row],[Picked Qty]])</f>
        <v/>
      </c>
      <c r="M107" s="18" t="str" cm="1">
        <f t="array" ref="M1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7" s="19" t="str" cm="1">
        <f t="array" ref="N1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8" spans="1:14" ht="30" customHeight="1">
      <c r="A1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8" s="6"/>
      <c r="C108" s="7"/>
      <c r="D108" s="6"/>
      <c r="E108" s="9"/>
      <c r="F108" s="10"/>
      <c r="G108" s="10"/>
      <c r="H108" s="7"/>
      <c r="I108" s="7"/>
      <c r="J108" s="60"/>
      <c r="K108" s="9"/>
      <c r="L108" s="58" t="str">
        <f>IF(OR(IPRF_Lines_Edit[[#This Row],[Requested Qty]]="",IPRF_Lines_Edit[[#This Row],[Picked Qty]]=""),"",IPRF_Lines_Edit[[#This Row],[Requested Qty]]-IPRF_Lines_Edit[[#This Row],[Picked Qty]])</f>
        <v/>
      </c>
      <c r="M108" s="18" t="str" cm="1">
        <f t="array" ref="M1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8" s="19" t="str" cm="1">
        <f t="array" ref="N1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09" spans="1:14" ht="30" customHeight="1">
      <c r="A1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09" s="6"/>
      <c r="C109" s="7"/>
      <c r="D109" s="6"/>
      <c r="E109" s="9"/>
      <c r="F109" s="10"/>
      <c r="G109" s="10"/>
      <c r="H109" s="7"/>
      <c r="I109" s="7"/>
      <c r="J109" s="60"/>
      <c r="K109" s="9"/>
      <c r="L109" s="58" t="str">
        <f>IF(OR(IPRF_Lines_Edit[[#This Row],[Requested Qty]]="",IPRF_Lines_Edit[[#This Row],[Picked Qty]]=""),"",IPRF_Lines_Edit[[#This Row],[Requested Qty]]-IPRF_Lines_Edit[[#This Row],[Picked Qty]])</f>
        <v/>
      </c>
      <c r="M109" s="18" t="str" cm="1">
        <f t="array" ref="M1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09" s="19" t="str" cm="1">
        <f t="array" ref="N1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0" spans="1:14" ht="30" customHeight="1">
      <c r="A1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0" s="6"/>
      <c r="C110" s="7"/>
      <c r="D110" s="6"/>
      <c r="E110" s="9"/>
      <c r="F110" s="10"/>
      <c r="G110" s="10"/>
      <c r="H110" s="7"/>
      <c r="I110" s="7"/>
      <c r="J110" s="60"/>
      <c r="K110" s="9"/>
      <c r="L110" s="58" t="str">
        <f>IF(OR(IPRF_Lines_Edit[[#This Row],[Requested Qty]]="",IPRF_Lines_Edit[[#This Row],[Picked Qty]]=""),"",IPRF_Lines_Edit[[#This Row],[Requested Qty]]-IPRF_Lines_Edit[[#This Row],[Picked Qty]])</f>
        <v/>
      </c>
      <c r="M110" s="18" t="str" cm="1">
        <f t="array" ref="M1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0" s="19" t="str" cm="1">
        <f t="array" ref="N1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1" spans="1:14" ht="30" customHeight="1">
      <c r="A1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1" s="6"/>
      <c r="C111" s="7"/>
      <c r="D111" s="6"/>
      <c r="E111" s="9"/>
      <c r="F111" s="10"/>
      <c r="G111" s="10"/>
      <c r="H111" s="7"/>
      <c r="I111" s="7"/>
      <c r="J111" s="60"/>
      <c r="K111" s="9"/>
      <c r="L111" s="58" t="str">
        <f>IF(OR(IPRF_Lines_Edit[[#This Row],[Requested Qty]]="",IPRF_Lines_Edit[[#This Row],[Picked Qty]]=""),"",IPRF_Lines_Edit[[#This Row],[Requested Qty]]-IPRF_Lines_Edit[[#This Row],[Picked Qty]])</f>
        <v/>
      </c>
      <c r="M111" s="18" t="str" cm="1">
        <f t="array" ref="M1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1" s="19" t="str" cm="1">
        <f t="array" ref="N1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2" spans="1:14" ht="30" customHeight="1">
      <c r="A1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2" s="6"/>
      <c r="C112" s="7"/>
      <c r="D112" s="6"/>
      <c r="E112" s="9"/>
      <c r="F112" s="10"/>
      <c r="G112" s="10"/>
      <c r="H112" s="7"/>
      <c r="I112" s="7"/>
      <c r="J112" s="60"/>
      <c r="K112" s="9"/>
      <c r="L112" s="58" t="str">
        <f>IF(OR(IPRF_Lines_Edit[[#This Row],[Requested Qty]]="",IPRF_Lines_Edit[[#This Row],[Picked Qty]]=""),"",IPRF_Lines_Edit[[#This Row],[Requested Qty]]-IPRF_Lines_Edit[[#This Row],[Picked Qty]])</f>
        <v/>
      </c>
      <c r="M112" s="18" t="str" cm="1">
        <f t="array" ref="M1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2" s="19" t="str" cm="1">
        <f t="array" ref="N1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3" spans="1:14" ht="30" customHeight="1">
      <c r="A1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3" s="6"/>
      <c r="C113" s="7"/>
      <c r="D113" s="6"/>
      <c r="E113" s="9"/>
      <c r="F113" s="10"/>
      <c r="G113" s="10"/>
      <c r="H113" s="7"/>
      <c r="I113" s="7"/>
      <c r="J113" s="60"/>
      <c r="K113" s="9"/>
      <c r="L113" s="58" t="str">
        <f>IF(OR(IPRF_Lines_Edit[[#This Row],[Requested Qty]]="",IPRF_Lines_Edit[[#This Row],[Picked Qty]]=""),"",IPRF_Lines_Edit[[#This Row],[Requested Qty]]-IPRF_Lines_Edit[[#This Row],[Picked Qty]])</f>
        <v/>
      </c>
      <c r="M113" s="18" t="str" cm="1">
        <f t="array" ref="M1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3" s="19" t="str" cm="1">
        <f t="array" ref="N1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4" spans="1:14" ht="30" customHeight="1">
      <c r="A1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4" s="6"/>
      <c r="C114" s="7"/>
      <c r="D114" s="6"/>
      <c r="E114" s="9"/>
      <c r="F114" s="10"/>
      <c r="G114" s="10"/>
      <c r="H114" s="7"/>
      <c r="I114" s="7"/>
      <c r="J114" s="60"/>
      <c r="K114" s="9"/>
      <c r="L114" s="58" t="str">
        <f>IF(OR(IPRF_Lines_Edit[[#This Row],[Requested Qty]]="",IPRF_Lines_Edit[[#This Row],[Picked Qty]]=""),"",IPRF_Lines_Edit[[#This Row],[Requested Qty]]-IPRF_Lines_Edit[[#This Row],[Picked Qty]])</f>
        <v/>
      </c>
      <c r="M114" s="18" t="str" cm="1">
        <f t="array" ref="M1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4" s="19" t="str" cm="1">
        <f t="array" ref="N1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5" spans="1:14" ht="30" customHeight="1">
      <c r="A1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5" s="6"/>
      <c r="C115" s="7"/>
      <c r="D115" s="6"/>
      <c r="E115" s="9"/>
      <c r="F115" s="10"/>
      <c r="G115" s="10"/>
      <c r="H115" s="7"/>
      <c r="I115" s="7"/>
      <c r="J115" s="60"/>
      <c r="K115" s="9"/>
      <c r="L115" s="58" t="str">
        <f>IF(OR(IPRF_Lines_Edit[[#This Row],[Requested Qty]]="",IPRF_Lines_Edit[[#This Row],[Picked Qty]]=""),"",IPRF_Lines_Edit[[#This Row],[Requested Qty]]-IPRF_Lines_Edit[[#This Row],[Picked Qty]])</f>
        <v/>
      </c>
      <c r="M115" s="18" t="str" cm="1">
        <f t="array" ref="M1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5" s="19" t="str" cm="1">
        <f t="array" ref="N1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6" spans="1:14" ht="30" customHeight="1">
      <c r="A1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6" s="6"/>
      <c r="C116" s="7"/>
      <c r="D116" s="6"/>
      <c r="E116" s="9"/>
      <c r="F116" s="10"/>
      <c r="G116" s="10"/>
      <c r="H116" s="7"/>
      <c r="I116" s="7"/>
      <c r="J116" s="60"/>
      <c r="K116" s="9"/>
      <c r="L116" s="58" t="str">
        <f>IF(OR(IPRF_Lines_Edit[[#This Row],[Requested Qty]]="",IPRF_Lines_Edit[[#This Row],[Picked Qty]]=""),"",IPRF_Lines_Edit[[#This Row],[Requested Qty]]-IPRF_Lines_Edit[[#This Row],[Picked Qty]])</f>
        <v/>
      </c>
      <c r="M116" s="18" t="str" cm="1">
        <f t="array" ref="M1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6" s="19" t="str" cm="1">
        <f t="array" ref="N1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7" spans="1:14" ht="30" customHeight="1">
      <c r="A1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7" s="6"/>
      <c r="C117" s="7"/>
      <c r="D117" s="6"/>
      <c r="E117" s="9"/>
      <c r="F117" s="10"/>
      <c r="G117" s="10"/>
      <c r="H117" s="7"/>
      <c r="I117" s="7"/>
      <c r="J117" s="60"/>
      <c r="K117" s="9"/>
      <c r="L117" s="58" t="str">
        <f>IF(OR(IPRF_Lines_Edit[[#This Row],[Requested Qty]]="",IPRF_Lines_Edit[[#This Row],[Picked Qty]]=""),"",IPRF_Lines_Edit[[#This Row],[Requested Qty]]-IPRF_Lines_Edit[[#This Row],[Picked Qty]])</f>
        <v/>
      </c>
      <c r="M117" s="18" t="str" cm="1">
        <f t="array" ref="M1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7" s="19" t="str" cm="1">
        <f t="array" ref="N1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8" spans="1:14" ht="30" customHeight="1">
      <c r="A1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8" s="6"/>
      <c r="C118" s="7"/>
      <c r="D118" s="6"/>
      <c r="E118" s="9"/>
      <c r="F118" s="10"/>
      <c r="G118" s="10"/>
      <c r="H118" s="7"/>
      <c r="I118" s="7"/>
      <c r="J118" s="60"/>
      <c r="K118" s="9"/>
      <c r="L118" s="58" t="str">
        <f>IF(OR(IPRF_Lines_Edit[[#This Row],[Requested Qty]]="",IPRF_Lines_Edit[[#This Row],[Picked Qty]]=""),"",IPRF_Lines_Edit[[#This Row],[Requested Qty]]-IPRF_Lines_Edit[[#This Row],[Picked Qty]])</f>
        <v/>
      </c>
      <c r="M118" s="18" t="str" cm="1">
        <f t="array" ref="M1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8" s="19" t="str" cm="1">
        <f t="array" ref="N1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19" spans="1:14" ht="30" customHeight="1">
      <c r="A1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19" s="6"/>
      <c r="C119" s="7"/>
      <c r="D119" s="6"/>
      <c r="E119" s="9"/>
      <c r="F119" s="10"/>
      <c r="G119" s="10"/>
      <c r="H119" s="7"/>
      <c r="I119" s="7"/>
      <c r="J119" s="60"/>
      <c r="K119" s="9"/>
      <c r="L119" s="58" t="str">
        <f>IF(OR(IPRF_Lines_Edit[[#This Row],[Requested Qty]]="",IPRF_Lines_Edit[[#This Row],[Picked Qty]]=""),"",IPRF_Lines_Edit[[#This Row],[Requested Qty]]-IPRF_Lines_Edit[[#This Row],[Picked Qty]])</f>
        <v/>
      </c>
      <c r="M119" s="18" t="str" cm="1">
        <f t="array" ref="M1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19" s="19" t="str" cm="1">
        <f t="array" ref="N1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0" spans="1:14" ht="30" customHeight="1">
      <c r="A1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0" s="6"/>
      <c r="C120" s="7"/>
      <c r="D120" s="6"/>
      <c r="E120" s="9"/>
      <c r="F120" s="10"/>
      <c r="G120" s="10"/>
      <c r="H120" s="7"/>
      <c r="I120" s="7"/>
      <c r="J120" s="60"/>
      <c r="K120" s="9"/>
      <c r="L120" s="58" t="str">
        <f>IF(OR(IPRF_Lines_Edit[[#This Row],[Requested Qty]]="",IPRF_Lines_Edit[[#This Row],[Picked Qty]]=""),"",IPRF_Lines_Edit[[#This Row],[Requested Qty]]-IPRF_Lines_Edit[[#This Row],[Picked Qty]])</f>
        <v/>
      </c>
      <c r="M120" s="18" t="str" cm="1">
        <f t="array" ref="M1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0" s="19" t="str" cm="1">
        <f t="array" ref="N1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1" spans="1:14" ht="30" customHeight="1">
      <c r="A1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1" s="6"/>
      <c r="C121" s="7"/>
      <c r="D121" s="6"/>
      <c r="E121" s="9"/>
      <c r="F121" s="10"/>
      <c r="G121" s="10"/>
      <c r="H121" s="7"/>
      <c r="I121" s="7"/>
      <c r="J121" s="60"/>
      <c r="K121" s="9"/>
      <c r="L121" s="58" t="str">
        <f>IF(OR(IPRF_Lines_Edit[[#This Row],[Requested Qty]]="",IPRF_Lines_Edit[[#This Row],[Picked Qty]]=""),"",IPRF_Lines_Edit[[#This Row],[Requested Qty]]-IPRF_Lines_Edit[[#This Row],[Picked Qty]])</f>
        <v/>
      </c>
      <c r="M121" s="18" t="str" cm="1">
        <f t="array" ref="M1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1" s="19" t="str" cm="1">
        <f t="array" ref="N1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2" spans="1:14" ht="30" customHeight="1">
      <c r="A1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2" s="6"/>
      <c r="C122" s="7"/>
      <c r="D122" s="6"/>
      <c r="E122" s="9"/>
      <c r="F122" s="10"/>
      <c r="G122" s="10"/>
      <c r="H122" s="7"/>
      <c r="I122" s="7"/>
      <c r="J122" s="60"/>
      <c r="K122" s="9"/>
      <c r="L122" s="58" t="str">
        <f>IF(OR(IPRF_Lines_Edit[[#This Row],[Requested Qty]]="",IPRF_Lines_Edit[[#This Row],[Picked Qty]]=""),"",IPRF_Lines_Edit[[#This Row],[Requested Qty]]-IPRF_Lines_Edit[[#This Row],[Picked Qty]])</f>
        <v/>
      </c>
      <c r="M122" s="18" t="str" cm="1">
        <f t="array" ref="M1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2" s="19" t="str" cm="1">
        <f t="array" ref="N1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3" spans="1:14" ht="30" customHeight="1">
      <c r="A1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3" s="6"/>
      <c r="C123" s="7"/>
      <c r="D123" s="6"/>
      <c r="E123" s="9"/>
      <c r="F123" s="10"/>
      <c r="G123" s="10"/>
      <c r="H123" s="7"/>
      <c r="I123" s="7"/>
      <c r="J123" s="60"/>
      <c r="K123" s="9"/>
      <c r="L123" s="58" t="str">
        <f>IF(OR(IPRF_Lines_Edit[[#This Row],[Requested Qty]]="",IPRF_Lines_Edit[[#This Row],[Picked Qty]]=""),"",IPRF_Lines_Edit[[#This Row],[Requested Qty]]-IPRF_Lines_Edit[[#This Row],[Picked Qty]])</f>
        <v/>
      </c>
      <c r="M123" s="18" t="str" cm="1">
        <f t="array" ref="M1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3" s="19" t="str" cm="1">
        <f t="array" ref="N1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4" spans="1:14" ht="30" customHeight="1">
      <c r="A1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4" s="6"/>
      <c r="C124" s="7"/>
      <c r="D124" s="6"/>
      <c r="E124" s="9"/>
      <c r="F124" s="10"/>
      <c r="G124" s="10"/>
      <c r="H124" s="7"/>
      <c r="I124" s="7"/>
      <c r="J124" s="60"/>
      <c r="K124" s="9"/>
      <c r="L124" s="58" t="str">
        <f>IF(OR(IPRF_Lines_Edit[[#This Row],[Requested Qty]]="",IPRF_Lines_Edit[[#This Row],[Picked Qty]]=""),"",IPRF_Lines_Edit[[#This Row],[Requested Qty]]-IPRF_Lines_Edit[[#This Row],[Picked Qty]])</f>
        <v/>
      </c>
      <c r="M124" s="18" t="str" cm="1">
        <f t="array" ref="M1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4" s="19" t="str" cm="1">
        <f t="array" ref="N1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5" spans="1:14" ht="30" customHeight="1">
      <c r="A1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5" s="6"/>
      <c r="C125" s="7"/>
      <c r="D125" s="6"/>
      <c r="E125" s="9"/>
      <c r="F125" s="10"/>
      <c r="G125" s="10"/>
      <c r="H125" s="7"/>
      <c r="I125" s="7"/>
      <c r="J125" s="60"/>
      <c r="K125" s="9"/>
      <c r="L125" s="58" t="str">
        <f>IF(OR(IPRF_Lines_Edit[[#This Row],[Requested Qty]]="",IPRF_Lines_Edit[[#This Row],[Picked Qty]]=""),"",IPRF_Lines_Edit[[#This Row],[Requested Qty]]-IPRF_Lines_Edit[[#This Row],[Picked Qty]])</f>
        <v/>
      </c>
      <c r="M125" s="18" t="str" cm="1">
        <f t="array" ref="M1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5" s="19" t="str" cm="1">
        <f t="array" ref="N1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6" spans="1:14" ht="30" customHeight="1">
      <c r="A1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6" s="6"/>
      <c r="C126" s="7"/>
      <c r="D126" s="6"/>
      <c r="E126" s="9"/>
      <c r="F126" s="10"/>
      <c r="G126" s="10"/>
      <c r="H126" s="7"/>
      <c r="I126" s="7"/>
      <c r="J126" s="60"/>
      <c r="K126" s="9"/>
      <c r="L126" s="58" t="str">
        <f>IF(OR(IPRF_Lines_Edit[[#This Row],[Requested Qty]]="",IPRF_Lines_Edit[[#This Row],[Picked Qty]]=""),"",IPRF_Lines_Edit[[#This Row],[Requested Qty]]-IPRF_Lines_Edit[[#This Row],[Picked Qty]])</f>
        <v/>
      </c>
      <c r="M126" s="18" t="str" cm="1">
        <f t="array" ref="M1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6" s="19" t="str" cm="1">
        <f t="array" ref="N1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7" spans="1:14" ht="30" customHeight="1">
      <c r="A1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7" s="6"/>
      <c r="C127" s="7"/>
      <c r="D127" s="6"/>
      <c r="E127" s="9"/>
      <c r="F127" s="10"/>
      <c r="G127" s="10"/>
      <c r="H127" s="7"/>
      <c r="I127" s="7"/>
      <c r="J127" s="60"/>
      <c r="K127" s="9"/>
      <c r="L127" s="58" t="str">
        <f>IF(OR(IPRF_Lines_Edit[[#This Row],[Requested Qty]]="",IPRF_Lines_Edit[[#This Row],[Picked Qty]]=""),"",IPRF_Lines_Edit[[#This Row],[Requested Qty]]-IPRF_Lines_Edit[[#This Row],[Picked Qty]])</f>
        <v/>
      </c>
      <c r="M127" s="18" t="str" cm="1">
        <f t="array" ref="M1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7" s="19" t="str" cm="1">
        <f t="array" ref="N1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8" spans="1:14" ht="30" customHeight="1">
      <c r="A1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8" s="6"/>
      <c r="C128" s="7"/>
      <c r="D128" s="6"/>
      <c r="E128" s="9"/>
      <c r="F128" s="10"/>
      <c r="G128" s="10"/>
      <c r="H128" s="7"/>
      <c r="I128" s="7"/>
      <c r="J128" s="60"/>
      <c r="K128" s="9"/>
      <c r="L128" s="58" t="str">
        <f>IF(OR(IPRF_Lines_Edit[[#This Row],[Requested Qty]]="",IPRF_Lines_Edit[[#This Row],[Picked Qty]]=""),"",IPRF_Lines_Edit[[#This Row],[Requested Qty]]-IPRF_Lines_Edit[[#This Row],[Picked Qty]])</f>
        <v/>
      </c>
      <c r="M128" s="18" t="str" cm="1">
        <f t="array" ref="M1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8" s="19" t="str" cm="1">
        <f t="array" ref="N1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29" spans="1:14" ht="30" customHeight="1">
      <c r="A1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29" s="6"/>
      <c r="C129" s="7"/>
      <c r="D129" s="6"/>
      <c r="E129" s="9"/>
      <c r="F129" s="10"/>
      <c r="G129" s="10"/>
      <c r="H129" s="7"/>
      <c r="I129" s="7"/>
      <c r="J129" s="60"/>
      <c r="K129" s="9"/>
      <c r="L129" s="58" t="str">
        <f>IF(OR(IPRF_Lines_Edit[[#This Row],[Requested Qty]]="",IPRF_Lines_Edit[[#This Row],[Picked Qty]]=""),"",IPRF_Lines_Edit[[#This Row],[Requested Qty]]-IPRF_Lines_Edit[[#This Row],[Picked Qty]])</f>
        <v/>
      </c>
      <c r="M129" s="18" t="str" cm="1">
        <f t="array" ref="M1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29" s="19" t="str" cm="1">
        <f t="array" ref="N1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0" spans="1:14" ht="30" customHeight="1">
      <c r="A1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0" s="6"/>
      <c r="C130" s="7"/>
      <c r="D130" s="6"/>
      <c r="E130" s="9"/>
      <c r="F130" s="10"/>
      <c r="G130" s="10"/>
      <c r="H130" s="7"/>
      <c r="I130" s="7"/>
      <c r="J130" s="60"/>
      <c r="K130" s="9"/>
      <c r="L130" s="58" t="str">
        <f>IF(OR(IPRF_Lines_Edit[[#This Row],[Requested Qty]]="",IPRF_Lines_Edit[[#This Row],[Picked Qty]]=""),"",IPRF_Lines_Edit[[#This Row],[Requested Qty]]-IPRF_Lines_Edit[[#This Row],[Picked Qty]])</f>
        <v/>
      </c>
      <c r="M130" s="18" t="str" cm="1">
        <f t="array" ref="M1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0" s="19" t="str" cm="1">
        <f t="array" ref="N1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1" spans="1:14" ht="30" customHeight="1">
      <c r="A1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1" s="6"/>
      <c r="C131" s="7"/>
      <c r="D131" s="6"/>
      <c r="E131" s="9"/>
      <c r="F131" s="10"/>
      <c r="G131" s="10"/>
      <c r="H131" s="7"/>
      <c r="I131" s="7"/>
      <c r="J131" s="60"/>
      <c r="K131" s="9"/>
      <c r="L131" s="58" t="str">
        <f>IF(OR(IPRF_Lines_Edit[[#This Row],[Requested Qty]]="",IPRF_Lines_Edit[[#This Row],[Picked Qty]]=""),"",IPRF_Lines_Edit[[#This Row],[Requested Qty]]-IPRF_Lines_Edit[[#This Row],[Picked Qty]])</f>
        <v/>
      </c>
      <c r="M131" s="18" t="str" cm="1">
        <f t="array" ref="M1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1" s="19" t="str" cm="1">
        <f t="array" ref="N1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2" spans="1:14" ht="30" customHeight="1">
      <c r="A1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2" s="6"/>
      <c r="C132" s="7"/>
      <c r="D132" s="6"/>
      <c r="E132" s="9"/>
      <c r="F132" s="10"/>
      <c r="G132" s="10"/>
      <c r="H132" s="7"/>
      <c r="I132" s="7"/>
      <c r="J132" s="60"/>
      <c r="K132" s="9"/>
      <c r="L132" s="58" t="str">
        <f>IF(OR(IPRF_Lines_Edit[[#This Row],[Requested Qty]]="",IPRF_Lines_Edit[[#This Row],[Picked Qty]]=""),"",IPRF_Lines_Edit[[#This Row],[Requested Qty]]-IPRF_Lines_Edit[[#This Row],[Picked Qty]])</f>
        <v/>
      </c>
      <c r="M132" s="18" t="str" cm="1">
        <f t="array" ref="M1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2" s="19" t="str" cm="1">
        <f t="array" ref="N1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3" spans="1:14" ht="30" customHeight="1">
      <c r="A1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3" s="6"/>
      <c r="C133" s="7"/>
      <c r="D133" s="6"/>
      <c r="E133" s="9"/>
      <c r="F133" s="10"/>
      <c r="G133" s="10"/>
      <c r="H133" s="7"/>
      <c r="I133" s="7"/>
      <c r="J133" s="60"/>
      <c r="K133" s="9"/>
      <c r="L133" s="58" t="str">
        <f>IF(OR(IPRF_Lines_Edit[[#This Row],[Requested Qty]]="",IPRF_Lines_Edit[[#This Row],[Picked Qty]]=""),"",IPRF_Lines_Edit[[#This Row],[Requested Qty]]-IPRF_Lines_Edit[[#This Row],[Picked Qty]])</f>
        <v/>
      </c>
      <c r="M133" s="18" t="str" cm="1">
        <f t="array" ref="M1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3" s="19" t="str" cm="1">
        <f t="array" ref="N1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4" spans="1:14" ht="30" customHeight="1">
      <c r="A1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4" s="6"/>
      <c r="C134" s="7"/>
      <c r="D134" s="6"/>
      <c r="E134" s="9"/>
      <c r="F134" s="10"/>
      <c r="G134" s="10"/>
      <c r="H134" s="7"/>
      <c r="I134" s="7"/>
      <c r="J134" s="60"/>
      <c r="K134" s="9"/>
      <c r="L134" s="58" t="str">
        <f>IF(OR(IPRF_Lines_Edit[[#This Row],[Requested Qty]]="",IPRF_Lines_Edit[[#This Row],[Picked Qty]]=""),"",IPRF_Lines_Edit[[#This Row],[Requested Qty]]-IPRF_Lines_Edit[[#This Row],[Picked Qty]])</f>
        <v/>
      </c>
      <c r="M134" s="18" t="str" cm="1">
        <f t="array" ref="M1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4" s="19" t="str" cm="1">
        <f t="array" ref="N1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5" spans="1:14" ht="30" customHeight="1">
      <c r="A1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5" s="6"/>
      <c r="C135" s="7"/>
      <c r="D135" s="6"/>
      <c r="E135" s="9"/>
      <c r="F135" s="10"/>
      <c r="G135" s="10"/>
      <c r="H135" s="7"/>
      <c r="I135" s="7"/>
      <c r="J135" s="60"/>
      <c r="K135" s="9"/>
      <c r="L135" s="58" t="str">
        <f>IF(OR(IPRF_Lines_Edit[[#This Row],[Requested Qty]]="",IPRF_Lines_Edit[[#This Row],[Picked Qty]]=""),"",IPRF_Lines_Edit[[#This Row],[Requested Qty]]-IPRF_Lines_Edit[[#This Row],[Picked Qty]])</f>
        <v/>
      </c>
      <c r="M135" s="18" t="str" cm="1">
        <f t="array" ref="M1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5" s="19" t="str" cm="1">
        <f t="array" ref="N1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6" spans="1:14" ht="30" customHeight="1">
      <c r="A1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6" s="6"/>
      <c r="C136" s="7"/>
      <c r="D136" s="6"/>
      <c r="E136" s="9"/>
      <c r="F136" s="10"/>
      <c r="G136" s="10"/>
      <c r="H136" s="7"/>
      <c r="I136" s="7"/>
      <c r="J136" s="60"/>
      <c r="K136" s="9"/>
      <c r="L136" s="58" t="str">
        <f>IF(OR(IPRF_Lines_Edit[[#This Row],[Requested Qty]]="",IPRF_Lines_Edit[[#This Row],[Picked Qty]]=""),"",IPRF_Lines_Edit[[#This Row],[Requested Qty]]-IPRF_Lines_Edit[[#This Row],[Picked Qty]])</f>
        <v/>
      </c>
      <c r="M136" s="18" t="str" cm="1">
        <f t="array" ref="M1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6" s="19" t="str" cm="1">
        <f t="array" ref="N1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7" spans="1:14" ht="30" customHeight="1">
      <c r="A1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7" s="6"/>
      <c r="C137" s="7"/>
      <c r="D137" s="6"/>
      <c r="E137" s="9"/>
      <c r="F137" s="10"/>
      <c r="G137" s="10"/>
      <c r="H137" s="7"/>
      <c r="I137" s="7"/>
      <c r="J137" s="60"/>
      <c r="K137" s="9"/>
      <c r="L137" s="58" t="str">
        <f>IF(OR(IPRF_Lines_Edit[[#This Row],[Requested Qty]]="",IPRF_Lines_Edit[[#This Row],[Picked Qty]]=""),"",IPRF_Lines_Edit[[#This Row],[Requested Qty]]-IPRF_Lines_Edit[[#This Row],[Picked Qty]])</f>
        <v/>
      </c>
      <c r="M137" s="18" t="str" cm="1">
        <f t="array" ref="M1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7" s="19" t="str" cm="1">
        <f t="array" ref="N1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8" spans="1:14" ht="30" customHeight="1">
      <c r="A1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8" s="6"/>
      <c r="C138" s="7"/>
      <c r="D138" s="6"/>
      <c r="E138" s="9"/>
      <c r="F138" s="10"/>
      <c r="G138" s="10"/>
      <c r="H138" s="7"/>
      <c r="I138" s="7"/>
      <c r="J138" s="60"/>
      <c r="K138" s="9"/>
      <c r="L138" s="58" t="str">
        <f>IF(OR(IPRF_Lines_Edit[[#This Row],[Requested Qty]]="",IPRF_Lines_Edit[[#This Row],[Picked Qty]]=""),"",IPRF_Lines_Edit[[#This Row],[Requested Qty]]-IPRF_Lines_Edit[[#This Row],[Picked Qty]])</f>
        <v/>
      </c>
      <c r="M138" s="18" t="str" cm="1">
        <f t="array" ref="M1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8" s="19" t="str" cm="1">
        <f t="array" ref="N1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39" spans="1:14" ht="30" customHeight="1">
      <c r="A1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39" s="6"/>
      <c r="C139" s="7"/>
      <c r="D139" s="6"/>
      <c r="E139" s="9"/>
      <c r="F139" s="10"/>
      <c r="G139" s="10"/>
      <c r="H139" s="7"/>
      <c r="I139" s="7"/>
      <c r="J139" s="60"/>
      <c r="K139" s="9"/>
      <c r="L139" s="58" t="str">
        <f>IF(OR(IPRF_Lines_Edit[[#This Row],[Requested Qty]]="",IPRF_Lines_Edit[[#This Row],[Picked Qty]]=""),"",IPRF_Lines_Edit[[#This Row],[Requested Qty]]-IPRF_Lines_Edit[[#This Row],[Picked Qty]])</f>
        <v/>
      </c>
      <c r="M139" s="18" t="str" cm="1">
        <f t="array" ref="M1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39" s="19" t="str" cm="1">
        <f t="array" ref="N1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0" spans="1:14" ht="30" customHeight="1">
      <c r="A1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0" s="6"/>
      <c r="C140" s="7"/>
      <c r="D140" s="6"/>
      <c r="E140" s="9"/>
      <c r="F140" s="10"/>
      <c r="G140" s="10"/>
      <c r="H140" s="7"/>
      <c r="I140" s="7"/>
      <c r="J140" s="60"/>
      <c r="K140" s="9"/>
      <c r="L140" s="58" t="str">
        <f>IF(OR(IPRF_Lines_Edit[[#This Row],[Requested Qty]]="",IPRF_Lines_Edit[[#This Row],[Picked Qty]]=""),"",IPRF_Lines_Edit[[#This Row],[Requested Qty]]-IPRF_Lines_Edit[[#This Row],[Picked Qty]])</f>
        <v/>
      </c>
      <c r="M140" s="18" t="str" cm="1">
        <f t="array" ref="M1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0" s="19" t="str" cm="1">
        <f t="array" ref="N1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1" spans="1:14" ht="30" customHeight="1">
      <c r="A1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1" s="6"/>
      <c r="C141" s="7"/>
      <c r="D141" s="6"/>
      <c r="E141" s="9"/>
      <c r="F141" s="10"/>
      <c r="G141" s="10"/>
      <c r="H141" s="7"/>
      <c r="I141" s="7"/>
      <c r="J141" s="60"/>
      <c r="K141" s="9"/>
      <c r="L141" s="58" t="str">
        <f>IF(OR(IPRF_Lines_Edit[[#This Row],[Requested Qty]]="",IPRF_Lines_Edit[[#This Row],[Picked Qty]]=""),"",IPRF_Lines_Edit[[#This Row],[Requested Qty]]-IPRF_Lines_Edit[[#This Row],[Picked Qty]])</f>
        <v/>
      </c>
      <c r="M141" s="18" t="str" cm="1">
        <f t="array" ref="M1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1" s="19" t="str" cm="1">
        <f t="array" ref="N1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2" spans="1:14" ht="30" customHeight="1">
      <c r="A1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2" s="6"/>
      <c r="C142" s="7"/>
      <c r="D142" s="6"/>
      <c r="E142" s="9"/>
      <c r="F142" s="10"/>
      <c r="G142" s="10"/>
      <c r="H142" s="7"/>
      <c r="I142" s="7"/>
      <c r="J142" s="60"/>
      <c r="K142" s="9"/>
      <c r="L142" s="58" t="str">
        <f>IF(OR(IPRF_Lines_Edit[[#This Row],[Requested Qty]]="",IPRF_Lines_Edit[[#This Row],[Picked Qty]]=""),"",IPRF_Lines_Edit[[#This Row],[Requested Qty]]-IPRF_Lines_Edit[[#This Row],[Picked Qty]])</f>
        <v/>
      </c>
      <c r="M142" s="18" t="str" cm="1">
        <f t="array" ref="M1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2" s="19" t="str" cm="1">
        <f t="array" ref="N1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3" spans="1:14" ht="30" customHeight="1">
      <c r="A1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3" s="6"/>
      <c r="C143" s="7"/>
      <c r="D143" s="6"/>
      <c r="E143" s="9"/>
      <c r="F143" s="10"/>
      <c r="G143" s="10"/>
      <c r="H143" s="7"/>
      <c r="I143" s="7"/>
      <c r="J143" s="60"/>
      <c r="K143" s="9"/>
      <c r="L143" s="58" t="str">
        <f>IF(OR(IPRF_Lines_Edit[[#This Row],[Requested Qty]]="",IPRF_Lines_Edit[[#This Row],[Picked Qty]]=""),"",IPRF_Lines_Edit[[#This Row],[Requested Qty]]-IPRF_Lines_Edit[[#This Row],[Picked Qty]])</f>
        <v/>
      </c>
      <c r="M143" s="18" t="str" cm="1">
        <f t="array" ref="M1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3" s="19" t="str" cm="1">
        <f t="array" ref="N1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4" spans="1:14" ht="30" customHeight="1">
      <c r="A1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4" s="6"/>
      <c r="C144" s="7"/>
      <c r="D144" s="6"/>
      <c r="E144" s="9"/>
      <c r="F144" s="10"/>
      <c r="G144" s="10"/>
      <c r="H144" s="7"/>
      <c r="I144" s="7"/>
      <c r="J144" s="60"/>
      <c r="K144" s="9"/>
      <c r="L144" s="58" t="str">
        <f>IF(OR(IPRF_Lines_Edit[[#This Row],[Requested Qty]]="",IPRF_Lines_Edit[[#This Row],[Picked Qty]]=""),"",IPRF_Lines_Edit[[#This Row],[Requested Qty]]-IPRF_Lines_Edit[[#This Row],[Picked Qty]])</f>
        <v/>
      </c>
      <c r="M144" s="18" t="str" cm="1">
        <f t="array" ref="M1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4" s="19" t="str" cm="1">
        <f t="array" ref="N1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5" spans="1:14" ht="30" customHeight="1">
      <c r="A1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5" s="6"/>
      <c r="C145" s="7"/>
      <c r="D145" s="6"/>
      <c r="E145" s="9"/>
      <c r="F145" s="10"/>
      <c r="G145" s="10"/>
      <c r="H145" s="7"/>
      <c r="I145" s="7"/>
      <c r="J145" s="60"/>
      <c r="K145" s="9"/>
      <c r="L145" s="58" t="str">
        <f>IF(OR(IPRF_Lines_Edit[[#This Row],[Requested Qty]]="",IPRF_Lines_Edit[[#This Row],[Picked Qty]]=""),"",IPRF_Lines_Edit[[#This Row],[Requested Qty]]-IPRF_Lines_Edit[[#This Row],[Picked Qty]])</f>
        <v/>
      </c>
      <c r="M145" s="18" t="str" cm="1">
        <f t="array" ref="M1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5" s="19" t="str" cm="1">
        <f t="array" ref="N1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6" spans="1:14" ht="30" customHeight="1">
      <c r="A1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6" s="6"/>
      <c r="C146" s="7"/>
      <c r="D146" s="6"/>
      <c r="E146" s="9"/>
      <c r="F146" s="10"/>
      <c r="G146" s="10"/>
      <c r="H146" s="7"/>
      <c r="I146" s="7"/>
      <c r="J146" s="60"/>
      <c r="K146" s="9"/>
      <c r="L146" s="58" t="str">
        <f>IF(OR(IPRF_Lines_Edit[[#This Row],[Requested Qty]]="",IPRF_Lines_Edit[[#This Row],[Picked Qty]]=""),"",IPRF_Lines_Edit[[#This Row],[Requested Qty]]-IPRF_Lines_Edit[[#This Row],[Picked Qty]])</f>
        <v/>
      </c>
      <c r="M146" s="18" t="str" cm="1">
        <f t="array" ref="M1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6" s="19" t="str" cm="1">
        <f t="array" ref="N1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7" spans="1:14" ht="30" customHeight="1">
      <c r="A1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7" s="6"/>
      <c r="C147" s="7"/>
      <c r="D147" s="6"/>
      <c r="E147" s="9"/>
      <c r="F147" s="10"/>
      <c r="G147" s="10"/>
      <c r="H147" s="7"/>
      <c r="I147" s="7"/>
      <c r="J147" s="60"/>
      <c r="K147" s="9"/>
      <c r="L147" s="58" t="str">
        <f>IF(OR(IPRF_Lines_Edit[[#This Row],[Requested Qty]]="",IPRF_Lines_Edit[[#This Row],[Picked Qty]]=""),"",IPRF_Lines_Edit[[#This Row],[Requested Qty]]-IPRF_Lines_Edit[[#This Row],[Picked Qty]])</f>
        <v/>
      </c>
      <c r="M147" s="18" t="str" cm="1">
        <f t="array" ref="M1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7" s="19" t="str" cm="1">
        <f t="array" ref="N1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8" spans="1:14" ht="30" customHeight="1">
      <c r="A1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8" s="6"/>
      <c r="C148" s="7"/>
      <c r="D148" s="6"/>
      <c r="E148" s="9"/>
      <c r="F148" s="10"/>
      <c r="G148" s="10"/>
      <c r="H148" s="7"/>
      <c r="I148" s="7"/>
      <c r="J148" s="60"/>
      <c r="K148" s="9"/>
      <c r="L148" s="58" t="str">
        <f>IF(OR(IPRF_Lines_Edit[[#This Row],[Requested Qty]]="",IPRF_Lines_Edit[[#This Row],[Picked Qty]]=""),"",IPRF_Lines_Edit[[#This Row],[Requested Qty]]-IPRF_Lines_Edit[[#This Row],[Picked Qty]])</f>
        <v/>
      </c>
      <c r="M148" s="18" t="str" cm="1">
        <f t="array" ref="M1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8" s="19" t="str" cm="1">
        <f t="array" ref="N1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49" spans="1:14" ht="30" customHeight="1">
      <c r="A1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49" s="6"/>
      <c r="C149" s="7"/>
      <c r="D149" s="6"/>
      <c r="E149" s="9"/>
      <c r="F149" s="10"/>
      <c r="G149" s="10"/>
      <c r="H149" s="7"/>
      <c r="I149" s="7"/>
      <c r="J149" s="60"/>
      <c r="K149" s="9"/>
      <c r="L149" s="58" t="str">
        <f>IF(OR(IPRF_Lines_Edit[[#This Row],[Requested Qty]]="",IPRF_Lines_Edit[[#This Row],[Picked Qty]]=""),"",IPRF_Lines_Edit[[#This Row],[Requested Qty]]-IPRF_Lines_Edit[[#This Row],[Picked Qty]])</f>
        <v/>
      </c>
      <c r="M149" s="18" t="str" cm="1">
        <f t="array" ref="M1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49" s="19" t="str" cm="1">
        <f t="array" ref="N1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0" spans="1:14" ht="30" customHeight="1">
      <c r="A1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0" s="6"/>
      <c r="C150" s="7"/>
      <c r="D150" s="6"/>
      <c r="E150" s="9"/>
      <c r="F150" s="10"/>
      <c r="G150" s="10"/>
      <c r="H150" s="7"/>
      <c r="I150" s="7"/>
      <c r="J150" s="60"/>
      <c r="K150" s="9"/>
      <c r="L150" s="58" t="str">
        <f>IF(OR(IPRF_Lines_Edit[[#This Row],[Requested Qty]]="",IPRF_Lines_Edit[[#This Row],[Picked Qty]]=""),"",IPRF_Lines_Edit[[#This Row],[Requested Qty]]-IPRF_Lines_Edit[[#This Row],[Picked Qty]])</f>
        <v/>
      </c>
      <c r="M150" s="18" t="str" cm="1">
        <f t="array" ref="M1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0" s="19" t="str" cm="1">
        <f t="array" ref="N1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1" spans="1:14" ht="30" customHeight="1">
      <c r="A1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1" s="6"/>
      <c r="C151" s="7"/>
      <c r="D151" s="6"/>
      <c r="E151" s="9"/>
      <c r="F151" s="10"/>
      <c r="G151" s="10"/>
      <c r="H151" s="7"/>
      <c r="I151" s="7"/>
      <c r="J151" s="60"/>
      <c r="K151" s="9"/>
      <c r="L151" s="58" t="str">
        <f>IF(OR(IPRF_Lines_Edit[[#This Row],[Requested Qty]]="",IPRF_Lines_Edit[[#This Row],[Picked Qty]]=""),"",IPRF_Lines_Edit[[#This Row],[Requested Qty]]-IPRF_Lines_Edit[[#This Row],[Picked Qty]])</f>
        <v/>
      </c>
      <c r="M151" s="18" t="str" cm="1">
        <f t="array" ref="M1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1" s="19" t="str" cm="1">
        <f t="array" ref="N1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2" spans="1:14" ht="30" customHeight="1">
      <c r="A1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2" s="6"/>
      <c r="C152" s="7"/>
      <c r="D152" s="6"/>
      <c r="E152" s="9"/>
      <c r="F152" s="10"/>
      <c r="G152" s="10"/>
      <c r="H152" s="7"/>
      <c r="I152" s="7"/>
      <c r="J152" s="60"/>
      <c r="K152" s="9"/>
      <c r="L152" s="58" t="str">
        <f>IF(OR(IPRF_Lines_Edit[[#This Row],[Requested Qty]]="",IPRF_Lines_Edit[[#This Row],[Picked Qty]]=""),"",IPRF_Lines_Edit[[#This Row],[Requested Qty]]-IPRF_Lines_Edit[[#This Row],[Picked Qty]])</f>
        <v/>
      </c>
      <c r="M152" s="18" t="str" cm="1">
        <f t="array" ref="M1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2" s="19" t="str" cm="1">
        <f t="array" ref="N1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3" spans="1:14" ht="30" customHeight="1">
      <c r="A1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3" s="6"/>
      <c r="C153" s="7"/>
      <c r="D153" s="6"/>
      <c r="E153" s="9"/>
      <c r="F153" s="10"/>
      <c r="G153" s="10"/>
      <c r="H153" s="7"/>
      <c r="I153" s="7"/>
      <c r="J153" s="60"/>
      <c r="K153" s="9"/>
      <c r="L153" s="58" t="str">
        <f>IF(OR(IPRF_Lines_Edit[[#This Row],[Requested Qty]]="",IPRF_Lines_Edit[[#This Row],[Picked Qty]]=""),"",IPRF_Lines_Edit[[#This Row],[Requested Qty]]-IPRF_Lines_Edit[[#This Row],[Picked Qty]])</f>
        <v/>
      </c>
      <c r="M153" s="18" t="str" cm="1">
        <f t="array" ref="M1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3" s="19" t="str" cm="1">
        <f t="array" ref="N1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4" spans="1:14" ht="30" customHeight="1">
      <c r="A1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4" s="6"/>
      <c r="C154" s="7"/>
      <c r="D154" s="6"/>
      <c r="E154" s="9"/>
      <c r="F154" s="10"/>
      <c r="G154" s="10"/>
      <c r="H154" s="7"/>
      <c r="I154" s="7"/>
      <c r="J154" s="60"/>
      <c r="K154" s="9"/>
      <c r="L154" s="58" t="str">
        <f>IF(OR(IPRF_Lines_Edit[[#This Row],[Requested Qty]]="",IPRF_Lines_Edit[[#This Row],[Picked Qty]]=""),"",IPRF_Lines_Edit[[#This Row],[Requested Qty]]-IPRF_Lines_Edit[[#This Row],[Picked Qty]])</f>
        <v/>
      </c>
      <c r="M154" s="18" t="str" cm="1">
        <f t="array" ref="M1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4" s="19" t="str" cm="1">
        <f t="array" ref="N1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5" spans="1:14" ht="30" customHeight="1">
      <c r="A1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5" s="6"/>
      <c r="C155" s="7"/>
      <c r="D155" s="6"/>
      <c r="E155" s="9"/>
      <c r="F155" s="10"/>
      <c r="G155" s="10"/>
      <c r="H155" s="7"/>
      <c r="I155" s="7"/>
      <c r="J155" s="60"/>
      <c r="K155" s="9"/>
      <c r="L155" s="58" t="str">
        <f>IF(OR(IPRF_Lines_Edit[[#This Row],[Requested Qty]]="",IPRF_Lines_Edit[[#This Row],[Picked Qty]]=""),"",IPRF_Lines_Edit[[#This Row],[Requested Qty]]-IPRF_Lines_Edit[[#This Row],[Picked Qty]])</f>
        <v/>
      </c>
      <c r="M155" s="18" t="str" cm="1">
        <f t="array" ref="M1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5" s="19" t="str" cm="1">
        <f t="array" ref="N1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6" spans="1:14" ht="30" customHeight="1">
      <c r="A1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6" s="6"/>
      <c r="C156" s="7"/>
      <c r="D156" s="6"/>
      <c r="E156" s="9"/>
      <c r="F156" s="10"/>
      <c r="G156" s="10"/>
      <c r="H156" s="7"/>
      <c r="I156" s="7"/>
      <c r="J156" s="60"/>
      <c r="K156" s="9"/>
      <c r="L156" s="58" t="str">
        <f>IF(OR(IPRF_Lines_Edit[[#This Row],[Requested Qty]]="",IPRF_Lines_Edit[[#This Row],[Picked Qty]]=""),"",IPRF_Lines_Edit[[#This Row],[Requested Qty]]-IPRF_Lines_Edit[[#This Row],[Picked Qty]])</f>
        <v/>
      </c>
      <c r="M156" s="18" t="str" cm="1">
        <f t="array" ref="M1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6" s="19" t="str" cm="1">
        <f t="array" ref="N1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7" spans="1:14" ht="30" customHeight="1">
      <c r="A1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7" s="6"/>
      <c r="C157" s="7"/>
      <c r="D157" s="6"/>
      <c r="E157" s="9"/>
      <c r="F157" s="10"/>
      <c r="G157" s="10"/>
      <c r="H157" s="7"/>
      <c r="I157" s="7"/>
      <c r="J157" s="60"/>
      <c r="K157" s="9"/>
      <c r="L157" s="58" t="str">
        <f>IF(OR(IPRF_Lines_Edit[[#This Row],[Requested Qty]]="",IPRF_Lines_Edit[[#This Row],[Picked Qty]]=""),"",IPRF_Lines_Edit[[#This Row],[Requested Qty]]-IPRF_Lines_Edit[[#This Row],[Picked Qty]])</f>
        <v/>
      </c>
      <c r="M157" s="18" t="str" cm="1">
        <f t="array" ref="M1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7" s="19" t="str" cm="1">
        <f t="array" ref="N1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8" spans="1:14" ht="30" customHeight="1">
      <c r="A1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8" s="6"/>
      <c r="C158" s="7"/>
      <c r="D158" s="6"/>
      <c r="E158" s="9"/>
      <c r="F158" s="10"/>
      <c r="G158" s="10"/>
      <c r="H158" s="7"/>
      <c r="I158" s="7"/>
      <c r="J158" s="60"/>
      <c r="K158" s="9"/>
      <c r="L158" s="58" t="str">
        <f>IF(OR(IPRF_Lines_Edit[[#This Row],[Requested Qty]]="",IPRF_Lines_Edit[[#This Row],[Picked Qty]]=""),"",IPRF_Lines_Edit[[#This Row],[Requested Qty]]-IPRF_Lines_Edit[[#This Row],[Picked Qty]])</f>
        <v/>
      </c>
      <c r="M158" s="18" t="str" cm="1">
        <f t="array" ref="M1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8" s="19" t="str" cm="1">
        <f t="array" ref="N1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59" spans="1:14" ht="30" customHeight="1">
      <c r="A1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59" s="6"/>
      <c r="C159" s="7"/>
      <c r="D159" s="6"/>
      <c r="E159" s="9"/>
      <c r="F159" s="10"/>
      <c r="G159" s="10"/>
      <c r="H159" s="7"/>
      <c r="I159" s="7"/>
      <c r="J159" s="60"/>
      <c r="K159" s="9"/>
      <c r="L159" s="58" t="str">
        <f>IF(OR(IPRF_Lines_Edit[[#This Row],[Requested Qty]]="",IPRF_Lines_Edit[[#This Row],[Picked Qty]]=""),"",IPRF_Lines_Edit[[#This Row],[Requested Qty]]-IPRF_Lines_Edit[[#This Row],[Picked Qty]])</f>
        <v/>
      </c>
      <c r="M159" s="18" t="str" cm="1">
        <f t="array" ref="M1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59" s="19" t="str" cm="1">
        <f t="array" ref="N1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0" spans="1:14" ht="30" customHeight="1">
      <c r="A1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0" s="6"/>
      <c r="C160" s="7"/>
      <c r="D160" s="6"/>
      <c r="E160" s="9"/>
      <c r="F160" s="10"/>
      <c r="G160" s="10"/>
      <c r="H160" s="7"/>
      <c r="I160" s="7"/>
      <c r="J160" s="60"/>
      <c r="K160" s="9"/>
      <c r="L160" s="58" t="str">
        <f>IF(OR(IPRF_Lines_Edit[[#This Row],[Requested Qty]]="",IPRF_Lines_Edit[[#This Row],[Picked Qty]]=""),"",IPRF_Lines_Edit[[#This Row],[Requested Qty]]-IPRF_Lines_Edit[[#This Row],[Picked Qty]])</f>
        <v/>
      </c>
      <c r="M160" s="18" t="str" cm="1">
        <f t="array" ref="M1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0" s="19" t="str" cm="1">
        <f t="array" ref="N1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1" spans="1:14" ht="30" customHeight="1">
      <c r="A1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1" s="6"/>
      <c r="C161" s="7"/>
      <c r="D161" s="6"/>
      <c r="E161" s="9"/>
      <c r="F161" s="10"/>
      <c r="G161" s="10"/>
      <c r="H161" s="7"/>
      <c r="I161" s="7"/>
      <c r="J161" s="60"/>
      <c r="K161" s="9"/>
      <c r="L161" s="58" t="str">
        <f>IF(OR(IPRF_Lines_Edit[[#This Row],[Requested Qty]]="",IPRF_Lines_Edit[[#This Row],[Picked Qty]]=""),"",IPRF_Lines_Edit[[#This Row],[Requested Qty]]-IPRF_Lines_Edit[[#This Row],[Picked Qty]])</f>
        <v/>
      </c>
      <c r="M161" s="18" t="str" cm="1">
        <f t="array" ref="M1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1" s="19" t="str" cm="1">
        <f t="array" ref="N1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2" spans="1:14" ht="30" customHeight="1">
      <c r="A1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2" s="6"/>
      <c r="C162" s="7"/>
      <c r="D162" s="6"/>
      <c r="E162" s="9"/>
      <c r="F162" s="10"/>
      <c r="G162" s="10"/>
      <c r="H162" s="7"/>
      <c r="I162" s="7"/>
      <c r="J162" s="60"/>
      <c r="K162" s="9"/>
      <c r="L162" s="58" t="str">
        <f>IF(OR(IPRF_Lines_Edit[[#This Row],[Requested Qty]]="",IPRF_Lines_Edit[[#This Row],[Picked Qty]]=""),"",IPRF_Lines_Edit[[#This Row],[Requested Qty]]-IPRF_Lines_Edit[[#This Row],[Picked Qty]])</f>
        <v/>
      </c>
      <c r="M162" s="18" t="str" cm="1">
        <f t="array" ref="M1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2" s="19" t="str" cm="1">
        <f t="array" ref="N1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3" spans="1:14" ht="30" customHeight="1">
      <c r="A1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3" s="6"/>
      <c r="C163" s="7"/>
      <c r="D163" s="6"/>
      <c r="E163" s="9"/>
      <c r="F163" s="10"/>
      <c r="G163" s="10"/>
      <c r="H163" s="7"/>
      <c r="I163" s="7"/>
      <c r="J163" s="60"/>
      <c r="K163" s="9"/>
      <c r="L163" s="58" t="str">
        <f>IF(OR(IPRF_Lines_Edit[[#This Row],[Requested Qty]]="",IPRF_Lines_Edit[[#This Row],[Picked Qty]]=""),"",IPRF_Lines_Edit[[#This Row],[Requested Qty]]-IPRF_Lines_Edit[[#This Row],[Picked Qty]])</f>
        <v/>
      </c>
      <c r="M163" s="18" t="str" cm="1">
        <f t="array" ref="M1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3" s="19" t="str" cm="1">
        <f t="array" ref="N1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4" spans="1:14" ht="30" customHeight="1">
      <c r="A1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4" s="6"/>
      <c r="C164" s="7"/>
      <c r="D164" s="6"/>
      <c r="E164" s="9"/>
      <c r="F164" s="10"/>
      <c r="G164" s="10"/>
      <c r="H164" s="7"/>
      <c r="I164" s="7"/>
      <c r="J164" s="60"/>
      <c r="K164" s="9"/>
      <c r="L164" s="58" t="str">
        <f>IF(OR(IPRF_Lines_Edit[[#This Row],[Requested Qty]]="",IPRF_Lines_Edit[[#This Row],[Picked Qty]]=""),"",IPRF_Lines_Edit[[#This Row],[Requested Qty]]-IPRF_Lines_Edit[[#This Row],[Picked Qty]])</f>
        <v/>
      </c>
      <c r="M164" s="18" t="str" cm="1">
        <f t="array" ref="M1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4" s="19" t="str" cm="1">
        <f t="array" ref="N1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5" spans="1:14" ht="30" customHeight="1">
      <c r="A1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5" s="6"/>
      <c r="C165" s="7"/>
      <c r="D165" s="6"/>
      <c r="E165" s="9"/>
      <c r="F165" s="10"/>
      <c r="G165" s="10"/>
      <c r="H165" s="7"/>
      <c r="I165" s="7"/>
      <c r="J165" s="60"/>
      <c r="K165" s="9"/>
      <c r="L165" s="58" t="str">
        <f>IF(OR(IPRF_Lines_Edit[[#This Row],[Requested Qty]]="",IPRF_Lines_Edit[[#This Row],[Picked Qty]]=""),"",IPRF_Lines_Edit[[#This Row],[Requested Qty]]-IPRF_Lines_Edit[[#This Row],[Picked Qty]])</f>
        <v/>
      </c>
      <c r="M165" s="18" t="str" cm="1">
        <f t="array" ref="M1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5" s="19" t="str" cm="1">
        <f t="array" ref="N1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6" spans="1:14" ht="30" customHeight="1">
      <c r="A1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6" s="6"/>
      <c r="C166" s="7"/>
      <c r="D166" s="6"/>
      <c r="E166" s="9"/>
      <c r="F166" s="10"/>
      <c r="G166" s="10"/>
      <c r="H166" s="7"/>
      <c r="I166" s="7"/>
      <c r="J166" s="60"/>
      <c r="K166" s="9"/>
      <c r="L166" s="58" t="str">
        <f>IF(OR(IPRF_Lines_Edit[[#This Row],[Requested Qty]]="",IPRF_Lines_Edit[[#This Row],[Picked Qty]]=""),"",IPRF_Lines_Edit[[#This Row],[Requested Qty]]-IPRF_Lines_Edit[[#This Row],[Picked Qty]])</f>
        <v/>
      </c>
      <c r="M166" s="18" t="str" cm="1">
        <f t="array" ref="M1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6" s="19" t="str" cm="1">
        <f t="array" ref="N1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7" spans="1:14" ht="30" customHeight="1">
      <c r="A1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7" s="6"/>
      <c r="C167" s="7"/>
      <c r="D167" s="6"/>
      <c r="E167" s="9"/>
      <c r="F167" s="10"/>
      <c r="G167" s="10"/>
      <c r="H167" s="7"/>
      <c r="I167" s="7"/>
      <c r="J167" s="60"/>
      <c r="K167" s="9"/>
      <c r="L167" s="58" t="str">
        <f>IF(OR(IPRF_Lines_Edit[[#This Row],[Requested Qty]]="",IPRF_Lines_Edit[[#This Row],[Picked Qty]]=""),"",IPRF_Lines_Edit[[#This Row],[Requested Qty]]-IPRF_Lines_Edit[[#This Row],[Picked Qty]])</f>
        <v/>
      </c>
      <c r="M167" s="18" t="str" cm="1">
        <f t="array" ref="M1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7" s="19" t="str" cm="1">
        <f t="array" ref="N1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8" spans="1:14" ht="30" customHeight="1">
      <c r="A1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8" s="6"/>
      <c r="C168" s="7"/>
      <c r="D168" s="6"/>
      <c r="E168" s="9"/>
      <c r="F168" s="10"/>
      <c r="G168" s="10"/>
      <c r="H168" s="7"/>
      <c r="I168" s="7"/>
      <c r="J168" s="60"/>
      <c r="K168" s="9"/>
      <c r="L168" s="58" t="str">
        <f>IF(OR(IPRF_Lines_Edit[[#This Row],[Requested Qty]]="",IPRF_Lines_Edit[[#This Row],[Picked Qty]]=""),"",IPRF_Lines_Edit[[#This Row],[Requested Qty]]-IPRF_Lines_Edit[[#This Row],[Picked Qty]])</f>
        <v/>
      </c>
      <c r="M168" s="18" t="str" cm="1">
        <f t="array" ref="M1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8" s="19" t="str" cm="1">
        <f t="array" ref="N1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69" spans="1:14" ht="30" customHeight="1">
      <c r="A1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69" s="6"/>
      <c r="C169" s="7"/>
      <c r="D169" s="6"/>
      <c r="E169" s="9"/>
      <c r="F169" s="10"/>
      <c r="G169" s="10"/>
      <c r="H169" s="7"/>
      <c r="I169" s="7"/>
      <c r="J169" s="60"/>
      <c r="K169" s="9"/>
      <c r="L169" s="58" t="str">
        <f>IF(OR(IPRF_Lines_Edit[[#This Row],[Requested Qty]]="",IPRF_Lines_Edit[[#This Row],[Picked Qty]]=""),"",IPRF_Lines_Edit[[#This Row],[Requested Qty]]-IPRF_Lines_Edit[[#This Row],[Picked Qty]])</f>
        <v/>
      </c>
      <c r="M169" s="18" t="str" cm="1">
        <f t="array" ref="M1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69" s="19" t="str" cm="1">
        <f t="array" ref="N1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0" spans="1:14" ht="30" customHeight="1">
      <c r="A1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0" s="6"/>
      <c r="C170" s="7"/>
      <c r="D170" s="6"/>
      <c r="E170" s="9"/>
      <c r="F170" s="10"/>
      <c r="G170" s="10"/>
      <c r="H170" s="7"/>
      <c r="I170" s="7"/>
      <c r="J170" s="60"/>
      <c r="K170" s="9"/>
      <c r="L170" s="58" t="str">
        <f>IF(OR(IPRF_Lines_Edit[[#This Row],[Requested Qty]]="",IPRF_Lines_Edit[[#This Row],[Picked Qty]]=""),"",IPRF_Lines_Edit[[#This Row],[Requested Qty]]-IPRF_Lines_Edit[[#This Row],[Picked Qty]])</f>
        <v/>
      </c>
      <c r="M170" s="18" t="str" cm="1">
        <f t="array" ref="M1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0" s="19" t="str" cm="1">
        <f t="array" ref="N1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1" spans="1:14" ht="30" customHeight="1">
      <c r="A1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1" s="6"/>
      <c r="C171" s="7"/>
      <c r="D171" s="6"/>
      <c r="E171" s="9"/>
      <c r="F171" s="10"/>
      <c r="G171" s="10"/>
      <c r="H171" s="7"/>
      <c r="I171" s="7"/>
      <c r="J171" s="60"/>
      <c r="K171" s="9"/>
      <c r="L171" s="58" t="str">
        <f>IF(OR(IPRF_Lines_Edit[[#This Row],[Requested Qty]]="",IPRF_Lines_Edit[[#This Row],[Picked Qty]]=""),"",IPRF_Lines_Edit[[#This Row],[Requested Qty]]-IPRF_Lines_Edit[[#This Row],[Picked Qty]])</f>
        <v/>
      </c>
      <c r="M171" s="18" t="str" cm="1">
        <f t="array" ref="M1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1" s="19" t="str" cm="1">
        <f t="array" ref="N1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2" spans="1:14" ht="30" customHeight="1">
      <c r="A1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2" s="6"/>
      <c r="C172" s="7"/>
      <c r="D172" s="6"/>
      <c r="E172" s="9"/>
      <c r="F172" s="10"/>
      <c r="G172" s="10"/>
      <c r="H172" s="7"/>
      <c r="I172" s="7"/>
      <c r="J172" s="60"/>
      <c r="K172" s="9"/>
      <c r="L172" s="58" t="str">
        <f>IF(OR(IPRF_Lines_Edit[[#This Row],[Requested Qty]]="",IPRF_Lines_Edit[[#This Row],[Picked Qty]]=""),"",IPRF_Lines_Edit[[#This Row],[Requested Qty]]-IPRF_Lines_Edit[[#This Row],[Picked Qty]])</f>
        <v/>
      </c>
      <c r="M172" s="18" t="str" cm="1">
        <f t="array" ref="M1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2" s="19" t="str" cm="1">
        <f t="array" ref="N1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3" spans="1:14" ht="30" customHeight="1">
      <c r="A1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3" s="6"/>
      <c r="C173" s="7"/>
      <c r="D173" s="6"/>
      <c r="E173" s="9"/>
      <c r="F173" s="10"/>
      <c r="G173" s="10"/>
      <c r="H173" s="7"/>
      <c r="I173" s="7"/>
      <c r="J173" s="60"/>
      <c r="K173" s="9"/>
      <c r="L173" s="58" t="str">
        <f>IF(OR(IPRF_Lines_Edit[[#This Row],[Requested Qty]]="",IPRF_Lines_Edit[[#This Row],[Picked Qty]]=""),"",IPRF_Lines_Edit[[#This Row],[Requested Qty]]-IPRF_Lines_Edit[[#This Row],[Picked Qty]])</f>
        <v/>
      </c>
      <c r="M173" s="18" t="str" cm="1">
        <f t="array" ref="M1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3" s="19" t="str" cm="1">
        <f t="array" ref="N1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4" spans="1:14" ht="30" customHeight="1">
      <c r="A1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4" s="6"/>
      <c r="C174" s="7"/>
      <c r="D174" s="6"/>
      <c r="E174" s="9"/>
      <c r="F174" s="10"/>
      <c r="G174" s="10"/>
      <c r="H174" s="7"/>
      <c r="I174" s="7"/>
      <c r="J174" s="60"/>
      <c r="K174" s="9"/>
      <c r="L174" s="58" t="str">
        <f>IF(OR(IPRF_Lines_Edit[[#This Row],[Requested Qty]]="",IPRF_Lines_Edit[[#This Row],[Picked Qty]]=""),"",IPRF_Lines_Edit[[#This Row],[Requested Qty]]-IPRF_Lines_Edit[[#This Row],[Picked Qty]])</f>
        <v/>
      </c>
      <c r="M174" s="18" t="str" cm="1">
        <f t="array" ref="M1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4" s="19" t="str" cm="1">
        <f t="array" ref="N1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5" spans="1:14" ht="30" customHeight="1">
      <c r="A1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5" s="6"/>
      <c r="C175" s="7"/>
      <c r="D175" s="6"/>
      <c r="E175" s="9"/>
      <c r="F175" s="10"/>
      <c r="G175" s="10"/>
      <c r="H175" s="7"/>
      <c r="I175" s="7"/>
      <c r="J175" s="60"/>
      <c r="K175" s="9"/>
      <c r="L175" s="58" t="str">
        <f>IF(OR(IPRF_Lines_Edit[[#This Row],[Requested Qty]]="",IPRF_Lines_Edit[[#This Row],[Picked Qty]]=""),"",IPRF_Lines_Edit[[#This Row],[Requested Qty]]-IPRF_Lines_Edit[[#This Row],[Picked Qty]])</f>
        <v/>
      </c>
      <c r="M175" s="18" t="str" cm="1">
        <f t="array" ref="M1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5" s="19" t="str" cm="1">
        <f t="array" ref="N1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6" spans="1:14" ht="30" customHeight="1">
      <c r="A1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6" s="6"/>
      <c r="C176" s="7"/>
      <c r="D176" s="6"/>
      <c r="E176" s="9"/>
      <c r="F176" s="10"/>
      <c r="G176" s="10"/>
      <c r="H176" s="7"/>
      <c r="I176" s="7"/>
      <c r="J176" s="60"/>
      <c r="K176" s="9"/>
      <c r="L176" s="58" t="str">
        <f>IF(OR(IPRF_Lines_Edit[[#This Row],[Requested Qty]]="",IPRF_Lines_Edit[[#This Row],[Picked Qty]]=""),"",IPRF_Lines_Edit[[#This Row],[Requested Qty]]-IPRF_Lines_Edit[[#This Row],[Picked Qty]])</f>
        <v/>
      </c>
      <c r="M176" s="18" t="str" cm="1">
        <f t="array" ref="M1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6" s="19" t="str" cm="1">
        <f t="array" ref="N1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7" spans="1:14" ht="30" customHeight="1">
      <c r="A1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7" s="6"/>
      <c r="C177" s="7"/>
      <c r="D177" s="6"/>
      <c r="E177" s="9"/>
      <c r="F177" s="10"/>
      <c r="G177" s="10"/>
      <c r="H177" s="7"/>
      <c r="I177" s="7"/>
      <c r="J177" s="60"/>
      <c r="K177" s="9"/>
      <c r="L177" s="58" t="str">
        <f>IF(OR(IPRF_Lines_Edit[[#This Row],[Requested Qty]]="",IPRF_Lines_Edit[[#This Row],[Picked Qty]]=""),"",IPRF_Lines_Edit[[#This Row],[Requested Qty]]-IPRF_Lines_Edit[[#This Row],[Picked Qty]])</f>
        <v/>
      </c>
      <c r="M177" s="18" t="str" cm="1">
        <f t="array" ref="M1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7" s="19" t="str" cm="1">
        <f t="array" ref="N1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8" spans="1:14" ht="30" customHeight="1">
      <c r="A1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8" s="6"/>
      <c r="C178" s="7"/>
      <c r="D178" s="6"/>
      <c r="E178" s="9"/>
      <c r="F178" s="10"/>
      <c r="G178" s="10"/>
      <c r="H178" s="7"/>
      <c r="I178" s="7"/>
      <c r="J178" s="60"/>
      <c r="K178" s="9"/>
      <c r="L178" s="58" t="str">
        <f>IF(OR(IPRF_Lines_Edit[[#This Row],[Requested Qty]]="",IPRF_Lines_Edit[[#This Row],[Picked Qty]]=""),"",IPRF_Lines_Edit[[#This Row],[Requested Qty]]-IPRF_Lines_Edit[[#This Row],[Picked Qty]])</f>
        <v/>
      </c>
      <c r="M178" s="18" t="str" cm="1">
        <f t="array" ref="M1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8" s="19" t="str" cm="1">
        <f t="array" ref="N1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79" spans="1:14" ht="30" customHeight="1">
      <c r="A1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79" s="6"/>
      <c r="C179" s="7"/>
      <c r="D179" s="6"/>
      <c r="E179" s="9"/>
      <c r="F179" s="10"/>
      <c r="G179" s="10"/>
      <c r="H179" s="7"/>
      <c r="I179" s="7"/>
      <c r="J179" s="60"/>
      <c r="K179" s="9"/>
      <c r="L179" s="58" t="str">
        <f>IF(OR(IPRF_Lines_Edit[[#This Row],[Requested Qty]]="",IPRF_Lines_Edit[[#This Row],[Picked Qty]]=""),"",IPRF_Lines_Edit[[#This Row],[Requested Qty]]-IPRF_Lines_Edit[[#This Row],[Picked Qty]])</f>
        <v/>
      </c>
      <c r="M179" s="18" t="str" cm="1">
        <f t="array" ref="M1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79" s="19" t="str" cm="1">
        <f t="array" ref="N1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0" spans="1:14" ht="30" customHeight="1">
      <c r="A1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0" s="6"/>
      <c r="C180" s="7"/>
      <c r="D180" s="6"/>
      <c r="E180" s="9"/>
      <c r="F180" s="10"/>
      <c r="G180" s="10"/>
      <c r="H180" s="7"/>
      <c r="I180" s="7"/>
      <c r="J180" s="60"/>
      <c r="K180" s="9"/>
      <c r="L180" s="58" t="str">
        <f>IF(OR(IPRF_Lines_Edit[[#This Row],[Requested Qty]]="",IPRF_Lines_Edit[[#This Row],[Picked Qty]]=""),"",IPRF_Lines_Edit[[#This Row],[Requested Qty]]-IPRF_Lines_Edit[[#This Row],[Picked Qty]])</f>
        <v/>
      </c>
      <c r="M180" s="18" t="str" cm="1">
        <f t="array" ref="M1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0" s="19" t="str" cm="1">
        <f t="array" ref="N1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1" spans="1:14" ht="30" customHeight="1">
      <c r="A1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1" s="6"/>
      <c r="C181" s="7"/>
      <c r="D181" s="6"/>
      <c r="E181" s="9"/>
      <c r="F181" s="10"/>
      <c r="G181" s="10"/>
      <c r="H181" s="7"/>
      <c r="I181" s="7"/>
      <c r="J181" s="60"/>
      <c r="K181" s="9"/>
      <c r="L181" s="58" t="str">
        <f>IF(OR(IPRF_Lines_Edit[[#This Row],[Requested Qty]]="",IPRF_Lines_Edit[[#This Row],[Picked Qty]]=""),"",IPRF_Lines_Edit[[#This Row],[Requested Qty]]-IPRF_Lines_Edit[[#This Row],[Picked Qty]])</f>
        <v/>
      </c>
      <c r="M181" s="18" t="str" cm="1">
        <f t="array" ref="M1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1" s="19" t="str" cm="1">
        <f t="array" ref="N1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2" spans="1:14" ht="30" customHeight="1">
      <c r="A1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2" s="6"/>
      <c r="C182" s="7"/>
      <c r="D182" s="6"/>
      <c r="E182" s="9"/>
      <c r="F182" s="10"/>
      <c r="G182" s="10"/>
      <c r="H182" s="7"/>
      <c r="I182" s="7"/>
      <c r="J182" s="60"/>
      <c r="K182" s="9"/>
      <c r="L182" s="58" t="str">
        <f>IF(OR(IPRF_Lines_Edit[[#This Row],[Requested Qty]]="",IPRF_Lines_Edit[[#This Row],[Picked Qty]]=""),"",IPRF_Lines_Edit[[#This Row],[Requested Qty]]-IPRF_Lines_Edit[[#This Row],[Picked Qty]])</f>
        <v/>
      </c>
      <c r="M182" s="18" t="str" cm="1">
        <f t="array" ref="M1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2" s="19" t="str" cm="1">
        <f t="array" ref="N1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3" spans="1:14" ht="30" customHeight="1">
      <c r="A1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3" s="6"/>
      <c r="C183" s="7"/>
      <c r="D183" s="6"/>
      <c r="E183" s="9"/>
      <c r="F183" s="10"/>
      <c r="G183" s="10"/>
      <c r="H183" s="7"/>
      <c r="I183" s="7"/>
      <c r="J183" s="60"/>
      <c r="K183" s="9"/>
      <c r="L183" s="58" t="str">
        <f>IF(OR(IPRF_Lines_Edit[[#This Row],[Requested Qty]]="",IPRF_Lines_Edit[[#This Row],[Picked Qty]]=""),"",IPRF_Lines_Edit[[#This Row],[Requested Qty]]-IPRF_Lines_Edit[[#This Row],[Picked Qty]])</f>
        <v/>
      </c>
      <c r="M183" s="18" t="str" cm="1">
        <f t="array" ref="M1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3" s="19" t="str" cm="1">
        <f t="array" ref="N1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4" spans="1:14" ht="30" customHeight="1">
      <c r="A1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4" s="6"/>
      <c r="C184" s="7"/>
      <c r="D184" s="6"/>
      <c r="E184" s="9"/>
      <c r="F184" s="10"/>
      <c r="G184" s="10"/>
      <c r="H184" s="7"/>
      <c r="I184" s="7"/>
      <c r="J184" s="60"/>
      <c r="K184" s="9"/>
      <c r="L184" s="58" t="str">
        <f>IF(OR(IPRF_Lines_Edit[[#This Row],[Requested Qty]]="",IPRF_Lines_Edit[[#This Row],[Picked Qty]]=""),"",IPRF_Lines_Edit[[#This Row],[Requested Qty]]-IPRF_Lines_Edit[[#This Row],[Picked Qty]])</f>
        <v/>
      </c>
      <c r="M184" s="18" t="str" cm="1">
        <f t="array" ref="M1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4" s="19" t="str" cm="1">
        <f t="array" ref="N1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5" spans="1:14" ht="30" customHeight="1">
      <c r="A1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5" s="6"/>
      <c r="C185" s="7"/>
      <c r="D185" s="6"/>
      <c r="E185" s="9"/>
      <c r="F185" s="10"/>
      <c r="G185" s="10"/>
      <c r="H185" s="7"/>
      <c r="I185" s="7"/>
      <c r="J185" s="60"/>
      <c r="K185" s="9"/>
      <c r="L185" s="58" t="str">
        <f>IF(OR(IPRF_Lines_Edit[[#This Row],[Requested Qty]]="",IPRF_Lines_Edit[[#This Row],[Picked Qty]]=""),"",IPRF_Lines_Edit[[#This Row],[Requested Qty]]-IPRF_Lines_Edit[[#This Row],[Picked Qty]])</f>
        <v/>
      </c>
      <c r="M185" s="18" t="str" cm="1">
        <f t="array" ref="M1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5" s="19" t="str" cm="1">
        <f t="array" ref="N1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6" spans="1:14" ht="30" customHeight="1">
      <c r="A1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6" s="6"/>
      <c r="C186" s="7"/>
      <c r="D186" s="6"/>
      <c r="E186" s="9"/>
      <c r="F186" s="10"/>
      <c r="G186" s="10"/>
      <c r="H186" s="7"/>
      <c r="I186" s="7"/>
      <c r="J186" s="60"/>
      <c r="K186" s="9"/>
      <c r="L186" s="58" t="str">
        <f>IF(OR(IPRF_Lines_Edit[[#This Row],[Requested Qty]]="",IPRF_Lines_Edit[[#This Row],[Picked Qty]]=""),"",IPRF_Lines_Edit[[#This Row],[Requested Qty]]-IPRF_Lines_Edit[[#This Row],[Picked Qty]])</f>
        <v/>
      </c>
      <c r="M186" s="18" t="str" cm="1">
        <f t="array" ref="M1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6" s="19" t="str" cm="1">
        <f t="array" ref="N1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7" spans="1:14" ht="30" customHeight="1">
      <c r="A1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7" s="6"/>
      <c r="C187" s="7"/>
      <c r="D187" s="6"/>
      <c r="E187" s="9"/>
      <c r="F187" s="10"/>
      <c r="G187" s="10"/>
      <c r="H187" s="7"/>
      <c r="I187" s="7"/>
      <c r="J187" s="60"/>
      <c r="K187" s="9"/>
      <c r="L187" s="58" t="str">
        <f>IF(OR(IPRF_Lines_Edit[[#This Row],[Requested Qty]]="",IPRF_Lines_Edit[[#This Row],[Picked Qty]]=""),"",IPRF_Lines_Edit[[#This Row],[Requested Qty]]-IPRF_Lines_Edit[[#This Row],[Picked Qty]])</f>
        <v/>
      </c>
      <c r="M187" s="18" t="str" cm="1">
        <f t="array" ref="M1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7" s="19" t="str" cm="1">
        <f t="array" ref="N1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8" spans="1:14" ht="30" customHeight="1">
      <c r="A1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8" s="6"/>
      <c r="C188" s="7"/>
      <c r="D188" s="6"/>
      <c r="E188" s="9"/>
      <c r="F188" s="10"/>
      <c r="G188" s="10"/>
      <c r="H188" s="7"/>
      <c r="I188" s="7"/>
      <c r="J188" s="60"/>
      <c r="K188" s="9"/>
      <c r="L188" s="58" t="str">
        <f>IF(OR(IPRF_Lines_Edit[[#This Row],[Requested Qty]]="",IPRF_Lines_Edit[[#This Row],[Picked Qty]]=""),"",IPRF_Lines_Edit[[#This Row],[Requested Qty]]-IPRF_Lines_Edit[[#This Row],[Picked Qty]])</f>
        <v/>
      </c>
      <c r="M188" s="18" t="str" cm="1">
        <f t="array" ref="M1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8" s="19" t="str" cm="1">
        <f t="array" ref="N1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89" spans="1:14" ht="30" customHeight="1">
      <c r="A1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89" s="6"/>
      <c r="C189" s="7"/>
      <c r="D189" s="6"/>
      <c r="E189" s="9"/>
      <c r="F189" s="10"/>
      <c r="G189" s="10"/>
      <c r="H189" s="7"/>
      <c r="I189" s="7"/>
      <c r="J189" s="60"/>
      <c r="K189" s="9"/>
      <c r="L189" s="58" t="str">
        <f>IF(OR(IPRF_Lines_Edit[[#This Row],[Requested Qty]]="",IPRF_Lines_Edit[[#This Row],[Picked Qty]]=""),"",IPRF_Lines_Edit[[#This Row],[Requested Qty]]-IPRF_Lines_Edit[[#This Row],[Picked Qty]])</f>
        <v/>
      </c>
      <c r="M189" s="18" t="str" cm="1">
        <f t="array" ref="M1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89" s="19" t="str" cm="1">
        <f t="array" ref="N1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0" spans="1:14" ht="30" customHeight="1">
      <c r="A1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0" s="6"/>
      <c r="C190" s="7"/>
      <c r="D190" s="6"/>
      <c r="E190" s="9"/>
      <c r="F190" s="10"/>
      <c r="G190" s="10"/>
      <c r="H190" s="7"/>
      <c r="I190" s="7"/>
      <c r="J190" s="60"/>
      <c r="K190" s="9"/>
      <c r="L190" s="58" t="str">
        <f>IF(OR(IPRF_Lines_Edit[[#This Row],[Requested Qty]]="",IPRF_Lines_Edit[[#This Row],[Picked Qty]]=""),"",IPRF_Lines_Edit[[#This Row],[Requested Qty]]-IPRF_Lines_Edit[[#This Row],[Picked Qty]])</f>
        <v/>
      </c>
      <c r="M190" s="18" t="str" cm="1">
        <f t="array" ref="M1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0" s="19" t="str" cm="1">
        <f t="array" ref="N1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1" spans="1:14" ht="30" customHeight="1">
      <c r="A1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1" s="6"/>
      <c r="C191" s="7"/>
      <c r="D191" s="6"/>
      <c r="E191" s="9"/>
      <c r="F191" s="10"/>
      <c r="G191" s="10"/>
      <c r="H191" s="7"/>
      <c r="I191" s="7"/>
      <c r="J191" s="60"/>
      <c r="K191" s="9"/>
      <c r="L191" s="58" t="str">
        <f>IF(OR(IPRF_Lines_Edit[[#This Row],[Requested Qty]]="",IPRF_Lines_Edit[[#This Row],[Picked Qty]]=""),"",IPRF_Lines_Edit[[#This Row],[Requested Qty]]-IPRF_Lines_Edit[[#This Row],[Picked Qty]])</f>
        <v/>
      </c>
      <c r="M191" s="18" t="str" cm="1">
        <f t="array" ref="M1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1" s="19" t="str" cm="1">
        <f t="array" ref="N1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2" spans="1:14" ht="30" customHeight="1">
      <c r="A1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2" s="6"/>
      <c r="C192" s="7"/>
      <c r="D192" s="6"/>
      <c r="E192" s="9"/>
      <c r="F192" s="10"/>
      <c r="G192" s="10"/>
      <c r="H192" s="7"/>
      <c r="I192" s="7"/>
      <c r="J192" s="60"/>
      <c r="K192" s="9"/>
      <c r="L192" s="58" t="str">
        <f>IF(OR(IPRF_Lines_Edit[[#This Row],[Requested Qty]]="",IPRF_Lines_Edit[[#This Row],[Picked Qty]]=""),"",IPRF_Lines_Edit[[#This Row],[Requested Qty]]-IPRF_Lines_Edit[[#This Row],[Picked Qty]])</f>
        <v/>
      </c>
      <c r="M192" s="18" t="str" cm="1">
        <f t="array" ref="M1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2" s="19" t="str" cm="1">
        <f t="array" ref="N1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3" spans="1:14" ht="30" customHeight="1">
      <c r="A1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3" s="6"/>
      <c r="C193" s="7"/>
      <c r="D193" s="6"/>
      <c r="E193" s="9"/>
      <c r="F193" s="10"/>
      <c r="G193" s="10"/>
      <c r="H193" s="7"/>
      <c r="I193" s="7"/>
      <c r="J193" s="60"/>
      <c r="K193" s="9"/>
      <c r="L193" s="58" t="str">
        <f>IF(OR(IPRF_Lines_Edit[[#This Row],[Requested Qty]]="",IPRF_Lines_Edit[[#This Row],[Picked Qty]]=""),"",IPRF_Lines_Edit[[#This Row],[Requested Qty]]-IPRF_Lines_Edit[[#This Row],[Picked Qty]])</f>
        <v/>
      </c>
      <c r="M193" s="18" t="str" cm="1">
        <f t="array" ref="M1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3" s="19" t="str" cm="1">
        <f t="array" ref="N1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4" spans="1:14" ht="30" customHeight="1">
      <c r="A1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4" s="6"/>
      <c r="C194" s="7"/>
      <c r="D194" s="6"/>
      <c r="E194" s="9"/>
      <c r="F194" s="10"/>
      <c r="G194" s="10"/>
      <c r="H194" s="7"/>
      <c r="I194" s="7"/>
      <c r="J194" s="60"/>
      <c r="K194" s="9"/>
      <c r="L194" s="58" t="str">
        <f>IF(OR(IPRF_Lines_Edit[[#This Row],[Requested Qty]]="",IPRF_Lines_Edit[[#This Row],[Picked Qty]]=""),"",IPRF_Lines_Edit[[#This Row],[Requested Qty]]-IPRF_Lines_Edit[[#This Row],[Picked Qty]])</f>
        <v/>
      </c>
      <c r="M194" s="18" t="str" cm="1">
        <f t="array" ref="M1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4" s="19" t="str" cm="1">
        <f t="array" ref="N1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5" spans="1:14" ht="30" customHeight="1">
      <c r="A1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5" s="6"/>
      <c r="C195" s="7"/>
      <c r="D195" s="6"/>
      <c r="E195" s="9"/>
      <c r="F195" s="10"/>
      <c r="G195" s="10"/>
      <c r="H195" s="7"/>
      <c r="I195" s="7"/>
      <c r="J195" s="60"/>
      <c r="K195" s="9"/>
      <c r="L195" s="58" t="str">
        <f>IF(OR(IPRF_Lines_Edit[[#This Row],[Requested Qty]]="",IPRF_Lines_Edit[[#This Row],[Picked Qty]]=""),"",IPRF_Lines_Edit[[#This Row],[Requested Qty]]-IPRF_Lines_Edit[[#This Row],[Picked Qty]])</f>
        <v/>
      </c>
      <c r="M195" s="18" t="str" cm="1">
        <f t="array" ref="M1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5" s="19" t="str" cm="1">
        <f t="array" ref="N1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6" spans="1:14" ht="30" customHeight="1">
      <c r="A1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6" s="6"/>
      <c r="C196" s="7"/>
      <c r="D196" s="6"/>
      <c r="E196" s="9"/>
      <c r="F196" s="10"/>
      <c r="G196" s="10"/>
      <c r="H196" s="7"/>
      <c r="I196" s="7"/>
      <c r="J196" s="60"/>
      <c r="K196" s="9"/>
      <c r="L196" s="58" t="str">
        <f>IF(OR(IPRF_Lines_Edit[[#This Row],[Requested Qty]]="",IPRF_Lines_Edit[[#This Row],[Picked Qty]]=""),"",IPRF_Lines_Edit[[#This Row],[Requested Qty]]-IPRF_Lines_Edit[[#This Row],[Picked Qty]])</f>
        <v/>
      </c>
      <c r="M196" s="18" t="str" cm="1">
        <f t="array" ref="M1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6" s="19" t="str" cm="1">
        <f t="array" ref="N1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7" spans="1:14" ht="30" customHeight="1">
      <c r="A1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7" s="6"/>
      <c r="C197" s="7"/>
      <c r="D197" s="6"/>
      <c r="E197" s="9"/>
      <c r="F197" s="10"/>
      <c r="G197" s="10"/>
      <c r="H197" s="7"/>
      <c r="I197" s="7"/>
      <c r="J197" s="60"/>
      <c r="K197" s="9"/>
      <c r="L197" s="58" t="str">
        <f>IF(OR(IPRF_Lines_Edit[[#This Row],[Requested Qty]]="",IPRF_Lines_Edit[[#This Row],[Picked Qty]]=""),"",IPRF_Lines_Edit[[#This Row],[Requested Qty]]-IPRF_Lines_Edit[[#This Row],[Picked Qty]])</f>
        <v/>
      </c>
      <c r="M197" s="18" t="str" cm="1">
        <f t="array" ref="M1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7" s="19" t="str" cm="1">
        <f t="array" ref="N1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8" spans="1:14" ht="30" customHeight="1">
      <c r="A1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8" s="6"/>
      <c r="C198" s="7"/>
      <c r="D198" s="6"/>
      <c r="E198" s="9"/>
      <c r="F198" s="10"/>
      <c r="G198" s="10"/>
      <c r="H198" s="7"/>
      <c r="I198" s="7"/>
      <c r="J198" s="60"/>
      <c r="K198" s="9"/>
      <c r="L198" s="58" t="str">
        <f>IF(OR(IPRF_Lines_Edit[[#This Row],[Requested Qty]]="",IPRF_Lines_Edit[[#This Row],[Picked Qty]]=""),"",IPRF_Lines_Edit[[#This Row],[Requested Qty]]-IPRF_Lines_Edit[[#This Row],[Picked Qty]])</f>
        <v/>
      </c>
      <c r="M198" s="18" t="str" cm="1">
        <f t="array" ref="M1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8" s="19" t="str" cm="1">
        <f t="array" ref="N1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199" spans="1:14" ht="30" customHeight="1">
      <c r="A1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199" s="6"/>
      <c r="C199" s="7"/>
      <c r="D199" s="6"/>
      <c r="E199" s="9"/>
      <c r="F199" s="10"/>
      <c r="G199" s="10"/>
      <c r="H199" s="7"/>
      <c r="I199" s="7"/>
      <c r="J199" s="60"/>
      <c r="K199" s="9"/>
      <c r="L199" s="58" t="str">
        <f>IF(OR(IPRF_Lines_Edit[[#This Row],[Requested Qty]]="",IPRF_Lines_Edit[[#This Row],[Picked Qty]]=""),"",IPRF_Lines_Edit[[#This Row],[Requested Qty]]-IPRF_Lines_Edit[[#This Row],[Picked Qty]])</f>
        <v/>
      </c>
      <c r="M199" s="18" t="str" cm="1">
        <f t="array" ref="M1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199" s="19" t="str" cm="1">
        <f t="array" ref="N1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0" spans="1:14" ht="30" customHeight="1">
      <c r="A2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0" s="6"/>
      <c r="C200" s="7"/>
      <c r="D200" s="6"/>
      <c r="E200" s="9"/>
      <c r="F200" s="10"/>
      <c r="G200" s="10"/>
      <c r="H200" s="7"/>
      <c r="I200" s="7"/>
      <c r="J200" s="60"/>
      <c r="K200" s="9"/>
      <c r="L200" s="58" t="str">
        <f>IF(OR(IPRF_Lines_Edit[[#This Row],[Requested Qty]]="",IPRF_Lines_Edit[[#This Row],[Picked Qty]]=""),"",IPRF_Lines_Edit[[#This Row],[Requested Qty]]-IPRF_Lines_Edit[[#This Row],[Picked Qty]])</f>
        <v/>
      </c>
      <c r="M200" s="18" t="str" cm="1">
        <f t="array" ref="M2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0" s="19" t="str" cm="1">
        <f t="array" ref="N2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1" spans="1:14" ht="30" customHeight="1">
      <c r="A2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1" s="6"/>
      <c r="C201" s="7"/>
      <c r="D201" s="6"/>
      <c r="E201" s="9"/>
      <c r="F201" s="10"/>
      <c r="G201" s="10"/>
      <c r="H201" s="7"/>
      <c r="I201" s="7"/>
      <c r="J201" s="60"/>
      <c r="K201" s="9"/>
      <c r="L201" s="58" t="str">
        <f>IF(OR(IPRF_Lines_Edit[[#This Row],[Requested Qty]]="",IPRF_Lines_Edit[[#This Row],[Picked Qty]]=""),"",IPRF_Lines_Edit[[#This Row],[Requested Qty]]-IPRF_Lines_Edit[[#This Row],[Picked Qty]])</f>
        <v/>
      </c>
      <c r="M201" s="18" t="str" cm="1">
        <f t="array" ref="M2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1" s="19" t="str" cm="1">
        <f t="array" ref="N2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2" spans="1:14" ht="30" customHeight="1">
      <c r="A2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2" s="6"/>
      <c r="C202" s="7"/>
      <c r="D202" s="6"/>
      <c r="E202" s="9"/>
      <c r="F202" s="10"/>
      <c r="G202" s="10"/>
      <c r="H202" s="7"/>
      <c r="I202" s="7"/>
      <c r="J202" s="60"/>
      <c r="K202" s="9"/>
      <c r="L202" s="58" t="str">
        <f>IF(OR(IPRF_Lines_Edit[[#This Row],[Requested Qty]]="",IPRF_Lines_Edit[[#This Row],[Picked Qty]]=""),"",IPRF_Lines_Edit[[#This Row],[Requested Qty]]-IPRF_Lines_Edit[[#This Row],[Picked Qty]])</f>
        <v/>
      </c>
      <c r="M202" s="18" t="str" cm="1">
        <f t="array" ref="M2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2" s="19" t="str" cm="1">
        <f t="array" ref="N2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3" spans="1:14" ht="30" customHeight="1">
      <c r="A2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3" s="6"/>
      <c r="C203" s="7"/>
      <c r="D203" s="6"/>
      <c r="E203" s="9"/>
      <c r="F203" s="10"/>
      <c r="G203" s="10"/>
      <c r="H203" s="7"/>
      <c r="I203" s="7"/>
      <c r="J203" s="60"/>
      <c r="K203" s="9"/>
      <c r="L203" s="58" t="str">
        <f>IF(OR(IPRF_Lines_Edit[[#This Row],[Requested Qty]]="",IPRF_Lines_Edit[[#This Row],[Picked Qty]]=""),"",IPRF_Lines_Edit[[#This Row],[Requested Qty]]-IPRF_Lines_Edit[[#This Row],[Picked Qty]])</f>
        <v/>
      </c>
      <c r="M203" s="18" t="str" cm="1">
        <f t="array" ref="M2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3" s="19" t="str" cm="1">
        <f t="array" ref="N2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4" spans="1:14" ht="30" customHeight="1">
      <c r="A2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4" s="6"/>
      <c r="C204" s="7"/>
      <c r="D204" s="6"/>
      <c r="E204" s="9"/>
      <c r="F204" s="10"/>
      <c r="G204" s="10"/>
      <c r="H204" s="7"/>
      <c r="I204" s="7"/>
      <c r="J204" s="60"/>
      <c r="K204" s="9"/>
      <c r="L204" s="58" t="str">
        <f>IF(OR(IPRF_Lines_Edit[[#This Row],[Requested Qty]]="",IPRF_Lines_Edit[[#This Row],[Picked Qty]]=""),"",IPRF_Lines_Edit[[#This Row],[Requested Qty]]-IPRF_Lines_Edit[[#This Row],[Picked Qty]])</f>
        <v/>
      </c>
      <c r="M204" s="18" t="str" cm="1">
        <f t="array" ref="M2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4" s="19" t="str" cm="1">
        <f t="array" ref="N2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5" spans="1:14" ht="30" customHeight="1">
      <c r="A2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5" s="6"/>
      <c r="C205" s="7"/>
      <c r="D205" s="6"/>
      <c r="E205" s="9"/>
      <c r="F205" s="10"/>
      <c r="G205" s="10"/>
      <c r="H205" s="7"/>
      <c r="I205" s="7"/>
      <c r="J205" s="60"/>
      <c r="K205" s="9"/>
      <c r="L205" s="58" t="str">
        <f>IF(OR(IPRF_Lines_Edit[[#This Row],[Requested Qty]]="",IPRF_Lines_Edit[[#This Row],[Picked Qty]]=""),"",IPRF_Lines_Edit[[#This Row],[Requested Qty]]-IPRF_Lines_Edit[[#This Row],[Picked Qty]])</f>
        <v/>
      </c>
      <c r="M205" s="18" t="str" cm="1">
        <f t="array" ref="M2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5" s="19" t="str" cm="1">
        <f t="array" ref="N2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6" spans="1:14" ht="30" customHeight="1">
      <c r="A2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6" s="6"/>
      <c r="C206" s="7"/>
      <c r="D206" s="6"/>
      <c r="E206" s="9"/>
      <c r="F206" s="10"/>
      <c r="G206" s="10"/>
      <c r="H206" s="7"/>
      <c r="I206" s="7"/>
      <c r="J206" s="60"/>
      <c r="K206" s="9"/>
      <c r="L206" s="58" t="str">
        <f>IF(OR(IPRF_Lines_Edit[[#This Row],[Requested Qty]]="",IPRF_Lines_Edit[[#This Row],[Picked Qty]]=""),"",IPRF_Lines_Edit[[#This Row],[Requested Qty]]-IPRF_Lines_Edit[[#This Row],[Picked Qty]])</f>
        <v/>
      </c>
      <c r="M206" s="18" t="str" cm="1">
        <f t="array" ref="M2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6" s="19" t="str" cm="1">
        <f t="array" ref="N2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7" spans="1:14" ht="30" customHeight="1">
      <c r="A2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7" s="6"/>
      <c r="C207" s="7"/>
      <c r="D207" s="6"/>
      <c r="E207" s="9"/>
      <c r="F207" s="10"/>
      <c r="G207" s="10"/>
      <c r="H207" s="7"/>
      <c r="I207" s="7"/>
      <c r="J207" s="60"/>
      <c r="K207" s="9"/>
      <c r="L207" s="58" t="str">
        <f>IF(OR(IPRF_Lines_Edit[[#This Row],[Requested Qty]]="",IPRF_Lines_Edit[[#This Row],[Picked Qty]]=""),"",IPRF_Lines_Edit[[#This Row],[Requested Qty]]-IPRF_Lines_Edit[[#This Row],[Picked Qty]])</f>
        <v/>
      </c>
      <c r="M207" s="18" t="str" cm="1">
        <f t="array" ref="M2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7" s="19" t="str" cm="1">
        <f t="array" ref="N2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8" spans="1:14" ht="30" customHeight="1">
      <c r="A2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8" s="6"/>
      <c r="C208" s="7"/>
      <c r="D208" s="6"/>
      <c r="E208" s="9"/>
      <c r="F208" s="10"/>
      <c r="G208" s="10"/>
      <c r="H208" s="7"/>
      <c r="I208" s="7"/>
      <c r="J208" s="60"/>
      <c r="K208" s="9"/>
      <c r="L208" s="58" t="str">
        <f>IF(OR(IPRF_Lines_Edit[[#This Row],[Requested Qty]]="",IPRF_Lines_Edit[[#This Row],[Picked Qty]]=""),"",IPRF_Lines_Edit[[#This Row],[Requested Qty]]-IPRF_Lines_Edit[[#This Row],[Picked Qty]])</f>
        <v/>
      </c>
      <c r="M208" s="18" t="str" cm="1">
        <f t="array" ref="M2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8" s="19" t="str" cm="1">
        <f t="array" ref="N2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09" spans="1:14" ht="30" customHeight="1">
      <c r="A2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09" s="6"/>
      <c r="C209" s="7"/>
      <c r="D209" s="6"/>
      <c r="E209" s="9"/>
      <c r="F209" s="10"/>
      <c r="G209" s="10"/>
      <c r="H209" s="7"/>
      <c r="I209" s="7"/>
      <c r="J209" s="60"/>
      <c r="K209" s="9"/>
      <c r="L209" s="58" t="str">
        <f>IF(OR(IPRF_Lines_Edit[[#This Row],[Requested Qty]]="",IPRF_Lines_Edit[[#This Row],[Picked Qty]]=""),"",IPRF_Lines_Edit[[#This Row],[Requested Qty]]-IPRF_Lines_Edit[[#This Row],[Picked Qty]])</f>
        <v/>
      </c>
      <c r="M209" s="18" t="str" cm="1">
        <f t="array" ref="M2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09" s="19" t="str" cm="1">
        <f t="array" ref="N2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0" spans="1:14" ht="30" customHeight="1">
      <c r="A2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0" s="6"/>
      <c r="C210" s="7"/>
      <c r="D210" s="6"/>
      <c r="E210" s="9"/>
      <c r="F210" s="10"/>
      <c r="G210" s="10"/>
      <c r="H210" s="7"/>
      <c r="I210" s="7"/>
      <c r="J210" s="60"/>
      <c r="K210" s="9"/>
      <c r="L210" s="58" t="str">
        <f>IF(OR(IPRF_Lines_Edit[[#This Row],[Requested Qty]]="",IPRF_Lines_Edit[[#This Row],[Picked Qty]]=""),"",IPRF_Lines_Edit[[#This Row],[Requested Qty]]-IPRF_Lines_Edit[[#This Row],[Picked Qty]])</f>
        <v/>
      </c>
      <c r="M210" s="18" t="str" cm="1">
        <f t="array" ref="M2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0" s="19" t="str" cm="1">
        <f t="array" ref="N2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1" spans="1:14" ht="30" customHeight="1">
      <c r="A2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1" s="6"/>
      <c r="C211" s="7"/>
      <c r="D211" s="6"/>
      <c r="E211" s="9"/>
      <c r="F211" s="10"/>
      <c r="G211" s="10"/>
      <c r="H211" s="7"/>
      <c r="I211" s="7"/>
      <c r="J211" s="60"/>
      <c r="K211" s="9"/>
      <c r="L211" s="58" t="str">
        <f>IF(OR(IPRF_Lines_Edit[[#This Row],[Requested Qty]]="",IPRF_Lines_Edit[[#This Row],[Picked Qty]]=""),"",IPRF_Lines_Edit[[#This Row],[Requested Qty]]-IPRF_Lines_Edit[[#This Row],[Picked Qty]])</f>
        <v/>
      </c>
      <c r="M211" s="18" t="str" cm="1">
        <f t="array" ref="M2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1" s="19" t="str" cm="1">
        <f t="array" ref="N2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2" spans="1:14" ht="30" customHeight="1">
      <c r="A2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2" s="6"/>
      <c r="C212" s="7"/>
      <c r="D212" s="6"/>
      <c r="E212" s="9"/>
      <c r="F212" s="10"/>
      <c r="G212" s="10"/>
      <c r="H212" s="7"/>
      <c r="I212" s="7"/>
      <c r="J212" s="60"/>
      <c r="K212" s="9"/>
      <c r="L212" s="58" t="str">
        <f>IF(OR(IPRF_Lines_Edit[[#This Row],[Requested Qty]]="",IPRF_Lines_Edit[[#This Row],[Picked Qty]]=""),"",IPRF_Lines_Edit[[#This Row],[Requested Qty]]-IPRF_Lines_Edit[[#This Row],[Picked Qty]])</f>
        <v/>
      </c>
      <c r="M212" s="18" t="str" cm="1">
        <f t="array" ref="M2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2" s="19" t="str" cm="1">
        <f t="array" ref="N2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3" spans="1:14" ht="30" customHeight="1">
      <c r="A2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3" s="6"/>
      <c r="C213" s="7"/>
      <c r="D213" s="6"/>
      <c r="E213" s="9"/>
      <c r="F213" s="10"/>
      <c r="G213" s="10"/>
      <c r="H213" s="7"/>
      <c r="I213" s="7"/>
      <c r="J213" s="60"/>
      <c r="K213" s="9"/>
      <c r="L213" s="58" t="str">
        <f>IF(OR(IPRF_Lines_Edit[[#This Row],[Requested Qty]]="",IPRF_Lines_Edit[[#This Row],[Picked Qty]]=""),"",IPRF_Lines_Edit[[#This Row],[Requested Qty]]-IPRF_Lines_Edit[[#This Row],[Picked Qty]])</f>
        <v/>
      </c>
      <c r="M213" s="18" t="str" cm="1">
        <f t="array" ref="M2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3" s="19" t="str" cm="1">
        <f t="array" ref="N2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4" spans="1:14" ht="30" customHeight="1">
      <c r="A2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4" s="6"/>
      <c r="C214" s="7"/>
      <c r="D214" s="6"/>
      <c r="E214" s="9"/>
      <c r="F214" s="10"/>
      <c r="G214" s="10"/>
      <c r="H214" s="7"/>
      <c r="I214" s="7"/>
      <c r="J214" s="60"/>
      <c r="K214" s="9"/>
      <c r="L214" s="58" t="str">
        <f>IF(OR(IPRF_Lines_Edit[[#This Row],[Requested Qty]]="",IPRF_Lines_Edit[[#This Row],[Picked Qty]]=""),"",IPRF_Lines_Edit[[#This Row],[Requested Qty]]-IPRF_Lines_Edit[[#This Row],[Picked Qty]])</f>
        <v/>
      </c>
      <c r="M214" s="18" t="str" cm="1">
        <f t="array" ref="M2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4" s="19" t="str" cm="1">
        <f t="array" ref="N2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5" spans="1:14" ht="30" customHeight="1">
      <c r="A2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5" s="6"/>
      <c r="C215" s="7"/>
      <c r="D215" s="6"/>
      <c r="E215" s="9"/>
      <c r="F215" s="10"/>
      <c r="G215" s="10"/>
      <c r="H215" s="7"/>
      <c r="I215" s="7"/>
      <c r="J215" s="60"/>
      <c r="K215" s="9"/>
      <c r="L215" s="58" t="str">
        <f>IF(OR(IPRF_Lines_Edit[[#This Row],[Requested Qty]]="",IPRF_Lines_Edit[[#This Row],[Picked Qty]]=""),"",IPRF_Lines_Edit[[#This Row],[Requested Qty]]-IPRF_Lines_Edit[[#This Row],[Picked Qty]])</f>
        <v/>
      </c>
      <c r="M215" s="18" t="str" cm="1">
        <f t="array" ref="M2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5" s="19" t="str" cm="1">
        <f t="array" ref="N2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6" spans="1:14" ht="30" customHeight="1">
      <c r="A2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6" s="6"/>
      <c r="C216" s="7"/>
      <c r="D216" s="6"/>
      <c r="E216" s="9"/>
      <c r="F216" s="10"/>
      <c r="G216" s="10"/>
      <c r="H216" s="7"/>
      <c r="I216" s="7"/>
      <c r="J216" s="60"/>
      <c r="K216" s="9"/>
      <c r="L216" s="58" t="str">
        <f>IF(OR(IPRF_Lines_Edit[[#This Row],[Requested Qty]]="",IPRF_Lines_Edit[[#This Row],[Picked Qty]]=""),"",IPRF_Lines_Edit[[#This Row],[Requested Qty]]-IPRF_Lines_Edit[[#This Row],[Picked Qty]])</f>
        <v/>
      </c>
      <c r="M216" s="18" t="str" cm="1">
        <f t="array" ref="M2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6" s="19" t="str" cm="1">
        <f t="array" ref="N2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7" spans="1:14" ht="30" customHeight="1">
      <c r="A2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7" s="6"/>
      <c r="C217" s="7"/>
      <c r="D217" s="6"/>
      <c r="E217" s="9"/>
      <c r="F217" s="10"/>
      <c r="G217" s="10"/>
      <c r="H217" s="7"/>
      <c r="I217" s="7"/>
      <c r="J217" s="60"/>
      <c r="K217" s="9"/>
      <c r="L217" s="58" t="str">
        <f>IF(OR(IPRF_Lines_Edit[[#This Row],[Requested Qty]]="",IPRF_Lines_Edit[[#This Row],[Picked Qty]]=""),"",IPRF_Lines_Edit[[#This Row],[Requested Qty]]-IPRF_Lines_Edit[[#This Row],[Picked Qty]])</f>
        <v/>
      </c>
      <c r="M217" s="18" t="str" cm="1">
        <f t="array" ref="M2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7" s="19" t="str" cm="1">
        <f t="array" ref="N2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8" spans="1:14" ht="30" customHeight="1">
      <c r="A2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8" s="6"/>
      <c r="C218" s="7"/>
      <c r="D218" s="6"/>
      <c r="E218" s="9"/>
      <c r="F218" s="10"/>
      <c r="G218" s="10"/>
      <c r="H218" s="7"/>
      <c r="I218" s="7"/>
      <c r="J218" s="60"/>
      <c r="K218" s="9"/>
      <c r="L218" s="58" t="str">
        <f>IF(OR(IPRF_Lines_Edit[[#This Row],[Requested Qty]]="",IPRF_Lines_Edit[[#This Row],[Picked Qty]]=""),"",IPRF_Lines_Edit[[#This Row],[Requested Qty]]-IPRF_Lines_Edit[[#This Row],[Picked Qty]])</f>
        <v/>
      </c>
      <c r="M218" s="18" t="str" cm="1">
        <f t="array" ref="M2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8" s="19" t="str" cm="1">
        <f t="array" ref="N2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19" spans="1:14" ht="30" customHeight="1">
      <c r="A2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19" s="6"/>
      <c r="C219" s="7"/>
      <c r="D219" s="6"/>
      <c r="E219" s="9"/>
      <c r="F219" s="10"/>
      <c r="G219" s="10"/>
      <c r="H219" s="7"/>
      <c r="I219" s="7"/>
      <c r="J219" s="60"/>
      <c r="K219" s="9"/>
      <c r="L219" s="58" t="str">
        <f>IF(OR(IPRF_Lines_Edit[[#This Row],[Requested Qty]]="",IPRF_Lines_Edit[[#This Row],[Picked Qty]]=""),"",IPRF_Lines_Edit[[#This Row],[Requested Qty]]-IPRF_Lines_Edit[[#This Row],[Picked Qty]])</f>
        <v/>
      </c>
      <c r="M219" s="18" t="str" cm="1">
        <f t="array" ref="M2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19" s="19" t="str" cm="1">
        <f t="array" ref="N2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0" spans="1:14" ht="30" customHeight="1">
      <c r="A2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0" s="6"/>
      <c r="C220" s="7"/>
      <c r="D220" s="6"/>
      <c r="E220" s="9"/>
      <c r="F220" s="10"/>
      <c r="G220" s="10"/>
      <c r="H220" s="7"/>
      <c r="I220" s="7"/>
      <c r="J220" s="60"/>
      <c r="K220" s="9"/>
      <c r="L220" s="58" t="str">
        <f>IF(OR(IPRF_Lines_Edit[[#This Row],[Requested Qty]]="",IPRF_Lines_Edit[[#This Row],[Picked Qty]]=""),"",IPRF_Lines_Edit[[#This Row],[Requested Qty]]-IPRF_Lines_Edit[[#This Row],[Picked Qty]])</f>
        <v/>
      </c>
      <c r="M220" s="18" t="str" cm="1">
        <f t="array" ref="M2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0" s="19" t="str" cm="1">
        <f t="array" ref="N2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1" spans="1:14" ht="30" customHeight="1">
      <c r="A2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1" s="6"/>
      <c r="C221" s="7"/>
      <c r="D221" s="6"/>
      <c r="E221" s="9"/>
      <c r="F221" s="10"/>
      <c r="G221" s="10"/>
      <c r="H221" s="7"/>
      <c r="I221" s="7"/>
      <c r="J221" s="60"/>
      <c r="K221" s="9"/>
      <c r="L221" s="58" t="str">
        <f>IF(OR(IPRF_Lines_Edit[[#This Row],[Requested Qty]]="",IPRF_Lines_Edit[[#This Row],[Picked Qty]]=""),"",IPRF_Lines_Edit[[#This Row],[Requested Qty]]-IPRF_Lines_Edit[[#This Row],[Picked Qty]])</f>
        <v/>
      </c>
      <c r="M221" s="18" t="str" cm="1">
        <f t="array" ref="M2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1" s="19" t="str" cm="1">
        <f t="array" ref="N2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2" spans="1:14" ht="30" customHeight="1">
      <c r="A2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2" s="6"/>
      <c r="C222" s="7"/>
      <c r="D222" s="6"/>
      <c r="E222" s="9"/>
      <c r="F222" s="10"/>
      <c r="G222" s="10"/>
      <c r="H222" s="7"/>
      <c r="I222" s="7"/>
      <c r="J222" s="60"/>
      <c r="K222" s="9"/>
      <c r="L222" s="58" t="str">
        <f>IF(OR(IPRF_Lines_Edit[[#This Row],[Requested Qty]]="",IPRF_Lines_Edit[[#This Row],[Picked Qty]]=""),"",IPRF_Lines_Edit[[#This Row],[Requested Qty]]-IPRF_Lines_Edit[[#This Row],[Picked Qty]])</f>
        <v/>
      </c>
      <c r="M222" s="18" t="str" cm="1">
        <f t="array" ref="M2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2" s="19" t="str" cm="1">
        <f t="array" ref="N2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3" spans="1:14" ht="30" customHeight="1">
      <c r="A2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3" s="6"/>
      <c r="C223" s="7"/>
      <c r="D223" s="6"/>
      <c r="E223" s="9"/>
      <c r="F223" s="10"/>
      <c r="G223" s="10"/>
      <c r="H223" s="7"/>
      <c r="I223" s="7"/>
      <c r="J223" s="60"/>
      <c r="K223" s="9"/>
      <c r="L223" s="58" t="str">
        <f>IF(OR(IPRF_Lines_Edit[[#This Row],[Requested Qty]]="",IPRF_Lines_Edit[[#This Row],[Picked Qty]]=""),"",IPRF_Lines_Edit[[#This Row],[Requested Qty]]-IPRF_Lines_Edit[[#This Row],[Picked Qty]])</f>
        <v/>
      </c>
      <c r="M223" s="18" t="str" cm="1">
        <f t="array" ref="M2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3" s="19" t="str" cm="1">
        <f t="array" ref="N2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4" spans="1:14" ht="30" customHeight="1">
      <c r="A2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4" s="6"/>
      <c r="C224" s="7"/>
      <c r="D224" s="6"/>
      <c r="E224" s="9"/>
      <c r="F224" s="10"/>
      <c r="G224" s="10"/>
      <c r="H224" s="7"/>
      <c r="I224" s="7"/>
      <c r="J224" s="60"/>
      <c r="K224" s="9"/>
      <c r="L224" s="58" t="str">
        <f>IF(OR(IPRF_Lines_Edit[[#This Row],[Requested Qty]]="",IPRF_Lines_Edit[[#This Row],[Picked Qty]]=""),"",IPRF_Lines_Edit[[#This Row],[Requested Qty]]-IPRF_Lines_Edit[[#This Row],[Picked Qty]])</f>
        <v/>
      </c>
      <c r="M224" s="18" t="str" cm="1">
        <f t="array" ref="M2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4" s="19" t="str" cm="1">
        <f t="array" ref="N2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5" spans="1:14" ht="30" customHeight="1">
      <c r="A2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5" s="6"/>
      <c r="C225" s="7"/>
      <c r="D225" s="6"/>
      <c r="E225" s="9"/>
      <c r="F225" s="10"/>
      <c r="G225" s="10"/>
      <c r="H225" s="7"/>
      <c r="I225" s="7"/>
      <c r="J225" s="60"/>
      <c r="K225" s="9"/>
      <c r="L225" s="58" t="str">
        <f>IF(OR(IPRF_Lines_Edit[[#This Row],[Requested Qty]]="",IPRF_Lines_Edit[[#This Row],[Picked Qty]]=""),"",IPRF_Lines_Edit[[#This Row],[Requested Qty]]-IPRF_Lines_Edit[[#This Row],[Picked Qty]])</f>
        <v/>
      </c>
      <c r="M225" s="18" t="str" cm="1">
        <f t="array" ref="M2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5" s="19" t="str" cm="1">
        <f t="array" ref="N2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6" spans="1:14" ht="30" customHeight="1">
      <c r="A2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6" s="6"/>
      <c r="C226" s="7"/>
      <c r="D226" s="6"/>
      <c r="E226" s="9"/>
      <c r="F226" s="10"/>
      <c r="G226" s="10"/>
      <c r="H226" s="7"/>
      <c r="I226" s="7"/>
      <c r="J226" s="60"/>
      <c r="K226" s="9"/>
      <c r="L226" s="58" t="str">
        <f>IF(OR(IPRF_Lines_Edit[[#This Row],[Requested Qty]]="",IPRF_Lines_Edit[[#This Row],[Picked Qty]]=""),"",IPRF_Lines_Edit[[#This Row],[Requested Qty]]-IPRF_Lines_Edit[[#This Row],[Picked Qty]])</f>
        <v/>
      </c>
      <c r="M226" s="18" t="str" cm="1">
        <f t="array" ref="M2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6" s="19" t="str" cm="1">
        <f t="array" ref="N2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7" spans="1:14" ht="30" customHeight="1">
      <c r="A2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7" s="6"/>
      <c r="C227" s="7"/>
      <c r="D227" s="6"/>
      <c r="E227" s="9"/>
      <c r="F227" s="10"/>
      <c r="G227" s="10"/>
      <c r="H227" s="7"/>
      <c r="I227" s="7"/>
      <c r="J227" s="60"/>
      <c r="K227" s="9"/>
      <c r="L227" s="58" t="str">
        <f>IF(OR(IPRF_Lines_Edit[[#This Row],[Requested Qty]]="",IPRF_Lines_Edit[[#This Row],[Picked Qty]]=""),"",IPRF_Lines_Edit[[#This Row],[Requested Qty]]-IPRF_Lines_Edit[[#This Row],[Picked Qty]])</f>
        <v/>
      </c>
      <c r="M227" s="18" t="str" cm="1">
        <f t="array" ref="M2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7" s="19" t="str" cm="1">
        <f t="array" ref="N2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8" spans="1:14" ht="30" customHeight="1">
      <c r="A2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8" s="6"/>
      <c r="C228" s="7"/>
      <c r="D228" s="6"/>
      <c r="E228" s="9"/>
      <c r="F228" s="10"/>
      <c r="G228" s="10"/>
      <c r="H228" s="7"/>
      <c r="I228" s="7"/>
      <c r="J228" s="60"/>
      <c r="K228" s="9"/>
      <c r="L228" s="58" t="str">
        <f>IF(OR(IPRF_Lines_Edit[[#This Row],[Requested Qty]]="",IPRF_Lines_Edit[[#This Row],[Picked Qty]]=""),"",IPRF_Lines_Edit[[#This Row],[Requested Qty]]-IPRF_Lines_Edit[[#This Row],[Picked Qty]])</f>
        <v/>
      </c>
      <c r="M228" s="18" t="str" cm="1">
        <f t="array" ref="M2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8" s="19" t="str" cm="1">
        <f t="array" ref="N2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29" spans="1:14" ht="30" customHeight="1">
      <c r="A2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29" s="6"/>
      <c r="C229" s="7"/>
      <c r="D229" s="6"/>
      <c r="E229" s="9"/>
      <c r="F229" s="10"/>
      <c r="G229" s="10"/>
      <c r="H229" s="7"/>
      <c r="I229" s="7"/>
      <c r="J229" s="60"/>
      <c r="K229" s="9"/>
      <c r="L229" s="58" t="str">
        <f>IF(OR(IPRF_Lines_Edit[[#This Row],[Requested Qty]]="",IPRF_Lines_Edit[[#This Row],[Picked Qty]]=""),"",IPRF_Lines_Edit[[#This Row],[Requested Qty]]-IPRF_Lines_Edit[[#This Row],[Picked Qty]])</f>
        <v/>
      </c>
      <c r="M229" s="18" t="str" cm="1">
        <f t="array" ref="M2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29" s="19" t="str" cm="1">
        <f t="array" ref="N2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0" spans="1:14" ht="30" customHeight="1">
      <c r="A2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0" s="6"/>
      <c r="C230" s="7"/>
      <c r="D230" s="6"/>
      <c r="E230" s="9"/>
      <c r="F230" s="10"/>
      <c r="G230" s="10"/>
      <c r="H230" s="7"/>
      <c r="I230" s="7"/>
      <c r="J230" s="60"/>
      <c r="K230" s="9"/>
      <c r="L230" s="58" t="str">
        <f>IF(OR(IPRF_Lines_Edit[[#This Row],[Requested Qty]]="",IPRF_Lines_Edit[[#This Row],[Picked Qty]]=""),"",IPRF_Lines_Edit[[#This Row],[Requested Qty]]-IPRF_Lines_Edit[[#This Row],[Picked Qty]])</f>
        <v/>
      </c>
      <c r="M230" s="18" t="str" cm="1">
        <f t="array" ref="M2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0" s="19" t="str" cm="1">
        <f t="array" ref="N2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1" spans="1:14" ht="30" customHeight="1">
      <c r="A2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1" s="6"/>
      <c r="C231" s="7"/>
      <c r="D231" s="6"/>
      <c r="E231" s="9"/>
      <c r="F231" s="10"/>
      <c r="G231" s="10"/>
      <c r="H231" s="7"/>
      <c r="I231" s="7"/>
      <c r="J231" s="60"/>
      <c r="K231" s="9"/>
      <c r="L231" s="58" t="str">
        <f>IF(OR(IPRF_Lines_Edit[[#This Row],[Requested Qty]]="",IPRF_Lines_Edit[[#This Row],[Picked Qty]]=""),"",IPRF_Lines_Edit[[#This Row],[Requested Qty]]-IPRF_Lines_Edit[[#This Row],[Picked Qty]])</f>
        <v/>
      </c>
      <c r="M231" s="18" t="str" cm="1">
        <f t="array" ref="M2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1" s="19" t="str" cm="1">
        <f t="array" ref="N2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2" spans="1:14" ht="30" customHeight="1">
      <c r="A2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2" s="6"/>
      <c r="C232" s="7"/>
      <c r="D232" s="6"/>
      <c r="E232" s="9"/>
      <c r="F232" s="10"/>
      <c r="G232" s="10"/>
      <c r="H232" s="7"/>
      <c r="I232" s="7"/>
      <c r="J232" s="60"/>
      <c r="K232" s="9"/>
      <c r="L232" s="58" t="str">
        <f>IF(OR(IPRF_Lines_Edit[[#This Row],[Requested Qty]]="",IPRF_Lines_Edit[[#This Row],[Picked Qty]]=""),"",IPRF_Lines_Edit[[#This Row],[Requested Qty]]-IPRF_Lines_Edit[[#This Row],[Picked Qty]])</f>
        <v/>
      </c>
      <c r="M232" s="18" t="str" cm="1">
        <f t="array" ref="M2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2" s="19" t="str" cm="1">
        <f t="array" ref="N2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3" spans="1:14" ht="30" customHeight="1">
      <c r="A2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3" s="6"/>
      <c r="C233" s="7"/>
      <c r="D233" s="6"/>
      <c r="E233" s="9"/>
      <c r="F233" s="10"/>
      <c r="G233" s="10"/>
      <c r="H233" s="7"/>
      <c r="I233" s="7"/>
      <c r="J233" s="60"/>
      <c r="K233" s="9"/>
      <c r="L233" s="58" t="str">
        <f>IF(OR(IPRF_Lines_Edit[[#This Row],[Requested Qty]]="",IPRF_Lines_Edit[[#This Row],[Picked Qty]]=""),"",IPRF_Lines_Edit[[#This Row],[Requested Qty]]-IPRF_Lines_Edit[[#This Row],[Picked Qty]])</f>
        <v/>
      </c>
      <c r="M233" s="18" t="str" cm="1">
        <f t="array" ref="M2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3" s="19" t="str" cm="1">
        <f t="array" ref="N2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4" spans="1:14" ht="30" customHeight="1">
      <c r="A2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4" s="6"/>
      <c r="C234" s="7"/>
      <c r="D234" s="6"/>
      <c r="E234" s="9"/>
      <c r="F234" s="10"/>
      <c r="G234" s="10"/>
      <c r="H234" s="7"/>
      <c r="I234" s="7"/>
      <c r="J234" s="60"/>
      <c r="K234" s="9"/>
      <c r="L234" s="58" t="str">
        <f>IF(OR(IPRF_Lines_Edit[[#This Row],[Requested Qty]]="",IPRF_Lines_Edit[[#This Row],[Picked Qty]]=""),"",IPRF_Lines_Edit[[#This Row],[Requested Qty]]-IPRF_Lines_Edit[[#This Row],[Picked Qty]])</f>
        <v/>
      </c>
      <c r="M234" s="18" t="str" cm="1">
        <f t="array" ref="M2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4" s="19" t="str" cm="1">
        <f t="array" ref="N2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5" spans="1:14" ht="30" customHeight="1">
      <c r="A2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5" s="6"/>
      <c r="C235" s="7"/>
      <c r="D235" s="6"/>
      <c r="E235" s="9"/>
      <c r="F235" s="10"/>
      <c r="G235" s="10"/>
      <c r="H235" s="7"/>
      <c r="I235" s="7"/>
      <c r="J235" s="60"/>
      <c r="K235" s="9"/>
      <c r="L235" s="58" t="str">
        <f>IF(OR(IPRF_Lines_Edit[[#This Row],[Requested Qty]]="",IPRF_Lines_Edit[[#This Row],[Picked Qty]]=""),"",IPRF_Lines_Edit[[#This Row],[Requested Qty]]-IPRF_Lines_Edit[[#This Row],[Picked Qty]])</f>
        <v/>
      </c>
      <c r="M235" s="18" t="str" cm="1">
        <f t="array" ref="M2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5" s="19" t="str" cm="1">
        <f t="array" ref="N2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6" spans="1:14" ht="30" customHeight="1">
      <c r="A2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6" s="6"/>
      <c r="C236" s="7"/>
      <c r="D236" s="6"/>
      <c r="E236" s="9"/>
      <c r="F236" s="10"/>
      <c r="G236" s="10"/>
      <c r="H236" s="7"/>
      <c r="I236" s="7"/>
      <c r="J236" s="60"/>
      <c r="K236" s="9"/>
      <c r="L236" s="58" t="str">
        <f>IF(OR(IPRF_Lines_Edit[[#This Row],[Requested Qty]]="",IPRF_Lines_Edit[[#This Row],[Picked Qty]]=""),"",IPRF_Lines_Edit[[#This Row],[Requested Qty]]-IPRF_Lines_Edit[[#This Row],[Picked Qty]])</f>
        <v/>
      </c>
      <c r="M236" s="18" t="str" cm="1">
        <f t="array" ref="M2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6" s="19" t="str" cm="1">
        <f t="array" ref="N2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7" spans="1:14" ht="30" customHeight="1">
      <c r="A2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7" s="6"/>
      <c r="C237" s="7"/>
      <c r="D237" s="6"/>
      <c r="E237" s="9"/>
      <c r="F237" s="10"/>
      <c r="G237" s="10"/>
      <c r="H237" s="7"/>
      <c r="I237" s="7"/>
      <c r="J237" s="60"/>
      <c r="K237" s="9"/>
      <c r="L237" s="58" t="str">
        <f>IF(OR(IPRF_Lines_Edit[[#This Row],[Requested Qty]]="",IPRF_Lines_Edit[[#This Row],[Picked Qty]]=""),"",IPRF_Lines_Edit[[#This Row],[Requested Qty]]-IPRF_Lines_Edit[[#This Row],[Picked Qty]])</f>
        <v/>
      </c>
      <c r="M237" s="18" t="str" cm="1">
        <f t="array" ref="M2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7" s="19" t="str" cm="1">
        <f t="array" ref="N2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8" spans="1:14" ht="30" customHeight="1">
      <c r="A2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8" s="6"/>
      <c r="C238" s="7"/>
      <c r="D238" s="6"/>
      <c r="E238" s="9"/>
      <c r="F238" s="10"/>
      <c r="G238" s="10"/>
      <c r="H238" s="7"/>
      <c r="I238" s="7"/>
      <c r="J238" s="60"/>
      <c r="K238" s="9"/>
      <c r="L238" s="58" t="str">
        <f>IF(OR(IPRF_Lines_Edit[[#This Row],[Requested Qty]]="",IPRF_Lines_Edit[[#This Row],[Picked Qty]]=""),"",IPRF_Lines_Edit[[#This Row],[Requested Qty]]-IPRF_Lines_Edit[[#This Row],[Picked Qty]])</f>
        <v/>
      </c>
      <c r="M238" s="18" t="str" cm="1">
        <f t="array" ref="M2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8" s="19" t="str" cm="1">
        <f t="array" ref="N2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39" spans="1:14" ht="30" customHeight="1">
      <c r="A2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39" s="6"/>
      <c r="C239" s="7"/>
      <c r="D239" s="6"/>
      <c r="E239" s="9"/>
      <c r="F239" s="10"/>
      <c r="G239" s="10"/>
      <c r="H239" s="7"/>
      <c r="I239" s="7"/>
      <c r="J239" s="60"/>
      <c r="K239" s="9"/>
      <c r="L239" s="58" t="str">
        <f>IF(OR(IPRF_Lines_Edit[[#This Row],[Requested Qty]]="",IPRF_Lines_Edit[[#This Row],[Picked Qty]]=""),"",IPRF_Lines_Edit[[#This Row],[Requested Qty]]-IPRF_Lines_Edit[[#This Row],[Picked Qty]])</f>
        <v/>
      </c>
      <c r="M239" s="18" t="str" cm="1">
        <f t="array" ref="M2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39" s="19" t="str" cm="1">
        <f t="array" ref="N2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0" spans="1:14" ht="30" customHeight="1">
      <c r="A2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0" s="6"/>
      <c r="C240" s="7"/>
      <c r="D240" s="6"/>
      <c r="E240" s="9"/>
      <c r="F240" s="10"/>
      <c r="G240" s="10"/>
      <c r="H240" s="7"/>
      <c r="I240" s="7"/>
      <c r="J240" s="60"/>
      <c r="K240" s="9"/>
      <c r="L240" s="58" t="str">
        <f>IF(OR(IPRF_Lines_Edit[[#This Row],[Requested Qty]]="",IPRF_Lines_Edit[[#This Row],[Picked Qty]]=""),"",IPRF_Lines_Edit[[#This Row],[Requested Qty]]-IPRF_Lines_Edit[[#This Row],[Picked Qty]])</f>
        <v/>
      </c>
      <c r="M240" s="18" t="str" cm="1">
        <f t="array" ref="M2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0" s="19" t="str" cm="1">
        <f t="array" ref="N2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1" spans="1:14" ht="30" customHeight="1">
      <c r="A2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1" s="6"/>
      <c r="C241" s="7"/>
      <c r="D241" s="6"/>
      <c r="E241" s="9"/>
      <c r="F241" s="10"/>
      <c r="G241" s="10"/>
      <c r="H241" s="7"/>
      <c r="I241" s="7"/>
      <c r="J241" s="60"/>
      <c r="K241" s="9"/>
      <c r="L241" s="58" t="str">
        <f>IF(OR(IPRF_Lines_Edit[[#This Row],[Requested Qty]]="",IPRF_Lines_Edit[[#This Row],[Picked Qty]]=""),"",IPRF_Lines_Edit[[#This Row],[Requested Qty]]-IPRF_Lines_Edit[[#This Row],[Picked Qty]])</f>
        <v/>
      </c>
      <c r="M241" s="18" t="str" cm="1">
        <f t="array" ref="M2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1" s="19" t="str" cm="1">
        <f t="array" ref="N2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2" spans="1:14" ht="30" customHeight="1">
      <c r="A2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2" s="6"/>
      <c r="C242" s="7"/>
      <c r="D242" s="6"/>
      <c r="E242" s="9"/>
      <c r="F242" s="10"/>
      <c r="G242" s="10"/>
      <c r="H242" s="7"/>
      <c r="I242" s="7"/>
      <c r="J242" s="60"/>
      <c r="K242" s="9"/>
      <c r="L242" s="58" t="str">
        <f>IF(OR(IPRF_Lines_Edit[[#This Row],[Requested Qty]]="",IPRF_Lines_Edit[[#This Row],[Picked Qty]]=""),"",IPRF_Lines_Edit[[#This Row],[Requested Qty]]-IPRF_Lines_Edit[[#This Row],[Picked Qty]])</f>
        <v/>
      </c>
      <c r="M242" s="18" t="str" cm="1">
        <f t="array" ref="M2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2" s="19" t="str" cm="1">
        <f t="array" ref="N2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3" spans="1:14" ht="30" customHeight="1">
      <c r="A2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3" s="6"/>
      <c r="C243" s="7"/>
      <c r="D243" s="6"/>
      <c r="E243" s="9"/>
      <c r="F243" s="10"/>
      <c r="G243" s="10"/>
      <c r="H243" s="7"/>
      <c r="I243" s="7"/>
      <c r="J243" s="60"/>
      <c r="K243" s="9"/>
      <c r="L243" s="58" t="str">
        <f>IF(OR(IPRF_Lines_Edit[[#This Row],[Requested Qty]]="",IPRF_Lines_Edit[[#This Row],[Picked Qty]]=""),"",IPRF_Lines_Edit[[#This Row],[Requested Qty]]-IPRF_Lines_Edit[[#This Row],[Picked Qty]])</f>
        <v/>
      </c>
      <c r="M243" s="18" t="str" cm="1">
        <f t="array" ref="M2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3" s="19" t="str" cm="1">
        <f t="array" ref="N2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4" spans="1:14" ht="30" customHeight="1">
      <c r="A2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4" s="6"/>
      <c r="C244" s="7"/>
      <c r="D244" s="6"/>
      <c r="E244" s="9"/>
      <c r="F244" s="10"/>
      <c r="G244" s="10"/>
      <c r="H244" s="7"/>
      <c r="I244" s="7"/>
      <c r="J244" s="60"/>
      <c r="K244" s="9"/>
      <c r="L244" s="58" t="str">
        <f>IF(OR(IPRF_Lines_Edit[[#This Row],[Requested Qty]]="",IPRF_Lines_Edit[[#This Row],[Picked Qty]]=""),"",IPRF_Lines_Edit[[#This Row],[Requested Qty]]-IPRF_Lines_Edit[[#This Row],[Picked Qty]])</f>
        <v/>
      </c>
      <c r="M244" s="18" t="str" cm="1">
        <f t="array" ref="M2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4" s="19" t="str" cm="1">
        <f t="array" ref="N2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5" spans="1:14" ht="30" customHeight="1">
      <c r="A2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5" s="6"/>
      <c r="C245" s="7"/>
      <c r="D245" s="6"/>
      <c r="E245" s="9"/>
      <c r="F245" s="10"/>
      <c r="G245" s="10"/>
      <c r="H245" s="7"/>
      <c r="I245" s="7"/>
      <c r="J245" s="60"/>
      <c r="K245" s="9"/>
      <c r="L245" s="58" t="str">
        <f>IF(OR(IPRF_Lines_Edit[[#This Row],[Requested Qty]]="",IPRF_Lines_Edit[[#This Row],[Picked Qty]]=""),"",IPRF_Lines_Edit[[#This Row],[Requested Qty]]-IPRF_Lines_Edit[[#This Row],[Picked Qty]])</f>
        <v/>
      </c>
      <c r="M245" s="18" t="str" cm="1">
        <f t="array" ref="M2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5" s="19" t="str" cm="1">
        <f t="array" ref="N2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6" spans="1:14" ht="30" customHeight="1">
      <c r="A2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6" s="6"/>
      <c r="C246" s="7"/>
      <c r="D246" s="6"/>
      <c r="E246" s="9"/>
      <c r="F246" s="10"/>
      <c r="G246" s="10"/>
      <c r="H246" s="7"/>
      <c r="I246" s="7"/>
      <c r="J246" s="60"/>
      <c r="K246" s="9"/>
      <c r="L246" s="58" t="str">
        <f>IF(OR(IPRF_Lines_Edit[[#This Row],[Requested Qty]]="",IPRF_Lines_Edit[[#This Row],[Picked Qty]]=""),"",IPRF_Lines_Edit[[#This Row],[Requested Qty]]-IPRF_Lines_Edit[[#This Row],[Picked Qty]])</f>
        <v/>
      </c>
      <c r="M246" s="18" t="str" cm="1">
        <f t="array" ref="M2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6" s="19" t="str" cm="1">
        <f t="array" ref="N2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7" spans="1:14" ht="30" customHeight="1">
      <c r="A2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7" s="6"/>
      <c r="C247" s="7"/>
      <c r="D247" s="6"/>
      <c r="E247" s="9"/>
      <c r="F247" s="10"/>
      <c r="G247" s="10"/>
      <c r="H247" s="7"/>
      <c r="I247" s="7"/>
      <c r="J247" s="60"/>
      <c r="K247" s="9"/>
      <c r="L247" s="58" t="str">
        <f>IF(OR(IPRF_Lines_Edit[[#This Row],[Requested Qty]]="",IPRF_Lines_Edit[[#This Row],[Picked Qty]]=""),"",IPRF_Lines_Edit[[#This Row],[Requested Qty]]-IPRF_Lines_Edit[[#This Row],[Picked Qty]])</f>
        <v/>
      </c>
      <c r="M247" s="18" t="str" cm="1">
        <f t="array" ref="M2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7" s="19" t="str" cm="1">
        <f t="array" ref="N2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8" spans="1:14" ht="30" customHeight="1">
      <c r="A2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8" s="6"/>
      <c r="C248" s="7"/>
      <c r="D248" s="6"/>
      <c r="E248" s="9"/>
      <c r="F248" s="10"/>
      <c r="G248" s="10"/>
      <c r="H248" s="7"/>
      <c r="I248" s="7"/>
      <c r="J248" s="60"/>
      <c r="K248" s="9"/>
      <c r="L248" s="58" t="str">
        <f>IF(OR(IPRF_Lines_Edit[[#This Row],[Requested Qty]]="",IPRF_Lines_Edit[[#This Row],[Picked Qty]]=""),"",IPRF_Lines_Edit[[#This Row],[Requested Qty]]-IPRF_Lines_Edit[[#This Row],[Picked Qty]])</f>
        <v/>
      </c>
      <c r="M248" s="18" t="str" cm="1">
        <f t="array" ref="M2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8" s="19" t="str" cm="1">
        <f t="array" ref="N2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49" spans="1:14" ht="30" customHeight="1">
      <c r="A2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49" s="6"/>
      <c r="C249" s="7"/>
      <c r="D249" s="6"/>
      <c r="E249" s="9"/>
      <c r="F249" s="10"/>
      <c r="G249" s="10"/>
      <c r="H249" s="7"/>
      <c r="I249" s="7"/>
      <c r="J249" s="60"/>
      <c r="K249" s="9"/>
      <c r="L249" s="58" t="str">
        <f>IF(OR(IPRF_Lines_Edit[[#This Row],[Requested Qty]]="",IPRF_Lines_Edit[[#This Row],[Picked Qty]]=""),"",IPRF_Lines_Edit[[#This Row],[Requested Qty]]-IPRF_Lines_Edit[[#This Row],[Picked Qty]])</f>
        <v/>
      </c>
      <c r="M249" s="18" t="str" cm="1">
        <f t="array" ref="M2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49" s="19" t="str" cm="1">
        <f t="array" ref="N2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0" spans="1:14" ht="30" customHeight="1">
      <c r="A2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0" s="6"/>
      <c r="C250" s="7"/>
      <c r="D250" s="6"/>
      <c r="E250" s="9"/>
      <c r="F250" s="10"/>
      <c r="G250" s="10"/>
      <c r="H250" s="7"/>
      <c r="I250" s="7"/>
      <c r="J250" s="60"/>
      <c r="K250" s="9"/>
      <c r="L250" s="58" t="str">
        <f>IF(OR(IPRF_Lines_Edit[[#This Row],[Requested Qty]]="",IPRF_Lines_Edit[[#This Row],[Picked Qty]]=""),"",IPRF_Lines_Edit[[#This Row],[Requested Qty]]-IPRF_Lines_Edit[[#This Row],[Picked Qty]])</f>
        <v/>
      </c>
      <c r="M250" s="18" t="str" cm="1">
        <f t="array" ref="M2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0" s="19" t="str" cm="1">
        <f t="array" ref="N2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1" spans="1:14" ht="30" customHeight="1">
      <c r="A2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1" s="6"/>
      <c r="C251" s="7"/>
      <c r="D251" s="6"/>
      <c r="E251" s="9"/>
      <c r="F251" s="10"/>
      <c r="G251" s="10"/>
      <c r="H251" s="7"/>
      <c r="I251" s="7"/>
      <c r="J251" s="60"/>
      <c r="K251" s="9"/>
      <c r="L251" s="58" t="str">
        <f>IF(OR(IPRF_Lines_Edit[[#This Row],[Requested Qty]]="",IPRF_Lines_Edit[[#This Row],[Picked Qty]]=""),"",IPRF_Lines_Edit[[#This Row],[Requested Qty]]-IPRF_Lines_Edit[[#This Row],[Picked Qty]])</f>
        <v/>
      </c>
      <c r="M251" s="18" t="str" cm="1">
        <f t="array" ref="M2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1" s="19" t="str" cm="1">
        <f t="array" ref="N2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2" spans="1:14" ht="30" customHeight="1">
      <c r="A2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2" s="6"/>
      <c r="C252" s="7"/>
      <c r="D252" s="6"/>
      <c r="E252" s="9"/>
      <c r="F252" s="10"/>
      <c r="G252" s="10"/>
      <c r="H252" s="7"/>
      <c r="I252" s="7"/>
      <c r="J252" s="60"/>
      <c r="K252" s="9"/>
      <c r="L252" s="58" t="str">
        <f>IF(OR(IPRF_Lines_Edit[[#This Row],[Requested Qty]]="",IPRF_Lines_Edit[[#This Row],[Picked Qty]]=""),"",IPRF_Lines_Edit[[#This Row],[Requested Qty]]-IPRF_Lines_Edit[[#This Row],[Picked Qty]])</f>
        <v/>
      </c>
      <c r="M252" s="18" t="str" cm="1">
        <f t="array" ref="M2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2" s="19" t="str" cm="1">
        <f t="array" ref="N2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3" spans="1:14" ht="30" customHeight="1">
      <c r="A2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3" s="6"/>
      <c r="C253" s="7"/>
      <c r="D253" s="6"/>
      <c r="E253" s="9"/>
      <c r="F253" s="10"/>
      <c r="G253" s="10"/>
      <c r="H253" s="7"/>
      <c r="I253" s="7"/>
      <c r="J253" s="60"/>
      <c r="K253" s="9"/>
      <c r="L253" s="58" t="str">
        <f>IF(OR(IPRF_Lines_Edit[[#This Row],[Requested Qty]]="",IPRF_Lines_Edit[[#This Row],[Picked Qty]]=""),"",IPRF_Lines_Edit[[#This Row],[Requested Qty]]-IPRF_Lines_Edit[[#This Row],[Picked Qty]])</f>
        <v/>
      </c>
      <c r="M253" s="18" t="str" cm="1">
        <f t="array" ref="M2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3" s="19" t="str" cm="1">
        <f t="array" ref="N2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4" spans="1:14" ht="30" customHeight="1">
      <c r="A2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4" s="6"/>
      <c r="C254" s="7"/>
      <c r="D254" s="6"/>
      <c r="E254" s="9"/>
      <c r="F254" s="10"/>
      <c r="G254" s="10"/>
      <c r="H254" s="7"/>
      <c r="I254" s="7"/>
      <c r="J254" s="60"/>
      <c r="K254" s="9"/>
      <c r="L254" s="58" t="str">
        <f>IF(OR(IPRF_Lines_Edit[[#This Row],[Requested Qty]]="",IPRF_Lines_Edit[[#This Row],[Picked Qty]]=""),"",IPRF_Lines_Edit[[#This Row],[Requested Qty]]-IPRF_Lines_Edit[[#This Row],[Picked Qty]])</f>
        <v/>
      </c>
      <c r="M254" s="18" t="str" cm="1">
        <f t="array" ref="M2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4" s="19" t="str" cm="1">
        <f t="array" ref="N2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5" spans="1:14" ht="30" customHeight="1">
      <c r="A2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5" s="6"/>
      <c r="C255" s="7"/>
      <c r="D255" s="6"/>
      <c r="E255" s="9"/>
      <c r="F255" s="10"/>
      <c r="G255" s="10"/>
      <c r="H255" s="7"/>
      <c r="I255" s="7"/>
      <c r="J255" s="60"/>
      <c r="K255" s="9"/>
      <c r="L255" s="58" t="str">
        <f>IF(OR(IPRF_Lines_Edit[[#This Row],[Requested Qty]]="",IPRF_Lines_Edit[[#This Row],[Picked Qty]]=""),"",IPRF_Lines_Edit[[#This Row],[Requested Qty]]-IPRF_Lines_Edit[[#This Row],[Picked Qty]])</f>
        <v/>
      </c>
      <c r="M255" s="18" t="str" cm="1">
        <f t="array" ref="M2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5" s="19" t="str" cm="1">
        <f t="array" ref="N2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6" spans="1:14" ht="30" customHeight="1">
      <c r="A2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6" s="6"/>
      <c r="C256" s="7"/>
      <c r="D256" s="6"/>
      <c r="E256" s="9"/>
      <c r="F256" s="10"/>
      <c r="G256" s="10"/>
      <c r="H256" s="7"/>
      <c r="I256" s="7"/>
      <c r="J256" s="60"/>
      <c r="K256" s="9"/>
      <c r="L256" s="58" t="str">
        <f>IF(OR(IPRF_Lines_Edit[[#This Row],[Requested Qty]]="",IPRF_Lines_Edit[[#This Row],[Picked Qty]]=""),"",IPRF_Lines_Edit[[#This Row],[Requested Qty]]-IPRF_Lines_Edit[[#This Row],[Picked Qty]])</f>
        <v/>
      </c>
      <c r="M256" s="18" t="str" cm="1">
        <f t="array" ref="M2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6" s="19" t="str" cm="1">
        <f t="array" ref="N2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7" spans="1:14" ht="30" customHeight="1">
      <c r="A2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7" s="6"/>
      <c r="C257" s="7"/>
      <c r="D257" s="6"/>
      <c r="E257" s="9"/>
      <c r="F257" s="10"/>
      <c r="G257" s="10"/>
      <c r="H257" s="7"/>
      <c r="I257" s="7"/>
      <c r="J257" s="60"/>
      <c r="K257" s="9"/>
      <c r="L257" s="58" t="str">
        <f>IF(OR(IPRF_Lines_Edit[[#This Row],[Requested Qty]]="",IPRF_Lines_Edit[[#This Row],[Picked Qty]]=""),"",IPRF_Lines_Edit[[#This Row],[Requested Qty]]-IPRF_Lines_Edit[[#This Row],[Picked Qty]])</f>
        <v/>
      </c>
      <c r="M257" s="18" t="str" cm="1">
        <f t="array" ref="M2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7" s="19" t="str" cm="1">
        <f t="array" ref="N2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8" spans="1:14" ht="30" customHeight="1">
      <c r="A2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8" s="6"/>
      <c r="C258" s="7"/>
      <c r="D258" s="6"/>
      <c r="E258" s="9"/>
      <c r="F258" s="10"/>
      <c r="G258" s="10"/>
      <c r="H258" s="7"/>
      <c r="I258" s="7"/>
      <c r="J258" s="60"/>
      <c r="K258" s="9"/>
      <c r="L258" s="58" t="str">
        <f>IF(OR(IPRF_Lines_Edit[[#This Row],[Requested Qty]]="",IPRF_Lines_Edit[[#This Row],[Picked Qty]]=""),"",IPRF_Lines_Edit[[#This Row],[Requested Qty]]-IPRF_Lines_Edit[[#This Row],[Picked Qty]])</f>
        <v/>
      </c>
      <c r="M258" s="18" t="str" cm="1">
        <f t="array" ref="M2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8" s="19" t="str" cm="1">
        <f t="array" ref="N2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59" spans="1:14" ht="30" customHeight="1">
      <c r="A2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59" s="6"/>
      <c r="C259" s="7"/>
      <c r="D259" s="6"/>
      <c r="E259" s="9"/>
      <c r="F259" s="10"/>
      <c r="G259" s="10"/>
      <c r="H259" s="7"/>
      <c r="I259" s="7"/>
      <c r="J259" s="60"/>
      <c r="K259" s="9"/>
      <c r="L259" s="58" t="str">
        <f>IF(OR(IPRF_Lines_Edit[[#This Row],[Requested Qty]]="",IPRF_Lines_Edit[[#This Row],[Picked Qty]]=""),"",IPRF_Lines_Edit[[#This Row],[Requested Qty]]-IPRF_Lines_Edit[[#This Row],[Picked Qty]])</f>
        <v/>
      </c>
      <c r="M259" s="18" t="str" cm="1">
        <f t="array" ref="M2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59" s="19" t="str" cm="1">
        <f t="array" ref="N2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0" spans="1:14" ht="30" customHeight="1">
      <c r="A2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0" s="6"/>
      <c r="C260" s="7"/>
      <c r="D260" s="6"/>
      <c r="E260" s="9"/>
      <c r="F260" s="10"/>
      <c r="G260" s="10"/>
      <c r="H260" s="7"/>
      <c r="I260" s="7"/>
      <c r="J260" s="60"/>
      <c r="K260" s="9"/>
      <c r="L260" s="58" t="str">
        <f>IF(OR(IPRF_Lines_Edit[[#This Row],[Requested Qty]]="",IPRF_Lines_Edit[[#This Row],[Picked Qty]]=""),"",IPRF_Lines_Edit[[#This Row],[Requested Qty]]-IPRF_Lines_Edit[[#This Row],[Picked Qty]])</f>
        <v/>
      </c>
      <c r="M260" s="18" t="str" cm="1">
        <f t="array" ref="M2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0" s="19" t="str" cm="1">
        <f t="array" ref="N2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1" spans="1:14" ht="30" customHeight="1">
      <c r="A2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1" s="6"/>
      <c r="C261" s="7"/>
      <c r="D261" s="6"/>
      <c r="E261" s="9"/>
      <c r="F261" s="10"/>
      <c r="G261" s="10"/>
      <c r="H261" s="7"/>
      <c r="I261" s="7"/>
      <c r="J261" s="60"/>
      <c r="K261" s="9"/>
      <c r="L261" s="58" t="str">
        <f>IF(OR(IPRF_Lines_Edit[[#This Row],[Requested Qty]]="",IPRF_Lines_Edit[[#This Row],[Picked Qty]]=""),"",IPRF_Lines_Edit[[#This Row],[Requested Qty]]-IPRF_Lines_Edit[[#This Row],[Picked Qty]])</f>
        <v/>
      </c>
      <c r="M261" s="18" t="str" cm="1">
        <f t="array" ref="M2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1" s="19" t="str" cm="1">
        <f t="array" ref="N2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2" spans="1:14" ht="30" customHeight="1">
      <c r="A2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2" s="6"/>
      <c r="C262" s="7"/>
      <c r="D262" s="6"/>
      <c r="E262" s="9"/>
      <c r="F262" s="10"/>
      <c r="G262" s="10"/>
      <c r="H262" s="7"/>
      <c r="I262" s="7"/>
      <c r="J262" s="60"/>
      <c r="K262" s="9"/>
      <c r="L262" s="58" t="str">
        <f>IF(OR(IPRF_Lines_Edit[[#This Row],[Requested Qty]]="",IPRF_Lines_Edit[[#This Row],[Picked Qty]]=""),"",IPRF_Lines_Edit[[#This Row],[Requested Qty]]-IPRF_Lines_Edit[[#This Row],[Picked Qty]])</f>
        <v/>
      </c>
      <c r="M262" s="18" t="str" cm="1">
        <f t="array" ref="M2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2" s="19" t="str" cm="1">
        <f t="array" ref="N2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3" spans="1:14" ht="30" customHeight="1">
      <c r="A2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3" s="6"/>
      <c r="C263" s="7"/>
      <c r="D263" s="6"/>
      <c r="E263" s="9"/>
      <c r="F263" s="10"/>
      <c r="G263" s="10"/>
      <c r="H263" s="7"/>
      <c r="I263" s="7"/>
      <c r="J263" s="60"/>
      <c r="K263" s="9"/>
      <c r="L263" s="58" t="str">
        <f>IF(OR(IPRF_Lines_Edit[[#This Row],[Requested Qty]]="",IPRF_Lines_Edit[[#This Row],[Picked Qty]]=""),"",IPRF_Lines_Edit[[#This Row],[Requested Qty]]-IPRF_Lines_Edit[[#This Row],[Picked Qty]])</f>
        <v/>
      </c>
      <c r="M263" s="18" t="str" cm="1">
        <f t="array" ref="M2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3" s="19" t="str" cm="1">
        <f t="array" ref="N2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4" spans="1:14" ht="30" customHeight="1">
      <c r="A2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4" s="6"/>
      <c r="C264" s="7"/>
      <c r="D264" s="6"/>
      <c r="E264" s="9"/>
      <c r="F264" s="10"/>
      <c r="G264" s="10"/>
      <c r="H264" s="7"/>
      <c r="I264" s="7"/>
      <c r="J264" s="60"/>
      <c r="K264" s="9"/>
      <c r="L264" s="58" t="str">
        <f>IF(OR(IPRF_Lines_Edit[[#This Row],[Requested Qty]]="",IPRF_Lines_Edit[[#This Row],[Picked Qty]]=""),"",IPRF_Lines_Edit[[#This Row],[Requested Qty]]-IPRF_Lines_Edit[[#This Row],[Picked Qty]])</f>
        <v/>
      </c>
      <c r="M264" s="18" t="str" cm="1">
        <f t="array" ref="M2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4" s="19" t="str" cm="1">
        <f t="array" ref="N2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5" spans="1:14" ht="30" customHeight="1">
      <c r="A2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5" s="6"/>
      <c r="C265" s="7"/>
      <c r="D265" s="6"/>
      <c r="E265" s="9"/>
      <c r="F265" s="10"/>
      <c r="G265" s="10"/>
      <c r="H265" s="7"/>
      <c r="I265" s="7"/>
      <c r="J265" s="60"/>
      <c r="K265" s="9"/>
      <c r="L265" s="58" t="str">
        <f>IF(OR(IPRF_Lines_Edit[[#This Row],[Requested Qty]]="",IPRF_Lines_Edit[[#This Row],[Picked Qty]]=""),"",IPRF_Lines_Edit[[#This Row],[Requested Qty]]-IPRF_Lines_Edit[[#This Row],[Picked Qty]])</f>
        <v/>
      </c>
      <c r="M265" s="18" t="str" cm="1">
        <f t="array" ref="M2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5" s="19" t="str" cm="1">
        <f t="array" ref="N2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6" spans="1:14" ht="30" customHeight="1">
      <c r="A2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6" s="6"/>
      <c r="C266" s="7"/>
      <c r="D266" s="6"/>
      <c r="E266" s="9"/>
      <c r="F266" s="10"/>
      <c r="G266" s="10"/>
      <c r="H266" s="7"/>
      <c r="I266" s="7"/>
      <c r="J266" s="60"/>
      <c r="K266" s="9"/>
      <c r="L266" s="58" t="str">
        <f>IF(OR(IPRF_Lines_Edit[[#This Row],[Requested Qty]]="",IPRF_Lines_Edit[[#This Row],[Picked Qty]]=""),"",IPRF_Lines_Edit[[#This Row],[Requested Qty]]-IPRF_Lines_Edit[[#This Row],[Picked Qty]])</f>
        <v/>
      </c>
      <c r="M266" s="18" t="str" cm="1">
        <f t="array" ref="M2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6" s="19" t="str" cm="1">
        <f t="array" ref="N2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7" spans="1:14" ht="30" customHeight="1">
      <c r="A2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7" s="6"/>
      <c r="C267" s="7"/>
      <c r="D267" s="6"/>
      <c r="E267" s="9"/>
      <c r="F267" s="10"/>
      <c r="G267" s="10"/>
      <c r="H267" s="7"/>
      <c r="I267" s="7"/>
      <c r="J267" s="60"/>
      <c r="K267" s="9"/>
      <c r="L267" s="58" t="str">
        <f>IF(OR(IPRF_Lines_Edit[[#This Row],[Requested Qty]]="",IPRF_Lines_Edit[[#This Row],[Picked Qty]]=""),"",IPRF_Lines_Edit[[#This Row],[Requested Qty]]-IPRF_Lines_Edit[[#This Row],[Picked Qty]])</f>
        <v/>
      </c>
      <c r="M267" s="18" t="str" cm="1">
        <f t="array" ref="M2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7" s="19" t="str" cm="1">
        <f t="array" ref="N2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8" spans="1:14" ht="30" customHeight="1">
      <c r="A2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8" s="6"/>
      <c r="C268" s="7"/>
      <c r="D268" s="6"/>
      <c r="E268" s="9"/>
      <c r="F268" s="10"/>
      <c r="G268" s="10"/>
      <c r="H268" s="7"/>
      <c r="I268" s="7"/>
      <c r="J268" s="60"/>
      <c r="K268" s="9"/>
      <c r="L268" s="58" t="str">
        <f>IF(OR(IPRF_Lines_Edit[[#This Row],[Requested Qty]]="",IPRF_Lines_Edit[[#This Row],[Picked Qty]]=""),"",IPRF_Lines_Edit[[#This Row],[Requested Qty]]-IPRF_Lines_Edit[[#This Row],[Picked Qty]])</f>
        <v/>
      </c>
      <c r="M268" s="18" t="str" cm="1">
        <f t="array" ref="M2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8" s="19" t="str" cm="1">
        <f t="array" ref="N2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69" spans="1:14" ht="30" customHeight="1">
      <c r="A2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69" s="6"/>
      <c r="C269" s="7"/>
      <c r="D269" s="6"/>
      <c r="E269" s="9"/>
      <c r="F269" s="10"/>
      <c r="G269" s="10"/>
      <c r="H269" s="7"/>
      <c r="I269" s="7"/>
      <c r="J269" s="60"/>
      <c r="K269" s="9"/>
      <c r="L269" s="58" t="str">
        <f>IF(OR(IPRF_Lines_Edit[[#This Row],[Requested Qty]]="",IPRF_Lines_Edit[[#This Row],[Picked Qty]]=""),"",IPRF_Lines_Edit[[#This Row],[Requested Qty]]-IPRF_Lines_Edit[[#This Row],[Picked Qty]])</f>
        <v/>
      </c>
      <c r="M269" s="18" t="str" cm="1">
        <f t="array" ref="M2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69" s="19" t="str" cm="1">
        <f t="array" ref="N2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0" spans="1:14" ht="30" customHeight="1">
      <c r="A2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0" s="6"/>
      <c r="C270" s="7"/>
      <c r="D270" s="6"/>
      <c r="E270" s="9"/>
      <c r="F270" s="10"/>
      <c r="G270" s="10"/>
      <c r="H270" s="7"/>
      <c r="I270" s="7"/>
      <c r="J270" s="60"/>
      <c r="K270" s="9"/>
      <c r="L270" s="58" t="str">
        <f>IF(OR(IPRF_Lines_Edit[[#This Row],[Requested Qty]]="",IPRF_Lines_Edit[[#This Row],[Picked Qty]]=""),"",IPRF_Lines_Edit[[#This Row],[Requested Qty]]-IPRF_Lines_Edit[[#This Row],[Picked Qty]])</f>
        <v/>
      </c>
      <c r="M270" s="18" t="str" cm="1">
        <f t="array" ref="M2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0" s="19" t="str" cm="1">
        <f t="array" ref="N2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1" spans="1:14" ht="30" customHeight="1">
      <c r="A2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1" s="6"/>
      <c r="C271" s="7"/>
      <c r="D271" s="6"/>
      <c r="E271" s="9"/>
      <c r="F271" s="10"/>
      <c r="G271" s="10"/>
      <c r="H271" s="7"/>
      <c r="I271" s="7"/>
      <c r="J271" s="60"/>
      <c r="K271" s="9"/>
      <c r="L271" s="58" t="str">
        <f>IF(OR(IPRF_Lines_Edit[[#This Row],[Requested Qty]]="",IPRF_Lines_Edit[[#This Row],[Picked Qty]]=""),"",IPRF_Lines_Edit[[#This Row],[Requested Qty]]-IPRF_Lines_Edit[[#This Row],[Picked Qty]])</f>
        <v/>
      </c>
      <c r="M271" s="18" t="str" cm="1">
        <f t="array" ref="M2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1" s="19" t="str" cm="1">
        <f t="array" ref="N2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2" spans="1:14" ht="30" customHeight="1">
      <c r="A2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2" s="6"/>
      <c r="C272" s="7"/>
      <c r="D272" s="6"/>
      <c r="E272" s="9"/>
      <c r="F272" s="10"/>
      <c r="G272" s="10"/>
      <c r="H272" s="7"/>
      <c r="I272" s="7"/>
      <c r="J272" s="60"/>
      <c r="K272" s="9"/>
      <c r="L272" s="58" t="str">
        <f>IF(OR(IPRF_Lines_Edit[[#This Row],[Requested Qty]]="",IPRF_Lines_Edit[[#This Row],[Picked Qty]]=""),"",IPRF_Lines_Edit[[#This Row],[Requested Qty]]-IPRF_Lines_Edit[[#This Row],[Picked Qty]])</f>
        <v/>
      </c>
      <c r="M272" s="18" t="str" cm="1">
        <f t="array" ref="M2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2" s="19" t="str" cm="1">
        <f t="array" ref="N2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3" spans="1:14" ht="30" customHeight="1">
      <c r="A2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3" s="6"/>
      <c r="C273" s="7"/>
      <c r="D273" s="6"/>
      <c r="E273" s="9"/>
      <c r="F273" s="10"/>
      <c r="G273" s="10"/>
      <c r="H273" s="7"/>
      <c r="I273" s="7"/>
      <c r="J273" s="60"/>
      <c r="K273" s="9"/>
      <c r="L273" s="58" t="str">
        <f>IF(OR(IPRF_Lines_Edit[[#This Row],[Requested Qty]]="",IPRF_Lines_Edit[[#This Row],[Picked Qty]]=""),"",IPRF_Lines_Edit[[#This Row],[Requested Qty]]-IPRF_Lines_Edit[[#This Row],[Picked Qty]])</f>
        <v/>
      </c>
      <c r="M273" s="18" t="str" cm="1">
        <f t="array" ref="M2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3" s="19" t="str" cm="1">
        <f t="array" ref="N2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4" spans="1:14" ht="30" customHeight="1">
      <c r="A2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4" s="6"/>
      <c r="C274" s="7"/>
      <c r="D274" s="6"/>
      <c r="E274" s="9"/>
      <c r="F274" s="10"/>
      <c r="G274" s="10"/>
      <c r="H274" s="7"/>
      <c r="I274" s="7"/>
      <c r="J274" s="60"/>
      <c r="K274" s="9"/>
      <c r="L274" s="58" t="str">
        <f>IF(OR(IPRF_Lines_Edit[[#This Row],[Requested Qty]]="",IPRF_Lines_Edit[[#This Row],[Picked Qty]]=""),"",IPRF_Lines_Edit[[#This Row],[Requested Qty]]-IPRF_Lines_Edit[[#This Row],[Picked Qty]])</f>
        <v/>
      </c>
      <c r="M274" s="18" t="str" cm="1">
        <f t="array" ref="M2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4" s="19" t="str" cm="1">
        <f t="array" ref="N2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5" spans="1:14" ht="30" customHeight="1">
      <c r="A2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5" s="6"/>
      <c r="C275" s="7"/>
      <c r="D275" s="6"/>
      <c r="E275" s="9"/>
      <c r="F275" s="10"/>
      <c r="G275" s="10"/>
      <c r="H275" s="7"/>
      <c r="I275" s="7"/>
      <c r="J275" s="60"/>
      <c r="K275" s="9"/>
      <c r="L275" s="58" t="str">
        <f>IF(OR(IPRF_Lines_Edit[[#This Row],[Requested Qty]]="",IPRF_Lines_Edit[[#This Row],[Picked Qty]]=""),"",IPRF_Lines_Edit[[#This Row],[Requested Qty]]-IPRF_Lines_Edit[[#This Row],[Picked Qty]])</f>
        <v/>
      </c>
      <c r="M275" s="18" t="str" cm="1">
        <f t="array" ref="M2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5" s="19" t="str" cm="1">
        <f t="array" ref="N2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6" spans="1:14" ht="30" customHeight="1">
      <c r="A2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6" s="6"/>
      <c r="C276" s="7"/>
      <c r="D276" s="6"/>
      <c r="E276" s="9"/>
      <c r="F276" s="10"/>
      <c r="G276" s="10"/>
      <c r="H276" s="7"/>
      <c r="I276" s="7"/>
      <c r="J276" s="60"/>
      <c r="K276" s="9"/>
      <c r="L276" s="58" t="str">
        <f>IF(OR(IPRF_Lines_Edit[[#This Row],[Requested Qty]]="",IPRF_Lines_Edit[[#This Row],[Picked Qty]]=""),"",IPRF_Lines_Edit[[#This Row],[Requested Qty]]-IPRF_Lines_Edit[[#This Row],[Picked Qty]])</f>
        <v/>
      </c>
      <c r="M276" s="18" t="str" cm="1">
        <f t="array" ref="M2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6" s="19" t="str" cm="1">
        <f t="array" ref="N2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7" spans="1:14" ht="30" customHeight="1">
      <c r="A2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7" s="6"/>
      <c r="C277" s="7"/>
      <c r="D277" s="6"/>
      <c r="E277" s="9"/>
      <c r="F277" s="10"/>
      <c r="G277" s="10"/>
      <c r="H277" s="7"/>
      <c r="I277" s="7"/>
      <c r="J277" s="60"/>
      <c r="K277" s="9"/>
      <c r="L277" s="58" t="str">
        <f>IF(OR(IPRF_Lines_Edit[[#This Row],[Requested Qty]]="",IPRF_Lines_Edit[[#This Row],[Picked Qty]]=""),"",IPRF_Lines_Edit[[#This Row],[Requested Qty]]-IPRF_Lines_Edit[[#This Row],[Picked Qty]])</f>
        <v/>
      </c>
      <c r="M277" s="18" t="str" cm="1">
        <f t="array" ref="M2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7" s="19" t="str" cm="1">
        <f t="array" ref="N2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8" spans="1:14" ht="30" customHeight="1">
      <c r="A2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8" s="6"/>
      <c r="C278" s="7"/>
      <c r="D278" s="6"/>
      <c r="E278" s="9"/>
      <c r="F278" s="10"/>
      <c r="G278" s="10"/>
      <c r="H278" s="7"/>
      <c r="I278" s="7"/>
      <c r="J278" s="60"/>
      <c r="K278" s="9"/>
      <c r="L278" s="58" t="str">
        <f>IF(OR(IPRF_Lines_Edit[[#This Row],[Requested Qty]]="",IPRF_Lines_Edit[[#This Row],[Picked Qty]]=""),"",IPRF_Lines_Edit[[#This Row],[Requested Qty]]-IPRF_Lines_Edit[[#This Row],[Picked Qty]])</f>
        <v/>
      </c>
      <c r="M278" s="18" t="str" cm="1">
        <f t="array" ref="M2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8" s="19" t="str" cm="1">
        <f t="array" ref="N2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79" spans="1:14" ht="30" customHeight="1">
      <c r="A2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79" s="6"/>
      <c r="C279" s="7"/>
      <c r="D279" s="6"/>
      <c r="E279" s="9"/>
      <c r="F279" s="10"/>
      <c r="G279" s="10"/>
      <c r="H279" s="7"/>
      <c r="I279" s="7"/>
      <c r="J279" s="60"/>
      <c r="K279" s="9"/>
      <c r="L279" s="58" t="str">
        <f>IF(OR(IPRF_Lines_Edit[[#This Row],[Requested Qty]]="",IPRF_Lines_Edit[[#This Row],[Picked Qty]]=""),"",IPRF_Lines_Edit[[#This Row],[Requested Qty]]-IPRF_Lines_Edit[[#This Row],[Picked Qty]])</f>
        <v/>
      </c>
      <c r="M279" s="18" t="str" cm="1">
        <f t="array" ref="M2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79" s="19" t="str" cm="1">
        <f t="array" ref="N2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0" spans="1:14" ht="30" customHeight="1">
      <c r="A2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0" s="6"/>
      <c r="C280" s="7"/>
      <c r="D280" s="6"/>
      <c r="E280" s="9"/>
      <c r="F280" s="10"/>
      <c r="G280" s="10"/>
      <c r="H280" s="7"/>
      <c r="I280" s="7"/>
      <c r="J280" s="60"/>
      <c r="K280" s="9"/>
      <c r="L280" s="58" t="str">
        <f>IF(OR(IPRF_Lines_Edit[[#This Row],[Requested Qty]]="",IPRF_Lines_Edit[[#This Row],[Picked Qty]]=""),"",IPRF_Lines_Edit[[#This Row],[Requested Qty]]-IPRF_Lines_Edit[[#This Row],[Picked Qty]])</f>
        <v/>
      </c>
      <c r="M280" s="18" t="str" cm="1">
        <f t="array" ref="M2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0" s="19" t="str" cm="1">
        <f t="array" ref="N2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1" spans="1:14" ht="30" customHeight="1">
      <c r="A2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1" s="6"/>
      <c r="C281" s="7"/>
      <c r="D281" s="6"/>
      <c r="E281" s="9"/>
      <c r="F281" s="10"/>
      <c r="G281" s="10"/>
      <c r="H281" s="7"/>
      <c r="I281" s="7"/>
      <c r="J281" s="60"/>
      <c r="K281" s="9"/>
      <c r="L281" s="58" t="str">
        <f>IF(OR(IPRF_Lines_Edit[[#This Row],[Requested Qty]]="",IPRF_Lines_Edit[[#This Row],[Picked Qty]]=""),"",IPRF_Lines_Edit[[#This Row],[Requested Qty]]-IPRF_Lines_Edit[[#This Row],[Picked Qty]])</f>
        <v/>
      </c>
      <c r="M281" s="18" t="str" cm="1">
        <f t="array" ref="M2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1" s="19" t="str" cm="1">
        <f t="array" ref="N2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2" spans="1:14" ht="30" customHeight="1">
      <c r="A2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2" s="6"/>
      <c r="C282" s="7"/>
      <c r="D282" s="6"/>
      <c r="E282" s="9"/>
      <c r="F282" s="10"/>
      <c r="G282" s="10"/>
      <c r="H282" s="7"/>
      <c r="I282" s="7"/>
      <c r="J282" s="60"/>
      <c r="K282" s="9"/>
      <c r="L282" s="58" t="str">
        <f>IF(OR(IPRF_Lines_Edit[[#This Row],[Requested Qty]]="",IPRF_Lines_Edit[[#This Row],[Picked Qty]]=""),"",IPRF_Lines_Edit[[#This Row],[Requested Qty]]-IPRF_Lines_Edit[[#This Row],[Picked Qty]])</f>
        <v/>
      </c>
      <c r="M282" s="18" t="str" cm="1">
        <f t="array" ref="M2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2" s="19" t="str" cm="1">
        <f t="array" ref="N2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3" spans="1:14" ht="30" customHeight="1">
      <c r="A2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3" s="6"/>
      <c r="C283" s="7"/>
      <c r="D283" s="6"/>
      <c r="E283" s="9"/>
      <c r="F283" s="10"/>
      <c r="G283" s="10"/>
      <c r="H283" s="7"/>
      <c r="I283" s="7"/>
      <c r="J283" s="60"/>
      <c r="K283" s="9"/>
      <c r="L283" s="58" t="str">
        <f>IF(OR(IPRF_Lines_Edit[[#This Row],[Requested Qty]]="",IPRF_Lines_Edit[[#This Row],[Picked Qty]]=""),"",IPRF_Lines_Edit[[#This Row],[Requested Qty]]-IPRF_Lines_Edit[[#This Row],[Picked Qty]])</f>
        <v/>
      </c>
      <c r="M283" s="18" t="str" cm="1">
        <f t="array" ref="M2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3" s="19" t="str" cm="1">
        <f t="array" ref="N2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4" spans="1:14" ht="30" customHeight="1">
      <c r="A2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4" s="6"/>
      <c r="C284" s="7"/>
      <c r="D284" s="6"/>
      <c r="E284" s="9"/>
      <c r="F284" s="10"/>
      <c r="G284" s="10"/>
      <c r="H284" s="7"/>
      <c r="I284" s="7"/>
      <c r="J284" s="60"/>
      <c r="K284" s="9"/>
      <c r="L284" s="58" t="str">
        <f>IF(OR(IPRF_Lines_Edit[[#This Row],[Requested Qty]]="",IPRF_Lines_Edit[[#This Row],[Picked Qty]]=""),"",IPRF_Lines_Edit[[#This Row],[Requested Qty]]-IPRF_Lines_Edit[[#This Row],[Picked Qty]])</f>
        <v/>
      </c>
      <c r="M284" s="18" t="str" cm="1">
        <f t="array" ref="M2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4" s="19" t="str" cm="1">
        <f t="array" ref="N2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5" spans="1:14" ht="30" customHeight="1">
      <c r="A2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5" s="6"/>
      <c r="C285" s="7"/>
      <c r="D285" s="6"/>
      <c r="E285" s="9"/>
      <c r="F285" s="10"/>
      <c r="G285" s="10"/>
      <c r="H285" s="7"/>
      <c r="I285" s="7"/>
      <c r="J285" s="60"/>
      <c r="K285" s="9"/>
      <c r="L285" s="58" t="str">
        <f>IF(OR(IPRF_Lines_Edit[[#This Row],[Requested Qty]]="",IPRF_Lines_Edit[[#This Row],[Picked Qty]]=""),"",IPRF_Lines_Edit[[#This Row],[Requested Qty]]-IPRF_Lines_Edit[[#This Row],[Picked Qty]])</f>
        <v/>
      </c>
      <c r="M285" s="18" t="str" cm="1">
        <f t="array" ref="M2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5" s="19" t="str" cm="1">
        <f t="array" ref="N2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6" spans="1:14" ht="30" customHeight="1">
      <c r="A2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6" s="6"/>
      <c r="C286" s="7"/>
      <c r="D286" s="6"/>
      <c r="E286" s="9"/>
      <c r="F286" s="10"/>
      <c r="G286" s="10"/>
      <c r="H286" s="7"/>
      <c r="I286" s="7"/>
      <c r="J286" s="60"/>
      <c r="K286" s="9"/>
      <c r="L286" s="58" t="str">
        <f>IF(OR(IPRF_Lines_Edit[[#This Row],[Requested Qty]]="",IPRF_Lines_Edit[[#This Row],[Picked Qty]]=""),"",IPRF_Lines_Edit[[#This Row],[Requested Qty]]-IPRF_Lines_Edit[[#This Row],[Picked Qty]])</f>
        <v/>
      </c>
      <c r="M286" s="18" t="str" cm="1">
        <f t="array" ref="M2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6" s="19" t="str" cm="1">
        <f t="array" ref="N2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7" spans="1:14" ht="30" customHeight="1">
      <c r="A2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7" s="6"/>
      <c r="C287" s="7"/>
      <c r="D287" s="6"/>
      <c r="E287" s="9"/>
      <c r="F287" s="10"/>
      <c r="G287" s="10"/>
      <c r="H287" s="7"/>
      <c r="I287" s="7"/>
      <c r="J287" s="60"/>
      <c r="K287" s="9"/>
      <c r="L287" s="58" t="str">
        <f>IF(OR(IPRF_Lines_Edit[[#This Row],[Requested Qty]]="",IPRF_Lines_Edit[[#This Row],[Picked Qty]]=""),"",IPRF_Lines_Edit[[#This Row],[Requested Qty]]-IPRF_Lines_Edit[[#This Row],[Picked Qty]])</f>
        <v/>
      </c>
      <c r="M287" s="18" t="str" cm="1">
        <f t="array" ref="M2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7" s="19" t="str" cm="1">
        <f t="array" ref="N2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8" spans="1:14" ht="30" customHeight="1">
      <c r="A2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8" s="6"/>
      <c r="C288" s="7"/>
      <c r="D288" s="6"/>
      <c r="E288" s="9"/>
      <c r="F288" s="10"/>
      <c r="G288" s="10"/>
      <c r="H288" s="7"/>
      <c r="I288" s="7"/>
      <c r="J288" s="60"/>
      <c r="K288" s="9"/>
      <c r="L288" s="58" t="str">
        <f>IF(OR(IPRF_Lines_Edit[[#This Row],[Requested Qty]]="",IPRF_Lines_Edit[[#This Row],[Picked Qty]]=""),"",IPRF_Lines_Edit[[#This Row],[Requested Qty]]-IPRF_Lines_Edit[[#This Row],[Picked Qty]])</f>
        <v/>
      </c>
      <c r="M288" s="18" t="str" cm="1">
        <f t="array" ref="M2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8" s="19" t="str" cm="1">
        <f t="array" ref="N2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89" spans="1:14" ht="30" customHeight="1">
      <c r="A2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89" s="6"/>
      <c r="C289" s="7"/>
      <c r="D289" s="6"/>
      <c r="E289" s="9"/>
      <c r="F289" s="10"/>
      <c r="G289" s="10"/>
      <c r="H289" s="7"/>
      <c r="I289" s="7"/>
      <c r="J289" s="60"/>
      <c r="K289" s="9"/>
      <c r="L289" s="58" t="str">
        <f>IF(OR(IPRF_Lines_Edit[[#This Row],[Requested Qty]]="",IPRF_Lines_Edit[[#This Row],[Picked Qty]]=""),"",IPRF_Lines_Edit[[#This Row],[Requested Qty]]-IPRF_Lines_Edit[[#This Row],[Picked Qty]])</f>
        <v/>
      </c>
      <c r="M289" s="18" t="str" cm="1">
        <f t="array" ref="M2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89" s="19" t="str" cm="1">
        <f t="array" ref="N2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0" spans="1:14" ht="30" customHeight="1">
      <c r="A2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0" s="6"/>
      <c r="C290" s="7"/>
      <c r="D290" s="6"/>
      <c r="E290" s="9"/>
      <c r="F290" s="10"/>
      <c r="G290" s="10"/>
      <c r="H290" s="7"/>
      <c r="I290" s="7"/>
      <c r="J290" s="60"/>
      <c r="K290" s="9"/>
      <c r="L290" s="58" t="str">
        <f>IF(OR(IPRF_Lines_Edit[[#This Row],[Requested Qty]]="",IPRF_Lines_Edit[[#This Row],[Picked Qty]]=""),"",IPRF_Lines_Edit[[#This Row],[Requested Qty]]-IPRF_Lines_Edit[[#This Row],[Picked Qty]])</f>
        <v/>
      </c>
      <c r="M290" s="18" t="str" cm="1">
        <f t="array" ref="M2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0" s="19" t="str" cm="1">
        <f t="array" ref="N2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1" spans="1:14" ht="30" customHeight="1">
      <c r="A2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1" s="6"/>
      <c r="C291" s="7"/>
      <c r="D291" s="6"/>
      <c r="E291" s="9"/>
      <c r="F291" s="10"/>
      <c r="G291" s="10"/>
      <c r="H291" s="7"/>
      <c r="I291" s="7"/>
      <c r="J291" s="60"/>
      <c r="K291" s="9"/>
      <c r="L291" s="58" t="str">
        <f>IF(OR(IPRF_Lines_Edit[[#This Row],[Requested Qty]]="",IPRF_Lines_Edit[[#This Row],[Picked Qty]]=""),"",IPRF_Lines_Edit[[#This Row],[Requested Qty]]-IPRF_Lines_Edit[[#This Row],[Picked Qty]])</f>
        <v/>
      </c>
      <c r="M291" s="18" t="str" cm="1">
        <f t="array" ref="M2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1" s="19" t="str" cm="1">
        <f t="array" ref="N2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2" spans="1:14" ht="30" customHeight="1">
      <c r="A2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2" s="6"/>
      <c r="C292" s="7"/>
      <c r="D292" s="6"/>
      <c r="E292" s="9"/>
      <c r="F292" s="10"/>
      <c r="G292" s="10"/>
      <c r="H292" s="7"/>
      <c r="I292" s="7"/>
      <c r="J292" s="60"/>
      <c r="K292" s="9"/>
      <c r="L292" s="58" t="str">
        <f>IF(OR(IPRF_Lines_Edit[[#This Row],[Requested Qty]]="",IPRF_Lines_Edit[[#This Row],[Picked Qty]]=""),"",IPRF_Lines_Edit[[#This Row],[Requested Qty]]-IPRF_Lines_Edit[[#This Row],[Picked Qty]])</f>
        <v/>
      </c>
      <c r="M292" s="18" t="str" cm="1">
        <f t="array" ref="M2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2" s="19" t="str" cm="1">
        <f t="array" ref="N2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3" spans="1:14" ht="30" customHeight="1">
      <c r="A2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3" s="6"/>
      <c r="C293" s="7"/>
      <c r="D293" s="6"/>
      <c r="E293" s="9"/>
      <c r="F293" s="10"/>
      <c r="G293" s="10"/>
      <c r="H293" s="7"/>
      <c r="I293" s="7"/>
      <c r="J293" s="60"/>
      <c r="K293" s="9"/>
      <c r="L293" s="58" t="str">
        <f>IF(OR(IPRF_Lines_Edit[[#This Row],[Requested Qty]]="",IPRF_Lines_Edit[[#This Row],[Picked Qty]]=""),"",IPRF_Lines_Edit[[#This Row],[Requested Qty]]-IPRF_Lines_Edit[[#This Row],[Picked Qty]])</f>
        <v/>
      </c>
      <c r="M293" s="18" t="str" cm="1">
        <f t="array" ref="M2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3" s="19" t="str" cm="1">
        <f t="array" ref="N2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4" spans="1:14" ht="30" customHeight="1">
      <c r="A2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4" s="6"/>
      <c r="C294" s="7"/>
      <c r="D294" s="6"/>
      <c r="E294" s="9"/>
      <c r="F294" s="10"/>
      <c r="G294" s="10"/>
      <c r="H294" s="7"/>
      <c r="I294" s="7"/>
      <c r="J294" s="60"/>
      <c r="K294" s="9"/>
      <c r="L294" s="58" t="str">
        <f>IF(OR(IPRF_Lines_Edit[[#This Row],[Requested Qty]]="",IPRF_Lines_Edit[[#This Row],[Picked Qty]]=""),"",IPRF_Lines_Edit[[#This Row],[Requested Qty]]-IPRF_Lines_Edit[[#This Row],[Picked Qty]])</f>
        <v/>
      </c>
      <c r="M294" s="18" t="str" cm="1">
        <f t="array" ref="M2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4" s="19" t="str" cm="1">
        <f t="array" ref="N2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5" spans="1:14" ht="30" customHeight="1">
      <c r="A2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5" s="6"/>
      <c r="C295" s="7"/>
      <c r="D295" s="6"/>
      <c r="E295" s="9"/>
      <c r="F295" s="10"/>
      <c r="G295" s="10"/>
      <c r="H295" s="7"/>
      <c r="I295" s="7"/>
      <c r="J295" s="60"/>
      <c r="K295" s="9"/>
      <c r="L295" s="58" t="str">
        <f>IF(OR(IPRF_Lines_Edit[[#This Row],[Requested Qty]]="",IPRF_Lines_Edit[[#This Row],[Picked Qty]]=""),"",IPRF_Lines_Edit[[#This Row],[Requested Qty]]-IPRF_Lines_Edit[[#This Row],[Picked Qty]])</f>
        <v/>
      </c>
      <c r="M295" s="18" t="str" cm="1">
        <f t="array" ref="M2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5" s="19" t="str" cm="1">
        <f t="array" ref="N2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6" spans="1:14" ht="30" customHeight="1">
      <c r="A2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6" s="6"/>
      <c r="C296" s="7"/>
      <c r="D296" s="6"/>
      <c r="E296" s="9"/>
      <c r="F296" s="10"/>
      <c r="G296" s="10"/>
      <c r="H296" s="7"/>
      <c r="I296" s="7"/>
      <c r="J296" s="60"/>
      <c r="K296" s="9"/>
      <c r="L296" s="58" t="str">
        <f>IF(OR(IPRF_Lines_Edit[[#This Row],[Requested Qty]]="",IPRF_Lines_Edit[[#This Row],[Picked Qty]]=""),"",IPRF_Lines_Edit[[#This Row],[Requested Qty]]-IPRF_Lines_Edit[[#This Row],[Picked Qty]])</f>
        <v/>
      </c>
      <c r="M296" s="18" t="str" cm="1">
        <f t="array" ref="M2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6" s="19" t="str" cm="1">
        <f t="array" ref="N2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7" spans="1:14" ht="30" customHeight="1">
      <c r="A2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7" s="6"/>
      <c r="C297" s="7"/>
      <c r="D297" s="6"/>
      <c r="E297" s="9"/>
      <c r="F297" s="10"/>
      <c r="G297" s="10"/>
      <c r="H297" s="7"/>
      <c r="I297" s="7"/>
      <c r="J297" s="60"/>
      <c r="K297" s="9"/>
      <c r="L297" s="58" t="str">
        <f>IF(OR(IPRF_Lines_Edit[[#This Row],[Requested Qty]]="",IPRF_Lines_Edit[[#This Row],[Picked Qty]]=""),"",IPRF_Lines_Edit[[#This Row],[Requested Qty]]-IPRF_Lines_Edit[[#This Row],[Picked Qty]])</f>
        <v/>
      </c>
      <c r="M297" s="18" t="str" cm="1">
        <f t="array" ref="M2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7" s="19" t="str" cm="1">
        <f t="array" ref="N2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8" spans="1:14" ht="30" customHeight="1">
      <c r="A2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8" s="6"/>
      <c r="C298" s="7"/>
      <c r="D298" s="6"/>
      <c r="E298" s="9"/>
      <c r="F298" s="10"/>
      <c r="G298" s="10"/>
      <c r="H298" s="7"/>
      <c r="I298" s="7"/>
      <c r="J298" s="60"/>
      <c r="K298" s="9"/>
      <c r="L298" s="58" t="str">
        <f>IF(OR(IPRF_Lines_Edit[[#This Row],[Requested Qty]]="",IPRF_Lines_Edit[[#This Row],[Picked Qty]]=""),"",IPRF_Lines_Edit[[#This Row],[Requested Qty]]-IPRF_Lines_Edit[[#This Row],[Picked Qty]])</f>
        <v/>
      </c>
      <c r="M298" s="18" t="str" cm="1">
        <f t="array" ref="M2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8" s="19" t="str" cm="1">
        <f t="array" ref="N2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299" spans="1:14" ht="30" customHeight="1">
      <c r="A2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299" s="6"/>
      <c r="C299" s="7"/>
      <c r="D299" s="6"/>
      <c r="E299" s="9"/>
      <c r="F299" s="10"/>
      <c r="G299" s="10"/>
      <c r="H299" s="7"/>
      <c r="I299" s="7"/>
      <c r="J299" s="60"/>
      <c r="K299" s="9"/>
      <c r="L299" s="58" t="str">
        <f>IF(OR(IPRF_Lines_Edit[[#This Row],[Requested Qty]]="",IPRF_Lines_Edit[[#This Row],[Picked Qty]]=""),"",IPRF_Lines_Edit[[#This Row],[Requested Qty]]-IPRF_Lines_Edit[[#This Row],[Picked Qty]])</f>
        <v/>
      </c>
      <c r="M299" s="18" t="str" cm="1">
        <f t="array" ref="M2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299" s="19" t="str" cm="1">
        <f t="array" ref="N2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0" spans="1:14" ht="30" customHeight="1">
      <c r="A3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0" s="6"/>
      <c r="C300" s="7"/>
      <c r="D300" s="6"/>
      <c r="E300" s="9"/>
      <c r="F300" s="10"/>
      <c r="G300" s="10"/>
      <c r="H300" s="7"/>
      <c r="I300" s="7"/>
      <c r="J300" s="60"/>
      <c r="K300" s="9"/>
      <c r="L300" s="58" t="str">
        <f>IF(OR(IPRF_Lines_Edit[[#This Row],[Requested Qty]]="",IPRF_Lines_Edit[[#This Row],[Picked Qty]]=""),"",IPRF_Lines_Edit[[#This Row],[Requested Qty]]-IPRF_Lines_Edit[[#This Row],[Picked Qty]])</f>
        <v/>
      </c>
      <c r="M300" s="18" t="str" cm="1">
        <f t="array" ref="M3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0" s="19" t="str" cm="1">
        <f t="array" ref="N3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1" spans="1:14" ht="30" customHeight="1">
      <c r="A3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1" s="6"/>
      <c r="C301" s="7"/>
      <c r="D301" s="6"/>
      <c r="E301" s="9"/>
      <c r="F301" s="10"/>
      <c r="G301" s="10"/>
      <c r="H301" s="7"/>
      <c r="I301" s="7"/>
      <c r="J301" s="60"/>
      <c r="K301" s="9"/>
      <c r="L301" s="58" t="str">
        <f>IF(OR(IPRF_Lines_Edit[[#This Row],[Requested Qty]]="",IPRF_Lines_Edit[[#This Row],[Picked Qty]]=""),"",IPRF_Lines_Edit[[#This Row],[Requested Qty]]-IPRF_Lines_Edit[[#This Row],[Picked Qty]])</f>
        <v/>
      </c>
      <c r="M301" s="18" t="str" cm="1">
        <f t="array" ref="M3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1" s="19" t="str" cm="1">
        <f t="array" ref="N3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2" spans="1:14" ht="30" customHeight="1">
      <c r="A3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2" s="6"/>
      <c r="C302" s="7"/>
      <c r="D302" s="6"/>
      <c r="E302" s="9"/>
      <c r="F302" s="10"/>
      <c r="G302" s="10"/>
      <c r="H302" s="7"/>
      <c r="I302" s="7"/>
      <c r="J302" s="60"/>
      <c r="K302" s="9"/>
      <c r="L302" s="58" t="str">
        <f>IF(OR(IPRF_Lines_Edit[[#This Row],[Requested Qty]]="",IPRF_Lines_Edit[[#This Row],[Picked Qty]]=""),"",IPRF_Lines_Edit[[#This Row],[Requested Qty]]-IPRF_Lines_Edit[[#This Row],[Picked Qty]])</f>
        <v/>
      </c>
      <c r="M302" s="18" t="str" cm="1">
        <f t="array" ref="M3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2" s="19" t="str" cm="1">
        <f t="array" ref="N3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3" spans="1:14" ht="30" customHeight="1">
      <c r="A3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3" s="6"/>
      <c r="C303" s="7"/>
      <c r="D303" s="6"/>
      <c r="E303" s="9"/>
      <c r="F303" s="10"/>
      <c r="G303" s="10"/>
      <c r="H303" s="7"/>
      <c r="I303" s="7"/>
      <c r="J303" s="60"/>
      <c r="K303" s="9"/>
      <c r="L303" s="58" t="str">
        <f>IF(OR(IPRF_Lines_Edit[[#This Row],[Requested Qty]]="",IPRF_Lines_Edit[[#This Row],[Picked Qty]]=""),"",IPRF_Lines_Edit[[#This Row],[Requested Qty]]-IPRF_Lines_Edit[[#This Row],[Picked Qty]])</f>
        <v/>
      </c>
      <c r="M303" s="18" t="str" cm="1">
        <f t="array" ref="M3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3" s="19" t="str" cm="1">
        <f t="array" ref="N3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4" spans="1:14" ht="30" customHeight="1">
      <c r="A3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4" s="6"/>
      <c r="C304" s="7"/>
      <c r="D304" s="6"/>
      <c r="E304" s="9"/>
      <c r="F304" s="10"/>
      <c r="G304" s="10"/>
      <c r="H304" s="7"/>
      <c r="I304" s="7"/>
      <c r="J304" s="60"/>
      <c r="K304" s="9"/>
      <c r="L304" s="58" t="str">
        <f>IF(OR(IPRF_Lines_Edit[[#This Row],[Requested Qty]]="",IPRF_Lines_Edit[[#This Row],[Picked Qty]]=""),"",IPRF_Lines_Edit[[#This Row],[Requested Qty]]-IPRF_Lines_Edit[[#This Row],[Picked Qty]])</f>
        <v/>
      </c>
      <c r="M304" s="18" t="str" cm="1">
        <f t="array" ref="M3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4" s="19" t="str" cm="1">
        <f t="array" ref="N3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5" spans="1:14" ht="30" customHeight="1">
      <c r="A3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5" s="6"/>
      <c r="C305" s="7"/>
      <c r="D305" s="6"/>
      <c r="E305" s="9"/>
      <c r="F305" s="10"/>
      <c r="G305" s="10"/>
      <c r="H305" s="7"/>
      <c r="I305" s="7"/>
      <c r="J305" s="60"/>
      <c r="K305" s="9"/>
      <c r="L305" s="58" t="str">
        <f>IF(OR(IPRF_Lines_Edit[[#This Row],[Requested Qty]]="",IPRF_Lines_Edit[[#This Row],[Picked Qty]]=""),"",IPRF_Lines_Edit[[#This Row],[Requested Qty]]-IPRF_Lines_Edit[[#This Row],[Picked Qty]])</f>
        <v/>
      </c>
      <c r="M305" s="18" t="str" cm="1">
        <f t="array" ref="M3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5" s="19" t="str" cm="1">
        <f t="array" ref="N3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6" spans="1:14" ht="30" customHeight="1">
      <c r="A3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6" s="6"/>
      <c r="C306" s="7"/>
      <c r="D306" s="6"/>
      <c r="E306" s="9"/>
      <c r="F306" s="10"/>
      <c r="G306" s="10"/>
      <c r="H306" s="7"/>
      <c r="I306" s="7"/>
      <c r="J306" s="60"/>
      <c r="K306" s="9"/>
      <c r="L306" s="58" t="str">
        <f>IF(OR(IPRF_Lines_Edit[[#This Row],[Requested Qty]]="",IPRF_Lines_Edit[[#This Row],[Picked Qty]]=""),"",IPRF_Lines_Edit[[#This Row],[Requested Qty]]-IPRF_Lines_Edit[[#This Row],[Picked Qty]])</f>
        <v/>
      </c>
      <c r="M306" s="18" t="str" cm="1">
        <f t="array" ref="M3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6" s="19" t="str" cm="1">
        <f t="array" ref="N3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7" spans="1:14" ht="30" customHeight="1">
      <c r="A3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7" s="6"/>
      <c r="C307" s="7"/>
      <c r="D307" s="6"/>
      <c r="E307" s="9"/>
      <c r="F307" s="10"/>
      <c r="G307" s="10"/>
      <c r="H307" s="7"/>
      <c r="I307" s="7"/>
      <c r="J307" s="60"/>
      <c r="K307" s="9"/>
      <c r="L307" s="58" t="str">
        <f>IF(OR(IPRF_Lines_Edit[[#This Row],[Requested Qty]]="",IPRF_Lines_Edit[[#This Row],[Picked Qty]]=""),"",IPRF_Lines_Edit[[#This Row],[Requested Qty]]-IPRF_Lines_Edit[[#This Row],[Picked Qty]])</f>
        <v/>
      </c>
      <c r="M307" s="18" t="str" cm="1">
        <f t="array" ref="M3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7" s="19" t="str" cm="1">
        <f t="array" ref="N3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8" spans="1:14" ht="30" customHeight="1">
      <c r="A3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8" s="6"/>
      <c r="C308" s="7"/>
      <c r="D308" s="6"/>
      <c r="E308" s="9"/>
      <c r="F308" s="10"/>
      <c r="G308" s="10"/>
      <c r="H308" s="7"/>
      <c r="I308" s="7"/>
      <c r="J308" s="60"/>
      <c r="K308" s="9"/>
      <c r="L308" s="58" t="str">
        <f>IF(OR(IPRF_Lines_Edit[[#This Row],[Requested Qty]]="",IPRF_Lines_Edit[[#This Row],[Picked Qty]]=""),"",IPRF_Lines_Edit[[#This Row],[Requested Qty]]-IPRF_Lines_Edit[[#This Row],[Picked Qty]])</f>
        <v/>
      </c>
      <c r="M308" s="18" t="str" cm="1">
        <f t="array" ref="M3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8" s="19" t="str" cm="1">
        <f t="array" ref="N3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09" spans="1:14" ht="30" customHeight="1">
      <c r="A3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09" s="6"/>
      <c r="C309" s="7"/>
      <c r="D309" s="6"/>
      <c r="E309" s="9"/>
      <c r="F309" s="10"/>
      <c r="G309" s="10"/>
      <c r="H309" s="7"/>
      <c r="I309" s="7"/>
      <c r="J309" s="60"/>
      <c r="K309" s="9"/>
      <c r="L309" s="58" t="str">
        <f>IF(OR(IPRF_Lines_Edit[[#This Row],[Requested Qty]]="",IPRF_Lines_Edit[[#This Row],[Picked Qty]]=""),"",IPRF_Lines_Edit[[#This Row],[Requested Qty]]-IPRF_Lines_Edit[[#This Row],[Picked Qty]])</f>
        <v/>
      </c>
      <c r="M309" s="18" t="str" cm="1">
        <f t="array" ref="M3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09" s="19" t="str" cm="1">
        <f t="array" ref="N3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0" spans="1:14" ht="30" customHeight="1">
      <c r="A3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0" s="6"/>
      <c r="C310" s="7"/>
      <c r="D310" s="6"/>
      <c r="E310" s="9"/>
      <c r="F310" s="10"/>
      <c r="G310" s="10"/>
      <c r="H310" s="7"/>
      <c r="I310" s="7"/>
      <c r="J310" s="60"/>
      <c r="K310" s="9"/>
      <c r="L310" s="58" t="str">
        <f>IF(OR(IPRF_Lines_Edit[[#This Row],[Requested Qty]]="",IPRF_Lines_Edit[[#This Row],[Picked Qty]]=""),"",IPRF_Lines_Edit[[#This Row],[Requested Qty]]-IPRF_Lines_Edit[[#This Row],[Picked Qty]])</f>
        <v/>
      </c>
      <c r="M310" s="18" t="str" cm="1">
        <f t="array" ref="M3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0" s="19" t="str" cm="1">
        <f t="array" ref="N3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1" spans="1:14" ht="30" customHeight="1">
      <c r="A3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1" s="6"/>
      <c r="C311" s="7"/>
      <c r="D311" s="6"/>
      <c r="E311" s="9"/>
      <c r="F311" s="10"/>
      <c r="G311" s="10"/>
      <c r="H311" s="7"/>
      <c r="I311" s="7"/>
      <c r="J311" s="60"/>
      <c r="K311" s="9"/>
      <c r="L311" s="58" t="str">
        <f>IF(OR(IPRF_Lines_Edit[[#This Row],[Requested Qty]]="",IPRF_Lines_Edit[[#This Row],[Picked Qty]]=""),"",IPRF_Lines_Edit[[#This Row],[Requested Qty]]-IPRF_Lines_Edit[[#This Row],[Picked Qty]])</f>
        <v/>
      </c>
      <c r="M311" s="18" t="str" cm="1">
        <f t="array" ref="M3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1" s="19" t="str" cm="1">
        <f t="array" ref="N3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2" spans="1:14" ht="30" customHeight="1">
      <c r="A3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2" s="6"/>
      <c r="C312" s="7"/>
      <c r="D312" s="6"/>
      <c r="E312" s="9"/>
      <c r="F312" s="10"/>
      <c r="G312" s="10"/>
      <c r="H312" s="7"/>
      <c r="I312" s="7"/>
      <c r="J312" s="60"/>
      <c r="K312" s="9"/>
      <c r="L312" s="58" t="str">
        <f>IF(OR(IPRF_Lines_Edit[[#This Row],[Requested Qty]]="",IPRF_Lines_Edit[[#This Row],[Picked Qty]]=""),"",IPRF_Lines_Edit[[#This Row],[Requested Qty]]-IPRF_Lines_Edit[[#This Row],[Picked Qty]])</f>
        <v/>
      </c>
      <c r="M312" s="18" t="str" cm="1">
        <f t="array" ref="M3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2" s="19" t="str" cm="1">
        <f t="array" ref="N3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3" spans="1:14" ht="30" customHeight="1">
      <c r="A3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3" s="6"/>
      <c r="C313" s="7"/>
      <c r="D313" s="6"/>
      <c r="E313" s="9"/>
      <c r="F313" s="10"/>
      <c r="G313" s="10"/>
      <c r="H313" s="7"/>
      <c r="I313" s="7"/>
      <c r="J313" s="60"/>
      <c r="K313" s="9"/>
      <c r="L313" s="58" t="str">
        <f>IF(OR(IPRF_Lines_Edit[[#This Row],[Requested Qty]]="",IPRF_Lines_Edit[[#This Row],[Picked Qty]]=""),"",IPRF_Lines_Edit[[#This Row],[Requested Qty]]-IPRF_Lines_Edit[[#This Row],[Picked Qty]])</f>
        <v/>
      </c>
      <c r="M313" s="18" t="str" cm="1">
        <f t="array" ref="M3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3" s="19" t="str" cm="1">
        <f t="array" ref="N3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4" spans="1:14" ht="30" customHeight="1">
      <c r="A3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4" s="6"/>
      <c r="C314" s="7"/>
      <c r="D314" s="6"/>
      <c r="E314" s="9"/>
      <c r="F314" s="10"/>
      <c r="G314" s="10"/>
      <c r="H314" s="7"/>
      <c r="I314" s="7"/>
      <c r="J314" s="60"/>
      <c r="K314" s="9"/>
      <c r="L314" s="58" t="str">
        <f>IF(OR(IPRF_Lines_Edit[[#This Row],[Requested Qty]]="",IPRF_Lines_Edit[[#This Row],[Picked Qty]]=""),"",IPRF_Lines_Edit[[#This Row],[Requested Qty]]-IPRF_Lines_Edit[[#This Row],[Picked Qty]])</f>
        <v/>
      </c>
      <c r="M314" s="18" t="str" cm="1">
        <f t="array" ref="M3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4" s="19" t="str" cm="1">
        <f t="array" ref="N3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5" spans="1:14" ht="30" customHeight="1">
      <c r="A3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5" s="6"/>
      <c r="C315" s="7"/>
      <c r="D315" s="6"/>
      <c r="E315" s="9"/>
      <c r="F315" s="10"/>
      <c r="G315" s="10"/>
      <c r="H315" s="7"/>
      <c r="I315" s="7"/>
      <c r="J315" s="60"/>
      <c r="K315" s="9"/>
      <c r="L315" s="58" t="str">
        <f>IF(OR(IPRF_Lines_Edit[[#This Row],[Requested Qty]]="",IPRF_Lines_Edit[[#This Row],[Picked Qty]]=""),"",IPRF_Lines_Edit[[#This Row],[Requested Qty]]-IPRF_Lines_Edit[[#This Row],[Picked Qty]])</f>
        <v/>
      </c>
      <c r="M315" s="18" t="str" cm="1">
        <f t="array" ref="M3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5" s="19" t="str" cm="1">
        <f t="array" ref="N3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6" spans="1:14" ht="30" customHeight="1">
      <c r="A3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6" s="6"/>
      <c r="C316" s="7"/>
      <c r="D316" s="6"/>
      <c r="E316" s="9"/>
      <c r="F316" s="10"/>
      <c r="G316" s="10"/>
      <c r="H316" s="7"/>
      <c r="I316" s="7"/>
      <c r="J316" s="60"/>
      <c r="K316" s="9"/>
      <c r="L316" s="58" t="str">
        <f>IF(OR(IPRF_Lines_Edit[[#This Row],[Requested Qty]]="",IPRF_Lines_Edit[[#This Row],[Picked Qty]]=""),"",IPRF_Lines_Edit[[#This Row],[Requested Qty]]-IPRF_Lines_Edit[[#This Row],[Picked Qty]])</f>
        <v/>
      </c>
      <c r="M316" s="18" t="str" cm="1">
        <f t="array" ref="M3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6" s="19" t="str" cm="1">
        <f t="array" ref="N3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7" spans="1:14" ht="30" customHeight="1">
      <c r="A3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7" s="6"/>
      <c r="C317" s="7"/>
      <c r="D317" s="6"/>
      <c r="E317" s="9"/>
      <c r="F317" s="10"/>
      <c r="G317" s="10"/>
      <c r="H317" s="7"/>
      <c r="I317" s="7"/>
      <c r="J317" s="60"/>
      <c r="K317" s="9"/>
      <c r="L317" s="58" t="str">
        <f>IF(OR(IPRF_Lines_Edit[[#This Row],[Requested Qty]]="",IPRF_Lines_Edit[[#This Row],[Picked Qty]]=""),"",IPRF_Lines_Edit[[#This Row],[Requested Qty]]-IPRF_Lines_Edit[[#This Row],[Picked Qty]])</f>
        <v/>
      </c>
      <c r="M317" s="18" t="str" cm="1">
        <f t="array" ref="M3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7" s="19" t="str" cm="1">
        <f t="array" ref="N3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8" spans="1:14" ht="30" customHeight="1">
      <c r="A3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8" s="6"/>
      <c r="C318" s="7"/>
      <c r="D318" s="6"/>
      <c r="E318" s="9"/>
      <c r="F318" s="10"/>
      <c r="G318" s="10"/>
      <c r="H318" s="7"/>
      <c r="I318" s="7"/>
      <c r="J318" s="60"/>
      <c r="K318" s="9"/>
      <c r="L318" s="58" t="str">
        <f>IF(OR(IPRF_Lines_Edit[[#This Row],[Requested Qty]]="",IPRF_Lines_Edit[[#This Row],[Picked Qty]]=""),"",IPRF_Lines_Edit[[#This Row],[Requested Qty]]-IPRF_Lines_Edit[[#This Row],[Picked Qty]])</f>
        <v/>
      </c>
      <c r="M318" s="18" t="str" cm="1">
        <f t="array" ref="M3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8" s="19" t="str" cm="1">
        <f t="array" ref="N3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19" spans="1:14" ht="30" customHeight="1">
      <c r="A3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19" s="6"/>
      <c r="C319" s="7"/>
      <c r="D319" s="6"/>
      <c r="E319" s="9"/>
      <c r="F319" s="10"/>
      <c r="G319" s="10"/>
      <c r="H319" s="7"/>
      <c r="I319" s="7"/>
      <c r="J319" s="60"/>
      <c r="K319" s="9"/>
      <c r="L319" s="58" t="str">
        <f>IF(OR(IPRF_Lines_Edit[[#This Row],[Requested Qty]]="",IPRF_Lines_Edit[[#This Row],[Picked Qty]]=""),"",IPRF_Lines_Edit[[#This Row],[Requested Qty]]-IPRF_Lines_Edit[[#This Row],[Picked Qty]])</f>
        <v/>
      </c>
      <c r="M319" s="18" t="str" cm="1">
        <f t="array" ref="M3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19" s="19" t="str" cm="1">
        <f t="array" ref="N3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0" spans="1:14" ht="30" customHeight="1">
      <c r="A3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0" s="6"/>
      <c r="C320" s="7"/>
      <c r="D320" s="6"/>
      <c r="E320" s="9"/>
      <c r="F320" s="10"/>
      <c r="G320" s="10"/>
      <c r="H320" s="7"/>
      <c r="I320" s="7"/>
      <c r="J320" s="60"/>
      <c r="K320" s="9"/>
      <c r="L320" s="58" t="str">
        <f>IF(OR(IPRF_Lines_Edit[[#This Row],[Requested Qty]]="",IPRF_Lines_Edit[[#This Row],[Picked Qty]]=""),"",IPRF_Lines_Edit[[#This Row],[Requested Qty]]-IPRF_Lines_Edit[[#This Row],[Picked Qty]])</f>
        <v/>
      </c>
      <c r="M320" s="18" t="str" cm="1">
        <f t="array" ref="M3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0" s="19" t="str" cm="1">
        <f t="array" ref="N3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1" spans="1:14" ht="30" customHeight="1">
      <c r="A3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1" s="6"/>
      <c r="C321" s="7"/>
      <c r="D321" s="6"/>
      <c r="E321" s="9"/>
      <c r="F321" s="10"/>
      <c r="G321" s="10"/>
      <c r="H321" s="7"/>
      <c r="I321" s="7"/>
      <c r="J321" s="60"/>
      <c r="K321" s="9"/>
      <c r="L321" s="58" t="str">
        <f>IF(OR(IPRF_Lines_Edit[[#This Row],[Requested Qty]]="",IPRF_Lines_Edit[[#This Row],[Picked Qty]]=""),"",IPRF_Lines_Edit[[#This Row],[Requested Qty]]-IPRF_Lines_Edit[[#This Row],[Picked Qty]])</f>
        <v/>
      </c>
      <c r="M321" s="18" t="str" cm="1">
        <f t="array" ref="M3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1" s="19" t="str" cm="1">
        <f t="array" ref="N3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2" spans="1:14" ht="30" customHeight="1">
      <c r="A3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2" s="6"/>
      <c r="C322" s="7"/>
      <c r="D322" s="6"/>
      <c r="E322" s="9"/>
      <c r="F322" s="10"/>
      <c r="G322" s="10"/>
      <c r="H322" s="7"/>
      <c r="I322" s="7"/>
      <c r="J322" s="60"/>
      <c r="K322" s="9"/>
      <c r="L322" s="58" t="str">
        <f>IF(OR(IPRF_Lines_Edit[[#This Row],[Requested Qty]]="",IPRF_Lines_Edit[[#This Row],[Picked Qty]]=""),"",IPRF_Lines_Edit[[#This Row],[Requested Qty]]-IPRF_Lines_Edit[[#This Row],[Picked Qty]])</f>
        <v/>
      </c>
      <c r="M322" s="18" t="str" cm="1">
        <f t="array" ref="M3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2" s="19" t="str" cm="1">
        <f t="array" ref="N3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3" spans="1:14" ht="30" customHeight="1">
      <c r="A3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3" s="6"/>
      <c r="C323" s="7"/>
      <c r="D323" s="6"/>
      <c r="E323" s="9"/>
      <c r="F323" s="10"/>
      <c r="G323" s="10"/>
      <c r="H323" s="7"/>
      <c r="I323" s="7"/>
      <c r="J323" s="60"/>
      <c r="K323" s="9"/>
      <c r="L323" s="58" t="str">
        <f>IF(OR(IPRF_Lines_Edit[[#This Row],[Requested Qty]]="",IPRF_Lines_Edit[[#This Row],[Picked Qty]]=""),"",IPRF_Lines_Edit[[#This Row],[Requested Qty]]-IPRF_Lines_Edit[[#This Row],[Picked Qty]])</f>
        <v/>
      </c>
      <c r="M323" s="18" t="str" cm="1">
        <f t="array" ref="M3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3" s="19" t="str" cm="1">
        <f t="array" ref="N3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4" spans="1:14" ht="30" customHeight="1">
      <c r="A3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4" s="6"/>
      <c r="C324" s="7"/>
      <c r="D324" s="6"/>
      <c r="E324" s="9"/>
      <c r="F324" s="10"/>
      <c r="G324" s="10"/>
      <c r="H324" s="7"/>
      <c r="I324" s="7"/>
      <c r="J324" s="60"/>
      <c r="K324" s="9"/>
      <c r="L324" s="58" t="str">
        <f>IF(OR(IPRF_Lines_Edit[[#This Row],[Requested Qty]]="",IPRF_Lines_Edit[[#This Row],[Picked Qty]]=""),"",IPRF_Lines_Edit[[#This Row],[Requested Qty]]-IPRF_Lines_Edit[[#This Row],[Picked Qty]])</f>
        <v/>
      </c>
      <c r="M324" s="18" t="str" cm="1">
        <f t="array" ref="M3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4" s="19" t="str" cm="1">
        <f t="array" ref="N3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5" spans="1:14" ht="30" customHeight="1">
      <c r="A3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5" s="6"/>
      <c r="C325" s="7"/>
      <c r="D325" s="6"/>
      <c r="E325" s="9"/>
      <c r="F325" s="10"/>
      <c r="G325" s="10"/>
      <c r="H325" s="7"/>
      <c r="I325" s="7"/>
      <c r="J325" s="60"/>
      <c r="K325" s="9"/>
      <c r="L325" s="58" t="str">
        <f>IF(OR(IPRF_Lines_Edit[[#This Row],[Requested Qty]]="",IPRF_Lines_Edit[[#This Row],[Picked Qty]]=""),"",IPRF_Lines_Edit[[#This Row],[Requested Qty]]-IPRF_Lines_Edit[[#This Row],[Picked Qty]])</f>
        <v/>
      </c>
      <c r="M325" s="18" t="str" cm="1">
        <f t="array" ref="M3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5" s="19" t="str" cm="1">
        <f t="array" ref="N3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6" spans="1:14" ht="30" customHeight="1">
      <c r="A3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6" s="6"/>
      <c r="C326" s="7"/>
      <c r="D326" s="6"/>
      <c r="E326" s="9"/>
      <c r="F326" s="10"/>
      <c r="G326" s="10"/>
      <c r="H326" s="7"/>
      <c r="I326" s="7"/>
      <c r="J326" s="60"/>
      <c r="K326" s="9"/>
      <c r="L326" s="58" t="str">
        <f>IF(OR(IPRF_Lines_Edit[[#This Row],[Requested Qty]]="",IPRF_Lines_Edit[[#This Row],[Picked Qty]]=""),"",IPRF_Lines_Edit[[#This Row],[Requested Qty]]-IPRF_Lines_Edit[[#This Row],[Picked Qty]])</f>
        <v/>
      </c>
      <c r="M326" s="18" t="str" cm="1">
        <f t="array" ref="M3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6" s="19" t="str" cm="1">
        <f t="array" ref="N3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7" spans="1:14" ht="30" customHeight="1">
      <c r="A3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7" s="6"/>
      <c r="C327" s="7"/>
      <c r="D327" s="6"/>
      <c r="E327" s="9"/>
      <c r="F327" s="10"/>
      <c r="G327" s="10"/>
      <c r="H327" s="7"/>
      <c r="I327" s="7"/>
      <c r="J327" s="60"/>
      <c r="K327" s="9"/>
      <c r="L327" s="58" t="str">
        <f>IF(OR(IPRF_Lines_Edit[[#This Row],[Requested Qty]]="",IPRF_Lines_Edit[[#This Row],[Picked Qty]]=""),"",IPRF_Lines_Edit[[#This Row],[Requested Qty]]-IPRF_Lines_Edit[[#This Row],[Picked Qty]])</f>
        <v/>
      </c>
      <c r="M327" s="18" t="str" cm="1">
        <f t="array" ref="M3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7" s="19" t="str" cm="1">
        <f t="array" ref="N3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8" spans="1:14" ht="30" customHeight="1">
      <c r="A3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8" s="6"/>
      <c r="C328" s="7"/>
      <c r="D328" s="6"/>
      <c r="E328" s="9"/>
      <c r="F328" s="10"/>
      <c r="G328" s="10"/>
      <c r="H328" s="7"/>
      <c r="I328" s="7"/>
      <c r="J328" s="60"/>
      <c r="K328" s="9"/>
      <c r="L328" s="58" t="str">
        <f>IF(OR(IPRF_Lines_Edit[[#This Row],[Requested Qty]]="",IPRF_Lines_Edit[[#This Row],[Picked Qty]]=""),"",IPRF_Lines_Edit[[#This Row],[Requested Qty]]-IPRF_Lines_Edit[[#This Row],[Picked Qty]])</f>
        <v/>
      </c>
      <c r="M328" s="18" t="str" cm="1">
        <f t="array" ref="M3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8" s="19" t="str" cm="1">
        <f t="array" ref="N3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29" spans="1:14" ht="30" customHeight="1">
      <c r="A3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29" s="6"/>
      <c r="C329" s="7"/>
      <c r="D329" s="6"/>
      <c r="E329" s="9"/>
      <c r="F329" s="10"/>
      <c r="G329" s="10"/>
      <c r="H329" s="7"/>
      <c r="I329" s="7"/>
      <c r="J329" s="60"/>
      <c r="K329" s="9"/>
      <c r="L329" s="58" t="str">
        <f>IF(OR(IPRF_Lines_Edit[[#This Row],[Requested Qty]]="",IPRF_Lines_Edit[[#This Row],[Picked Qty]]=""),"",IPRF_Lines_Edit[[#This Row],[Requested Qty]]-IPRF_Lines_Edit[[#This Row],[Picked Qty]])</f>
        <v/>
      </c>
      <c r="M329" s="18" t="str" cm="1">
        <f t="array" ref="M3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29" s="19" t="str" cm="1">
        <f t="array" ref="N3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0" spans="1:14" ht="30" customHeight="1">
      <c r="A3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0" s="6"/>
      <c r="C330" s="7"/>
      <c r="D330" s="6"/>
      <c r="E330" s="9"/>
      <c r="F330" s="10"/>
      <c r="G330" s="10"/>
      <c r="H330" s="7"/>
      <c r="I330" s="7"/>
      <c r="J330" s="60"/>
      <c r="K330" s="9"/>
      <c r="L330" s="58" t="str">
        <f>IF(OR(IPRF_Lines_Edit[[#This Row],[Requested Qty]]="",IPRF_Lines_Edit[[#This Row],[Picked Qty]]=""),"",IPRF_Lines_Edit[[#This Row],[Requested Qty]]-IPRF_Lines_Edit[[#This Row],[Picked Qty]])</f>
        <v/>
      </c>
      <c r="M330" s="18" t="str" cm="1">
        <f t="array" ref="M3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0" s="19" t="str" cm="1">
        <f t="array" ref="N3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1" spans="1:14" ht="30" customHeight="1">
      <c r="A3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1" s="6"/>
      <c r="C331" s="7"/>
      <c r="D331" s="6"/>
      <c r="E331" s="9"/>
      <c r="F331" s="10"/>
      <c r="G331" s="10"/>
      <c r="H331" s="7"/>
      <c r="I331" s="7"/>
      <c r="J331" s="60"/>
      <c r="K331" s="9"/>
      <c r="L331" s="58" t="str">
        <f>IF(OR(IPRF_Lines_Edit[[#This Row],[Requested Qty]]="",IPRF_Lines_Edit[[#This Row],[Picked Qty]]=""),"",IPRF_Lines_Edit[[#This Row],[Requested Qty]]-IPRF_Lines_Edit[[#This Row],[Picked Qty]])</f>
        <v/>
      </c>
      <c r="M331" s="18" t="str" cm="1">
        <f t="array" ref="M3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1" s="19" t="str" cm="1">
        <f t="array" ref="N3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2" spans="1:14" ht="30" customHeight="1">
      <c r="A3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2" s="6"/>
      <c r="C332" s="7"/>
      <c r="D332" s="6"/>
      <c r="E332" s="9"/>
      <c r="F332" s="10"/>
      <c r="G332" s="10"/>
      <c r="H332" s="7"/>
      <c r="I332" s="7"/>
      <c r="J332" s="60"/>
      <c r="K332" s="9"/>
      <c r="L332" s="58" t="str">
        <f>IF(OR(IPRF_Lines_Edit[[#This Row],[Requested Qty]]="",IPRF_Lines_Edit[[#This Row],[Picked Qty]]=""),"",IPRF_Lines_Edit[[#This Row],[Requested Qty]]-IPRF_Lines_Edit[[#This Row],[Picked Qty]])</f>
        <v/>
      </c>
      <c r="M332" s="18" t="str" cm="1">
        <f t="array" ref="M3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2" s="19" t="str" cm="1">
        <f t="array" ref="N3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3" spans="1:14" ht="30" customHeight="1">
      <c r="A3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3" s="6"/>
      <c r="C333" s="7"/>
      <c r="D333" s="6"/>
      <c r="E333" s="9"/>
      <c r="F333" s="10"/>
      <c r="G333" s="10"/>
      <c r="H333" s="7"/>
      <c r="I333" s="7"/>
      <c r="J333" s="60"/>
      <c r="K333" s="9"/>
      <c r="L333" s="58" t="str">
        <f>IF(OR(IPRF_Lines_Edit[[#This Row],[Requested Qty]]="",IPRF_Lines_Edit[[#This Row],[Picked Qty]]=""),"",IPRF_Lines_Edit[[#This Row],[Requested Qty]]-IPRF_Lines_Edit[[#This Row],[Picked Qty]])</f>
        <v/>
      </c>
      <c r="M333" s="18" t="str" cm="1">
        <f t="array" ref="M3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3" s="19" t="str" cm="1">
        <f t="array" ref="N3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4" spans="1:14" ht="30" customHeight="1">
      <c r="A3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4" s="6"/>
      <c r="C334" s="7"/>
      <c r="D334" s="6"/>
      <c r="E334" s="9"/>
      <c r="F334" s="10"/>
      <c r="G334" s="10"/>
      <c r="H334" s="7"/>
      <c r="I334" s="7"/>
      <c r="J334" s="60"/>
      <c r="K334" s="9"/>
      <c r="L334" s="58" t="str">
        <f>IF(OR(IPRF_Lines_Edit[[#This Row],[Requested Qty]]="",IPRF_Lines_Edit[[#This Row],[Picked Qty]]=""),"",IPRF_Lines_Edit[[#This Row],[Requested Qty]]-IPRF_Lines_Edit[[#This Row],[Picked Qty]])</f>
        <v/>
      </c>
      <c r="M334" s="18" t="str" cm="1">
        <f t="array" ref="M3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4" s="19" t="str" cm="1">
        <f t="array" ref="N3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5" spans="1:14" ht="30" customHeight="1">
      <c r="A3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5" s="6"/>
      <c r="C335" s="7"/>
      <c r="D335" s="6"/>
      <c r="E335" s="9"/>
      <c r="F335" s="10"/>
      <c r="G335" s="10"/>
      <c r="H335" s="7"/>
      <c r="I335" s="7"/>
      <c r="J335" s="60"/>
      <c r="K335" s="9"/>
      <c r="L335" s="58" t="str">
        <f>IF(OR(IPRF_Lines_Edit[[#This Row],[Requested Qty]]="",IPRF_Lines_Edit[[#This Row],[Picked Qty]]=""),"",IPRF_Lines_Edit[[#This Row],[Requested Qty]]-IPRF_Lines_Edit[[#This Row],[Picked Qty]])</f>
        <v/>
      </c>
      <c r="M335" s="18" t="str" cm="1">
        <f t="array" ref="M3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5" s="19" t="str" cm="1">
        <f t="array" ref="N3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6" spans="1:14" ht="30" customHeight="1">
      <c r="A3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6" s="6"/>
      <c r="C336" s="7"/>
      <c r="D336" s="6"/>
      <c r="E336" s="9"/>
      <c r="F336" s="10"/>
      <c r="G336" s="10"/>
      <c r="H336" s="7"/>
      <c r="I336" s="7"/>
      <c r="J336" s="60"/>
      <c r="K336" s="9"/>
      <c r="L336" s="58" t="str">
        <f>IF(OR(IPRF_Lines_Edit[[#This Row],[Requested Qty]]="",IPRF_Lines_Edit[[#This Row],[Picked Qty]]=""),"",IPRF_Lines_Edit[[#This Row],[Requested Qty]]-IPRF_Lines_Edit[[#This Row],[Picked Qty]])</f>
        <v/>
      </c>
      <c r="M336" s="18" t="str" cm="1">
        <f t="array" ref="M3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6" s="19" t="str" cm="1">
        <f t="array" ref="N3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7" spans="1:14" ht="30" customHeight="1">
      <c r="A3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7" s="6"/>
      <c r="C337" s="7"/>
      <c r="D337" s="6"/>
      <c r="E337" s="9"/>
      <c r="F337" s="10"/>
      <c r="G337" s="10"/>
      <c r="H337" s="7"/>
      <c r="I337" s="7"/>
      <c r="J337" s="60"/>
      <c r="K337" s="9"/>
      <c r="L337" s="58" t="str">
        <f>IF(OR(IPRF_Lines_Edit[[#This Row],[Requested Qty]]="",IPRF_Lines_Edit[[#This Row],[Picked Qty]]=""),"",IPRF_Lines_Edit[[#This Row],[Requested Qty]]-IPRF_Lines_Edit[[#This Row],[Picked Qty]])</f>
        <v/>
      </c>
      <c r="M337" s="18" t="str" cm="1">
        <f t="array" ref="M3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7" s="19" t="str" cm="1">
        <f t="array" ref="N3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8" spans="1:14" ht="30" customHeight="1">
      <c r="A3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8" s="6"/>
      <c r="C338" s="7"/>
      <c r="D338" s="6"/>
      <c r="E338" s="9"/>
      <c r="F338" s="10"/>
      <c r="G338" s="10"/>
      <c r="H338" s="7"/>
      <c r="I338" s="7"/>
      <c r="J338" s="60"/>
      <c r="K338" s="9"/>
      <c r="L338" s="58" t="str">
        <f>IF(OR(IPRF_Lines_Edit[[#This Row],[Requested Qty]]="",IPRF_Lines_Edit[[#This Row],[Picked Qty]]=""),"",IPRF_Lines_Edit[[#This Row],[Requested Qty]]-IPRF_Lines_Edit[[#This Row],[Picked Qty]])</f>
        <v/>
      </c>
      <c r="M338" s="18" t="str" cm="1">
        <f t="array" ref="M3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8" s="19" t="str" cm="1">
        <f t="array" ref="N3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39" spans="1:14" ht="30" customHeight="1">
      <c r="A3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39" s="6"/>
      <c r="C339" s="7"/>
      <c r="D339" s="6"/>
      <c r="E339" s="9"/>
      <c r="F339" s="10"/>
      <c r="G339" s="10"/>
      <c r="H339" s="7"/>
      <c r="I339" s="7"/>
      <c r="J339" s="60"/>
      <c r="K339" s="9"/>
      <c r="L339" s="58" t="str">
        <f>IF(OR(IPRF_Lines_Edit[[#This Row],[Requested Qty]]="",IPRF_Lines_Edit[[#This Row],[Picked Qty]]=""),"",IPRF_Lines_Edit[[#This Row],[Requested Qty]]-IPRF_Lines_Edit[[#This Row],[Picked Qty]])</f>
        <v/>
      </c>
      <c r="M339" s="18" t="str" cm="1">
        <f t="array" ref="M3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39" s="19" t="str" cm="1">
        <f t="array" ref="N3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0" spans="1:14" ht="30" customHeight="1">
      <c r="A3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0" s="6"/>
      <c r="C340" s="7"/>
      <c r="D340" s="6"/>
      <c r="E340" s="9"/>
      <c r="F340" s="10"/>
      <c r="G340" s="10"/>
      <c r="H340" s="7"/>
      <c r="I340" s="7"/>
      <c r="J340" s="60"/>
      <c r="K340" s="9"/>
      <c r="L340" s="58" t="str">
        <f>IF(OR(IPRF_Lines_Edit[[#This Row],[Requested Qty]]="",IPRF_Lines_Edit[[#This Row],[Picked Qty]]=""),"",IPRF_Lines_Edit[[#This Row],[Requested Qty]]-IPRF_Lines_Edit[[#This Row],[Picked Qty]])</f>
        <v/>
      </c>
      <c r="M340" s="18" t="str" cm="1">
        <f t="array" ref="M3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0" s="19" t="str" cm="1">
        <f t="array" ref="N3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1" spans="1:14" ht="30" customHeight="1">
      <c r="A3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1" s="6"/>
      <c r="C341" s="7"/>
      <c r="D341" s="6"/>
      <c r="E341" s="9"/>
      <c r="F341" s="10"/>
      <c r="G341" s="10"/>
      <c r="H341" s="7"/>
      <c r="I341" s="7"/>
      <c r="J341" s="60"/>
      <c r="K341" s="9"/>
      <c r="L341" s="58" t="str">
        <f>IF(OR(IPRF_Lines_Edit[[#This Row],[Requested Qty]]="",IPRF_Lines_Edit[[#This Row],[Picked Qty]]=""),"",IPRF_Lines_Edit[[#This Row],[Requested Qty]]-IPRF_Lines_Edit[[#This Row],[Picked Qty]])</f>
        <v/>
      </c>
      <c r="M341" s="18" t="str" cm="1">
        <f t="array" ref="M3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1" s="19" t="str" cm="1">
        <f t="array" ref="N3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2" spans="1:14" ht="30" customHeight="1">
      <c r="A3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2" s="6"/>
      <c r="C342" s="7"/>
      <c r="D342" s="6"/>
      <c r="E342" s="9"/>
      <c r="F342" s="10"/>
      <c r="G342" s="10"/>
      <c r="H342" s="7"/>
      <c r="I342" s="7"/>
      <c r="J342" s="60"/>
      <c r="K342" s="9"/>
      <c r="L342" s="58" t="str">
        <f>IF(OR(IPRF_Lines_Edit[[#This Row],[Requested Qty]]="",IPRF_Lines_Edit[[#This Row],[Picked Qty]]=""),"",IPRF_Lines_Edit[[#This Row],[Requested Qty]]-IPRF_Lines_Edit[[#This Row],[Picked Qty]])</f>
        <v/>
      </c>
      <c r="M342" s="18" t="str" cm="1">
        <f t="array" ref="M3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2" s="19" t="str" cm="1">
        <f t="array" ref="N3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3" spans="1:14" ht="30" customHeight="1">
      <c r="A3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3" s="6"/>
      <c r="C343" s="7"/>
      <c r="D343" s="6"/>
      <c r="E343" s="9"/>
      <c r="F343" s="10"/>
      <c r="G343" s="10"/>
      <c r="H343" s="7"/>
      <c r="I343" s="7"/>
      <c r="J343" s="60"/>
      <c r="K343" s="9"/>
      <c r="L343" s="58" t="str">
        <f>IF(OR(IPRF_Lines_Edit[[#This Row],[Requested Qty]]="",IPRF_Lines_Edit[[#This Row],[Picked Qty]]=""),"",IPRF_Lines_Edit[[#This Row],[Requested Qty]]-IPRF_Lines_Edit[[#This Row],[Picked Qty]])</f>
        <v/>
      </c>
      <c r="M343" s="18" t="str" cm="1">
        <f t="array" ref="M3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3" s="19" t="str" cm="1">
        <f t="array" ref="N3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4" spans="1:14" ht="30" customHeight="1">
      <c r="A3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4" s="6"/>
      <c r="C344" s="7"/>
      <c r="D344" s="6"/>
      <c r="E344" s="9"/>
      <c r="F344" s="10"/>
      <c r="G344" s="10"/>
      <c r="H344" s="7"/>
      <c r="I344" s="7"/>
      <c r="J344" s="60"/>
      <c r="K344" s="9"/>
      <c r="L344" s="58" t="str">
        <f>IF(OR(IPRF_Lines_Edit[[#This Row],[Requested Qty]]="",IPRF_Lines_Edit[[#This Row],[Picked Qty]]=""),"",IPRF_Lines_Edit[[#This Row],[Requested Qty]]-IPRF_Lines_Edit[[#This Row],[Picked Qty]])</f>
        <v/>
      </c>
      <c r="M344" s="18" t="str" cm="1">
        <f t="array" ref="M3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4" s="19" t="str" cm="1">
        <f t="array" ref="N3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5" spans="1:14" ht="30" customHeight="1">
      <c r="A3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5" s="6"/>
      <c r="C345" s="7"/>
      <c r="D345" s="6"/>
      <c r="E345" s="9"/>
      <c r="F345" s="10"/>
      <c r="G345" s="10"/>
      <c r="H345" s="7"/>
      <c r="I345" s="7"/>
      <c r="J345" s="60"/>
      <c r="K345" s="9"/>
      <c r="L345" s="58" t="str">
        <f>IF(OR(IPRF_Lines_Edit[[#This Row],[Requested Qty]]="",IPRF_Lines_Edit[[#This Row],[Picked Qty]]=""),"",IPRF_Lines_Edit[[#This Row],[Requested Qty]]-IPRF_Lines_Edit[[#This Row],[Picked Qty]])</f>
        <v/>
      </c>
      <c r="M345" s="18" t="str" cm="1">
        <f t="array" ref="M3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5" s="19" t="str" cm="1">
        <f t="array" ref="N3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6" spans="1:14" ht="30" customHeight="1">
      <c r="A3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6" s="6"/>
      <c r="C346" s="7"/>
      <c r="D346" s="6"/>
      <c r="E346" s="9"/>
      <c r="F346" s="10"/>
      <c r="G346" s="10"/>
      <c r="H346" s="7"/>
      <c r="I346" s="7"/>
      <c r="J346" s="60"/>
      <c r="K346" s="9"/>
      <c r="L346" s="58" t="str">
        <f>IF(OR(IPRF_Lines_Edit[[#This Row],[Requested Qty]]="",IPRF_Lines_Edit[[#This Row],[Picked Qty]]=""),"",IPRF_Lines_Edit[[#This Row],[Requested Qty]]-IPRF_Lines_Edit[[#This Row],[Picked Qty]])</f>
        <v/>
      </c>
      <c r="M346" s="18" t="str" cm="1">
        <f t="array" ref="M3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6" s="19" t="str" cm="1">
        <f t="array" ref="N3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7" spans="1:14" ht="30" customHeight="1">
      <c r="A3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7" s="6"/>
      <c r="C347" s="7"/>
      <c r="D347" s="6"/>
      <c r="E347" s="9"/>
      <c r="F347" s="10"/>
      <c r="G347" s="10"/>
      <c r="H347" s="7"/>
      <c r="I347" s="7"/>
      <c r="J347" s="60"/>
      <c r="K347" s="9"/>
      <c r="L347" s="58" t="str">
        <f>IF(OR(IPRF_Lines_Edit[[#This Row],[Requested Qty]]="",IPRF_Lines_Edit[[#This Row],[Picked Qty]]=""),"",IPRF_Lines_Edit[[#This Row],[Requested Qty]]-IPRF_Lines_Edit[[#This Row],[Picked Qty]])</f>
        <v/>
      </c>
      <c r="M347" s="18" t="str" cm="1">
        <f t="array" ref="M3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7" s="19" t="str" cm="1">
        <f t="array" ref="N3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8" spans="1:14" ht="30" customHeight="1">
      <c r="A3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8" s="6"/>
      <c r="C348" s="7"/>
      <c r="D348" s="6"/>
      <c r="E348" s="9"/>
      <c r="F348" s="10"/>
      <c r="G348" s="10"/>
      <c r="H348" s="7"/>
      <c r="I348" s="7"/>
      <c r="J348" s="60"/>
      <c r="K348" s="9"/>
      <c r="L348" s="58" t="str">
        <f>IF(OR(IPRF_Lines_Edit[[#This Row],[Requested Qty]]="",IPRF_Lines_Edit[[#This Row],[Picked Qty]]=""),"",IPRF_Lines_Edit[[#This Row],[Requested Qty]]-IPRF_Lines_Edit[[#This Row],[Picked Qty]])</f>
        <v/>
      </c>
      <c r="M348" s="18" t="str" cm="1">
        <f t="array" ref="M3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8" s="19" t="str" cm="1">
        <f t="array" ref="N3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49" spans="1:14" ht="30" customHeight="1">
      <c r="A3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49" s="6"/>
      <c r="C349" s="7"/>
      <c r="D349" s="6"/>
      <c r="E349" s="9"/>
      <c r="F349" s="10"/>
      <c r="G349" s="10"/>
      <c r="H349" s="7"/>
      <c r="I349" s="7"/>
      <c r="J349" s="60"/>
      <c r="K349" s="9"/>
      <c r="L349" s="58" t="str">
        <f>IF(OR(IPRF_Lines_Edit[[#This Row],[Requested Qty]]="",IPRF_Lines_Edit[[#This Row],[Picked Qty]]=""),"",IPRF_Lines_Edit[[#This Row],[Requested Qty]]-IPRF_Lines_Edit[[#This Row],[Picked Qty]])</f>
        <v/>
      </c>
      <c r="M349" s="18" t="str" cm="1">
        <f t="array" ref="M3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49" s="19" t="str" cm="1">
        <f t="array" ref="N3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0" spans="1:14" ht="30" customHeight="1">
      <c r="A3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0" s="6"/>
      <c r="C350" s="7"/>
      <c r="D350" s="6"/>
      <c r="E350" s="9"/>
      <c r="F350" s="10"/>
      <c r="G350" s="10"/>
      <c r="H350" s="7"/>
      <c r="I350" s="7"/>
      <c r="J350" s="60"/>
      <c r="K350" s="9"/>
      <c r="L350" s="58" t="str">
        <f>IF(OR(IPRF_Lines_Edit[[#This Row],[Requested Qty]]="",IPRF_Lines_Edit[[#This Row],[Picked Qty]]=""),"",IPRF_Lines_Edit[[#This Row],[Requested Qty]]-IPRF_Lines_Edit[[#This Row],[Picked Qty]])</f>
        <v/>
      </c>
      <c r="M350" s="18" t="str" cm="1">
        <f t="array" ref="M3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0" s="19" t="str" cm="1">
        <f t="array" ref="N3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1" spans="1:14" ht="30" customHeight="1">
      <c r="A3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1" s="6"/>
      <c r="C351" s="7"/>
      <c r="D351" s="6"/>
      <c r="E351" s="9"/>
      <c r="F351" s="10"/>
      <c r="G351" s="10"/>
      <c r="H351" s="7"/>
      <c r="I351" s="7"/>
      <c r="J351" s="60"/>
      <c r="K351" s="9"/>
      <c r="L351" s="58" t="str">
        <f>IF(OR(IPRF_Lines_Edit[[#This Row],[Requested Qty]]="",IPRF_Lines_Edit[[#This Row],[Picked Qty]]=""),"",IPRF_Lines_Edit[[#This Row],[Requested Qty]]-IPRF_Lines_Edit[[#This Row],[Picked Qty]])</f>
        <v/>
      </c>
      <c r="M351" s="18" t="str" cm="1">
        <f t="array" ref="M3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1" s="19" t="str" cm="1">
        <f t="array" ref="N3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2" spans="1:14" ht="30" customHeight="1">
      <c r="A3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2" s="6"/>
      <c r="C352" s="7"/>
      <c r="D352" s="6"/>
      <c r="E352" s="9"/>
      <c r="F352" s="10"/>
      <c r="G352" s="10"/>
      <c r="H352" s="7"/>
      <c r="I352" s="7"/>
      <c r="J352" s="60"/>
      <c r="K352" s="9"/>
      <c r="L352" s="58" t="str">
        <f>IF(OR(IPRF_Lines_Edit[[#This Row],[Requested Qty]]="",IPRF_Lines_Edit[[#This Row],[Picked Qty]]=""),"",IPRF_Lines_Edit[[#This Row],[Requested Qty]]-IPRF_Lines_Edit[[#This Row],[Picked Qty]])</f>
        <v/>
      </c>
      <c r="M352" s="18" t="str" cm="1">
        <f t="array" ref="M3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2" s="19" t="str" cm="1">
        <f t="array" ref="N3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3" spans="1:14" ht="30" customHeight="1">
      <c r="A3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3" s="6"/>
      <c r="C353" s="7"/>
      <c r="D353" s="6"/>
      <c r="E353" s="9"/>
      <c r="F353" s="10"/>
      <c r="G353" s="10"/>
      <c r="H353" s="7"/>
      <c r="I353" s="7"/>
      <c r="J353" s="60"/>
      <c r="K353" s="9"/>
      <c r="L353" s="58" t="str">
        <f>IF(OR(IPRF_Lines_Edit[[#This Row],[Requested Qty]]="",IPRF_Lines_Edit[[#This Row],[Picked Qty]]=""),"",IPRF_Lines_Edit[[#This Row],[Requested Qty]]-IPRF_Lines_Edit[[#This Row],[Picked Qty]])</f>
        <v/>
      </c>
      <c r="M353" s="18" t="str" cm="1">
        <f t="array" ref="M3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3" s="19" t="str" cm="1">
        <f t="array" ref="N3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4" spans="1:14" ht="30" customHeight="1">
      <c r="A3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4" s="6"/>
      <c r="C354" s="7"/>
      <c r="D354" s="6"/>
      <c r="E354" s="9"/>
      <c r="F354" s="10"/>
      <c r="G354" s="10"/>
      <c r="H354" s="7"/>
      <c r="I354" s="7"/>
      <c r="J354" s="60"/>
      <c r="K354" s="9"/>
      <c r="L354" s="58" t="str">
        <f>IF(OR(IPRF_Lines_Edit[[#This Row],[Requested Qty]]="",IPRF_Lines_Edit[[#This Row],[Picked Qty]]=""),"",IPRF_Lines_Edit[[#This Row],[Requested Qty]]-IPRF_Lines_Edit[[#This Row],[Picked Qty]])</f>
        <v/>
      </c>
      <c r="M354" s="18" t="str" cm="1">
        <f t="array" ref="M3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4" s="19" t="str" cm="1">
        <f t="array" ref="N3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5" spans="1:14" ht="30" customHeight="1">
      <c r="A3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5" s="6"/>
      <c r="C355" s="7"/>
      <c r="D355" s="6"/>
      <c r="E355" s="9"/>
      <c r="F355" s="10"/>
      <c r="G355" s="10"/>
      <c r="H355" s="7"/>
      <c r="I355" s="7"/>
      <c r="J355" s="60"/>
      <c r="K355" s="9"/>
      <c r="L355" s="58" t="str">
        <f>IF(OR(IPRF_Lines_Edit[[#This Row],[Requested Qty]]="",IPRF_Lines_Edit[[#This Row],[Picked Qty]]=""),"",IPRF_Lines_Edit[[#This Row],[Requested Qty]]-IPRF_Lines_Edit[[#This Row],[Picked Qty]])</f>
        <v/>
      </c>
      <c r="M355" s="18" t="str" cm="1">
        <f t="array" ref="M3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5" s="19" t="str" cm="1">
        <f t="array" ref="N3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6" spans="1:14" ht="30" customHeight="1">
      <c r="A3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6" s="6"/>
      <c r="C356" s="7"/>
      <c r="D356" s="6"/>
      <c r="E356" s="9"/>
      <c r="F356" s="10"/>
      <c r="G356" s="10"/>
      <c r="H356" s="7"/>
      <c r="I356" s="7"/>
      <c r="J356" s="60"/>
      <c r="K356" s="9"/>
      <c r="L356" s="58" t="str">
        <f>IF(OR(IPRF_Lines_Edit[[#This Row],[Requested Qty]]="",IPRF_Lines_Edit[[#This Row],[Picked Qty]]=""),"",IPRF_Lines_Edit[[#This Row],[Requested Qty]]-IPRF_Lines_Edit[[#This Row],[Picked Qty]])</f>
        <v/>
      </c>
      <c r="M356" s="18" t="str" cm="1">
        <f t="array" ref="M3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6" s="19" t="str" cm="1">
        <f t="array" ref="N3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7" spans="1:14" ht="30" customHeight="1">
      <c r="A3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7" s="6"/>
      <c r="C357" s="7"/>
      <c r="D357" s="6"/>
      <c r="E357" s="9"/>
      <c r="F357" s="10"/>
      <c r="G357" s="10"/>
      <c r="H357" s="7"/>
      <c r="I357" s="7"/>
      <c r="J357" s="60"/>
      <c r="K357" s="9"/>
      <c r="L357" s="58" t="str">
        <f>IF(OR(IPRF_Lines_Edit[[#This Row],[Requested Qty]]="",IPRF_Lines_Edit[[#This Row],[Picked Qty]]=""),"",IPRF_Lines_Edit[[#This Row],[Requested Qty]]-IPRF_Lines_Edit[[#This Row],[Picked Qty]])</f>
        <v/>
      </c>
      <c r="M357" s="18" t="str" cm="1">
        <f t="array" ref="M3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7" s="19" t="str" cm="1">
        <f t="array" ref="N3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8" spans="1:14" ht="30" customHeight="1">
      <c r="A3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8" s="6"/>
      <c r="C358" s="7"/>
      <c r="D358" s="6"/>
      <c r="E358" s="9"/>
      <c r="F358" s="10"/>
      <c r="G358" s="10"/>
      <c r="H358" s="7"/>
      <c r="I358" s="7"/>
      <c r="J358" s="60"/>
      <c r="K358" s="9"/>
      <c r="L358" s="58" t="str">
        <f>IF(OR(IPRF_Lines_Edit[[#This Row],[Requested Qty]]="",IPRF_Lines_Edit[[#This Row],[Picked Qty]]=""),"",IPRF_Lines_Edit[[#This Row],[Requested Qty]]-IPRF_Lines_Edit[[#This Row],[Picked Qty]])</f>
        <v/>
      </c>
      <c r="M358" s="18" t="str" cm="1">
        <f t="array" ref="M3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8" s="19" t="str" cm="1">
        <f t="array" ref="N3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59" spans="1:14" ht="30" customHeight="1">
      <c r="A3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59" s="6"/>
      <c r="C359" s="7"/>
      <c r="D359" s="6"/>
      <c r="E359" s="9"/>
      <c r="F359" s="10"/>
      <c r="G359" s="10"/>
      <c r="H359" s="7"/>
      <c r="I359" s="7"/>
      <c r="J359" s="60"/>
      <c r="K359" s="9"/>
      <c r="L359" s="58" t="str">
        <f>IF(OR(IPRF_Lines_Edit[[#This Row],[Requested Qty]]="",IPRF_Lines_Edit[[#This Row],[Picked Qty]]=""),"",IPRF_Lines_Edit[[#This Row],[Requested Qty]]-IPRF_Lines_Edit[[#This Row],[Picked Qty]])</f>
        <v/>
      </c>
      <c r="M359" s="18" t="str" cm="1">
        <f t="array" ref="M3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59" s="19" t="str" cm="1">
        <f t="array" ref="N3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0" spans="1:14" ht="30" customHeight="1">
      <c r="A3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0" s="6"/>
      <c r="C360" s="7"/>
      <c r="D360" s="6"/>
      <c r="E360" s="9"/>
      <c r="F360" s="10"/>
      <c r="G360" s="10"/>
      <c r="H360" s="7"/>
      <c r="I360" s="7"/>
      <c r="J360" s="60"/>
      <c r="K360" s="9"/>
      <c r="L360" s="58" t="str">
        <f>IF(OR(IPRF_Lines_Edit[[#This Row],[Requested Qty]]="",IPRF_Lines_Edit[[#This Row],[Picked Qty]]=""),"",IPRF_Lines_Edit[[#This Row],[Requested Qty]]-IPRF_Lines_Edit[[#This Row],[Picked Qty]])</f>
        <v/>
      </c>
      <c r="M360" s="18" t="str" cm="1">
        <f t="array" ref="M3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0" s="19" t="str" cm="1">
        <f t="array" ref="N3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1" spans="1:14" ht="30" customHeight="1">
      <c r="A3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1" s="6"/>
      <c r="C361" s="7"/>
      <c r="D361" s="6"/>
      <c r="E361" s="9"/>
      <c r="F361" s="10"/>
      <c r="G361" s="10"/>
      <c r="H361" s="7"/>
      <c r="I361" s="7"/>
      <c r="J361" s="60"/>
      <c r="K361" s="9"/>
      <c r="L361" s="58" t="str">
        <f>IF(OR(IPRF_Lines_Edit[[#This Row],[Requested Qty]]="",IPRF_Lines_Edit[[#This Row],[Picked Qty]]=""),"",IPRF_Lines_Edit[[#This Row],[Requested Qty]]-IPRF_Lines_Edit[[#This Row],[Picked Qty]])</f>
        <v/>
      </c>
      <c r="M361" s="18" t="str" cm="1">
        <f t="array" ref="M3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1" s="19" t="str" cm="1">
        <f t="array" ref="N3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2" spans="1:14" ht="30" customHeight="1">
      <c r="A3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2" s="6"/>
      <c r="C362" s="7"/>
      <c r="D362" s="6"/>
      <c r="E362" s="9"/>
      <c r="F362" s="10"/>
      <c r="G362" s="10"/>
      <c r="H362" s="7"/>
      <c r="I362" s="7"/>
      <c r="J362" s="60"/>
      <c r="K362" s="9"/>
      <c r="L362" s="58" t="str">
        <f>IF(OR(IPRF_Lines_Edit[[#This Row],[Requested Qty]]="",IPRF_Lines_Edit[[#This Row],[Picked Qty]]=""),"",IPRF_Lines_Edit[[#This Row],[Requested Qty]]-IPRF_Lines_Edit[[#This Row],[Picked Qty]])</f>
        <v/>
      </c>
      <c r="M362" s="18" t="str" cm="1">
        <f t="array" ref="M3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2" s="19" t="str" cm="1">
        <f t="array" ref="N3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3" spans="1:14" ht="30" customHeight="1">
      <c r="A3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3" s="6"/>
      <c r="C363" s="7"/>
      <c r="D363" s="6"/>
      <c r="E363" s="9"/>
      <c r="F363" s="10"/>
      <c r="G363" s="10"/>
      <c r="H363" s="7"/>
      <c r="I363" s="7"/>
      <c r="J363" s="60"/>
      <c r="K363" s="9"/>
      <c r="L363" s="58" t="str">
        <f>IF(OR(IPRF_Lines_Edit[[#This Row],[Requested Qty]]="",IPRF_Lines_Edit[[#This Row],[Picked Qty]]=""),"",IPRF_Lines_Edit[[#This Row],[Requested Qty]]-IPRF_Lines_Edit[[#This Row],[Picked Qty]])</f>
        <v/>
      </c>
      <c r="M363" s="18" t="str" cm="1">
        <f t="array" ref="M3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3" s="19" t="str" cm="1">
        <f t="array" ref="N3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4" spans="1:14" ht="30" customHeight="1">
      <c r="A3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4" s="6"/>
      <c r="C364" s="7"/>
      <c r="D364" s="6"/>
      <c r="E364" s="9"/>
      <c r="F364" s="10"/>
      <c r="G364" s="10"/>
      <c r="H364" s="7"/>
      <c r="I364" s="7"/>
      <c r="J364" s="60"/>
      <c r="K364" s="9"/>
      <c r="L364" s="58" t="str">
        <f>IF(OR(IPRF_Lines_Edit[[#This Row],[Requested Qty]]="",IPRF_Lines_Edit[[#This Row],[Picked Qty]]=""),"",IPRF_Lines_Edit[[#This Row],[Requested Qty]]-IPRF_Lines_Edit[[#This Row],[Picked Qty]])</f>
        <v/>
      </c>
      <c r="M364" s="18" t="str" cm="1">
        <f t="array" ref="M3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4" s="19" t="str" cm="1">
        <f t="array" ref="N3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5" spans="1:14" ht="30" customHeight="1">
      <c r="A3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5" s="6"/>
      <c r="C365" s="7"/>
      <c r="D365" s="6"/>
      <c r="E365" s="9"/>
      <c r="F365" s="10"/>
      <c r="G365" s="10"/>
      <c r="H365" s="7"/>
      <c r="I365" s="7"/>
      <c r="J365" s="60"/>
      <c r="K365" s="9"/>
      <c r="L365" s="58" t="str">
        <f>IF(OR(IPRF_Lines_Edit[[#This Row],[Requested Qty]]="",IPRF_Lines_Edit[[#This Row],[Picked Qty]]=""),"",IPRF_Lines_Edit[[#This Row],[Requested Qty]]-IPRF_Lines_Edit[[#This Row],[Picked Qty]])</f>
        <v/>
      </c>
      <c r="M365" s="18" t="str" cm="1">
        <f t="array" ref="M3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5" s="19" t="str" cm="1">
        <f t="array" ref="N3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6" spans="1:14" ht="30" customHeight="1">
      <c r="A3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6" s="6"/>
      <c r="C366" s="7"/>
      <c r="D366" s="6"/>
      <c r="E366" s="9"/>
      <c r="F366" s="10"/>
      <c r="G366" s="10"/>
      <c r="H366" s="7"/>
      <c r="I366" s="7"/>
      <c r="J366" s="60"/>
      <c r="K366" s="9"/>
      <c r="L366" s="58" t="str">
        <f>IF(OR(IPRF_Lines_Edit[[#This Row],[Requested Qty]]="",IPRF_Lines_Edit[[#This Row],[Picked Qty]]=""),"",IPRF_Lines_Edit[[#This Row],[Requested Qty]]-IPRF_Lines_Edit[[#This Row],[Picked Qty]])</f>
        <v/>
      </c>
      <c r="M366" s="18" t="str" cm="1">
        <f t="array" ref="M3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6" s="19" t="str" cm="1">
        <f t="array" ref="N3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7" spans="1:14" ht="30" customHeight="1">
      <c r="A3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7" s="6"/>
      <c r="C367" s="7"/>
      <c r="D367" s="6"/>
      <c r="E367" s="9"/>
      <c r="F367" s="10"/>
      <c r="G367" s="10"/>
      <c r="H367" s="7"/>
      <c r="I367" s="7"/>
      <c r="J367" s="60"/>
      <c r="K367" s="9"/>
      <c r="L367" s="58" t="str">
        <f>IF(OR(IPRF_Lines_Edit[[#This Row],[Requested Qty]]="",IPRF_Lines_Edit[[#This Row],[Picked Qty]]=""),"",IPRF_Lines_Edit[[#This Row],[Requested Qty]]-IPRF_Lines_Edit[[#This Row],[Picked Qty]])</f>
        <v/>
      </c>
      <c r="M367" s="18" t="str" cm="1">
        <f t="array" ref="M3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7" s="19" t="str" cm="1">
        <f t="array" ref="N3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8" spans="1:14" ht="30" customHeight="1">
      <c r="A3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8" s="6"/>
      <c r="C368" s="7"/>
      <c r="D368" s="6"/>
      <c r="E368" s="9"/>
      <c r="F368" s="10"/>
      <c r="G368" s="10"/>
      <c r="H368" s="7"/>
      <c r="I368" s="7"/>
      <c r="J368" s="60"/>
      <c r="K368" s="9"/>
      <c r="L368" s="58" t="str">
        <f>IF(OR(IPRF_Lines_Edit[[#This Row],[Requested Qty]]="",IPRF_Lines_Edit[[#This Row],[Picked Qty]]=""),"",IPRF_Lines_Edit[[#This Row],[Requested Qty]]-IPRF_Lines_Edit[[#This Row],[Picked Qty]])</f>
        <v/>
      </c>
      <c r="M368" s="18" t="str" cm="1">
        <f t="array" ref="M3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8" s="19" t="str" cm="1">
        <f t="array" ref="N3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69" spans="1:14" ht="30" customHeight="1">
      <c r="A3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69" s="6"/>
      <c r="C369" s="7"/>
      <c r="D369" s="6"/>
      <c r="E369" s="9"/>
      <c r="F369" s="10"/>
      <c r="G369" s="10"/>
      <c r="H369" s="7"/>
      <c r="I369" s="7"/>
      <c r="J369" s="60"/>
      <c r="K369" s="9"/>
      <c r="L369" s="58" t="str">
        <f>IF(OR(IPRF_Lines_Edit[[#This Row],[Requested Qty]]="",IPRF_Lines_Edit[[#This Row],[Picked Qty]]=""),"",IPRF_Lines_Edit[[#This Row],[Requested Qty]]-IPRF_Lines_Edit[[#This Row],[Picked Qty]])</f>
        <v/>
      </c>
      <c r="M369" s="18" t="str" cm="1">
        <f t="array" ref="M3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69" s="19" t="str" cm="1">
        <f t="array" ref="N3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0" spans="1:14" ht="30" customHeight="1">
      <c r="A3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0" s="6"/>
      <c r="C370" s="7"/>
      <c r="D370" s="6"/>
      <c r="E370" s="9"/>
      <c r="F370" s="10"/>
      <c r="G370" s="10"/>
      <c r="H370" s="7"/>
      <c r="I370" s="7"/>
      <c r="J370" s="60"/>
      <c r="K370" s="9"/>
      <c r="L370" s="58" t="str">
        <f>IF(OR(IPRF_Lines_Edit[[#This Row],[Requested Qty]]="",IPRF_Lines_Edit[[#This Row],[Picked Qty]]=""),"",IPRF_Lines_Edit[[#This Row],[Requested Qty]]-IPRF_Lines_Edit[[#This Row],[Picked Qty]])</f>
        <v/>
      </c>
      <c r="M370" s="18" t="str" cm="1">
        <f t="array" ref="M3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0" s="19" t="str" cm="1">
        <f t="array" ref="N3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1" spans="1:14" ht="30" customHeight="1">
      <c r="A3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1" s="6"/>
      <c r="C371" s="7"/>
      <c r="D371" s="6"/>
      <c r="E371" s="9"/>
      <c r="F371" s="10"/>
      <c r="G371" s="10"/>
      <c r="H371" s="7"/>
      <c r="I371" s="7"/>
      <c r="J371" s="60"/>
      <c r="K371" s="9"/>
      <c r="L371" s="58" t="str">
        <f>IF(OR(IPRF_Lines_Edit[[#This Row],[Requested Qty]]="",IPRF_Lines_Edit[[#This Row],[Picked Qty]]=""),"",IPRF_Lines_Edit[[#This Row],[Requested Qty]]-IPRF_Lines_Edit[[#This Row],[Picked Qty]])</f>
        <v/>
      </c>
      <c r="M371" s="18" t="str" cm="1">
        <f t="array" ref="M3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1" s="19" t="str" cm="1">
        <f t="array" ref="N3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2" spans="1:14" ht="30" customHeight="1">
      <c r="A3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2" s="6"/>
      <c r="C372" s="7"/>
      <c r="D372" s="6"/>
      <c r="E372" s="9"/>
      <c r="F372" s="10"/>
      <c r="G372" s="10"/>
      <c r="H372" s="7"/>
      <c r="I372" s="7"/>
      <c r="J372" s="60"/>
      <c r="K372" s="9"/>
      <c r="L372" s="58" t="str">
        <f>IF(OR(IPRF_Lines_Edit[[#This Row],[Requested Qty]]="",IPRF_Lines_Edit[[#This Row],[Picked Qty]]=""),"",IPRF_Lines_Edit[[#This Row],[Requested Qty]]-IPRF_Lines_Edit[[#This Row],[Picked Qty]])</f>
        <v/>
      </c>
      <c r="M372" s="18" t="str" cm="1">
        <f t="array" ref="M3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2" s="19" t="str" cm="1">
        <f t="array" ref="N3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3" spans="1:14" ht="30" customHeight="1">
      <c r="A3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3" s="6"/>
      <c r="C373" s="7"/>
      <c r="D373" s="6"/>
      <c r="E373" s="9"/>
      <c r="F373" s="10"/>
      <c r="G373" s="10"/>
      <c r="H373" s="7"/>
      <c r="I373" s="7"/>
      <c r="J373" s="60"/>
      <c r="K373" s="9"/>
      <c r="L373" s="58" t="str">
        <f>IF(OR(IPRF_Lines_Edit[[#This Row],[Requested Qty]]="",IPRF_Lines_Edit[[#This Row],[Picked Qty]]=""),"",IPRF_Lines_Edit[[#This Row],[Requested Qty]]-IPRF_Lines_Edit[[#This Row],[Picked Qty]])</f>
        <v/>
      </c>
      <c r="M373" s="18" t="str" cm="1">
        <f t="array" ref="M3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3" s="19" t="str" cm="1">
        <f t="array" ref="N3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4" spans="1:14" ht="30" customHeight="1">
      <c r="A3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4" s="6"/>
      <c r="C374" s="7"/>
      <c r="D374" s="6"/>
      <c r="E374" s="9"/>
      <c r="F374" s="10"/>
      <c r="G374" s="10"/>
      <c r="H374" s="7"/>
      <c r="I374" s="7"/>
      <c r="J374" s="60"/>
      <c r="K374" s="9"/>
      <c r="L374" s="58" t="str">
        <f>IF(OR(IPRF_Lines_Edit[[#This Row],[Requested Qty]]="",IPRF_Lines_Edit[[#This Row],[Picked Qty]]=""),"",IPRF_Lines_Edit[[#This Row],[Requested Qty]]-IPRF_Lines_Edit[[#This Row],[Picked Qty]])</f>
        <v/>
      </c>
      <c r="M374" s="18" t="str" cm="1">
        <f t="array" ref="M3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4" s="19" t="str" cm="1">
        <f t="array" ref="N3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5" spans="1:14" ht="30" customHeight="1">
      <c r="A3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5" s="6"/>
      <c r="C375" s="7"/>
      <c r="D375" s="6"/>
      <c r="E375" s="9"/>
      <c r="F375" s="10"/>
      <c r="G375" s="10"/>
      <c r="H375" s="7"/>
      <c r="I375" s="7"/>
      <c r="J375" s="60"/>
      <c r="K375" s="9"/>
      <c r="L375" s="58" t="str">
        <f>IF(OR(IPRF_Lines_Edit[[#This Row],[Requested Qty]]="",IPRF_Lines_Edit[[#This Row],[Picked Qty]]=""),"",IPRF_Lines_Edit[[#This Row],[Requested Qty]]-IPRF_Lines_Edit[[#This Row],[Picked Qty]])</f>
        <v/>
      </c>
      <c r="M375" s="18" t="str" cm="1">
        <f t="array" ref="M3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5" s="19" t="str" cm="1">
        <f t="array" ref="N3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6" spans="1:14" ht="30" customHeight="1">
      <c r="A3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6" s="6"/>
      <c r="C376" s="7"/>
      <c r="D376" s="6"/>
      <c r="E376" s="9"/>
      <c r="F376" s="10"/>
      <c r="G376" s="10"/>
      <c r="H376" s="7"/>
      <c r="I376" s="7"/>
      <c r="J376" s="60"/>
      <c r="K376" s="9"/>
      <c r="L376" s="58" t="str">
        <f>IF(OR(IPRF_Lines_Edit[[#This Row],[Requested Qty]]="",IPRF_Lines_Edit[[#This Row],[Picked Qty]]=""),"",IPRF_Lines_Edit[[#This Row],[Requested Qty]]-IPRF_Lines_Edit[[#This Row],[Picked Qty]])</f>
        <v/>
      </c>
      <c r="M376" s="18" t="str" cm="1">
        <f t="array" ref="M3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6" s="19" t="str" cm="1">
        <f t="array" ref="N3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7" spans="1:14" ht="30" customHeight="1">
      <c r="A3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7" s="6"/>
      <c r="C377" s="7"/>
      <c r="D377" s="6"/>
      <c r="E377" s="9"/>
      <c r="F377" s="10"/>
      <c r="G377" s="10"/>
      <c r="H377" s="7"/>
      <c r="I377" s="7"/>
      <c r="J377" s="60"/>
      <c r="K377" s="9"/>
      <c r="L377" s="58" t="str">
        <f>IF(OR(IPRF_Lines_Edit[[#This Row],[Requested Qty]]="",IPRF_Lines_Edit[[#This Row],[Picked Qty]]=""),"",IPRF_Lines_Edit[[#This Row],[Requested Qty]]-IPRF_Lines_Edit[[#This Row],[Picked Qty]])</f>
        <v/>
      </c>
      <c r="M377" s="18" t="str" cm="1">
        <f t="array" ref="M3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7" s="19" t="str" cm="1">
        <f t="array" ref="N3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8" spans="1:14" ht="30" customHeight="1">
      <c r="A3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8" s="6"/>
      <c r="C378" s="7"/>
      <c r="D378" s="6"/>
      <c r="E378" s="9"/>
      <c r="F378" s="10"/>
      <c r="G378" s="10"/>
      <c r="H378" s="7"/>
      <c r="I378" s="7"/>
      <c r="J378" s="60"/>
      <c r="K378" s="9"/>
      <c r="L378" s="58" t="str">
        <f>IF(OR(IPRF_Lines_Edit[[#This Row],[Requested Qty]]="",IPRF_Lines_Edit[[#This Row],[Picked Qty]]=""),"",IPRF_Lines_Edit[[#This Row],[Requested Qty]]-IPRF_Lines_Edit[[#This Row],[Picked Qty]])</f>
        <v/>
      </c>
      <c r="M378" s="18" t="str" cm="1">
        <f t="array" ref="M3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8" s="19" t="str" cm="1">
        <f t="array" ref="N3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79" spans="1:14" ht="30" customHeight="1">
      <c r="A3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79" s="6"/>
      <c r="C379" s="7"/>
      <c r="D379" s="6"/>
      <c r="E379" s="9"/>
      <c r="F379" s="10"/>
      <c r="G379" s="10"/>
      <c r="H379" s="7"/>
      <c r="I379" s="7"/>
      <c r="J379" s="60"/>
      <c r="K379" s="9"/>
      <c r="L379" s="58" t="str">
        <f>IF(OR(IPRF_Lines_Edit[[#This Row],[Requested Qty]]="",IPRF_Lines_Edit[[#This Row],[Picked Qty]]=""),"",IPRF_Lines_Edit[[#This Row],[Requested Qty]]-IPRF_Lines_Edit[[#This Row],[Picked Qty]])</f>
        <v/>
      </c>
      <c r="M379" s="18" t="str" cm="1">
        <f t="array" ref="M3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79" s="19" t="str" cm="1">
        <f t="array" ref="N3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0" spans="1:14" ht="30" customHeight="1">
      <c r="A3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0" s="6"/>
      <c r="C380" s="7"/>
      <c r="D380" s="6"/>
      <c r="E380" s="9"/>
      <c r="F380" s="10"/>
      <c r="G380" s="10"/>
      <c r="H380" s="7"/>
      <c r="I380" s="7"/>
      <c r="J380" s="60"/>
      <c r="K380" s="9"/>
      <c r="L380" s="58" t="str">
        <f>IF(OR(IPRF_Lines_Edit[[#This Row],[Requested Qty]]="",IPRF_Lines_Edit[[#This Row],[Picked Qty]]=""),"",IPRF_Lines_Edit[[#This Row],[Requested Qty]]-IPRF_Lines_Edit[[#This Row],[Picked Qty]])</f>
        <v/>
      </c>
      <c r="M380" s="18" t="str" cm="1">
        <f t="array" ref="M3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0" s="19" t="str" cm="1">
        <f t="array" ref="N3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1" spans="1:14" ht="30" customHeight="1">
      <c r="A3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1" s="6"/>
      <c r="C381" s="7"/>
      <c r="D381" s="6"/>
      <c r="E381" s="9"/>
      <c r="F381" s="10"/>
      <c r="G381" s="10"/>
      <c r="H381" s="7"/>
      <c r="I381" s="7"/>
      <c r="J381" s="60"/>
      <c r="K381" s="9"/>
      <c r="L381" s="58" t="str">
        <f>IF(OR(IPRF_Lines_Edit[[#This Row],[Requested Qty]]="",IPRF_Lines_Edit[[#This Row],[Picked Qty]]=""),"",IPRF_Lines_Edit[[#This Row],[Requested Qty]]-IPRF_Lines_Edit[[#This Row],[Picked Qty]])</f>
        <v/>
      </c>
      <c r="M381" s="18" t="str" cm="1">
        <f t="array" ref="M3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1" s="19" t="str" cm="1">
        <f t="array" ref="N3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2" spans="1:14" ht="30" customHeight="1">
      <c r="A3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2" s="6"/>
      <c r="C382" s="7"/>
      <c r="D382" s="6"/>
      <c r="E382" s="9"/>
      <c r="F382" s="10"/>
      <c r="G382" s="10"/>
      <c r="H382" s="7"/>
      <c r="I382" s="7"/>
      <c r="J382" s="60"/>
      <c r="K382" s="9"/>
      <c r="L382" s="58" t="str">
        <f>IF(OR(IPRF_Lines_Edit[[#This Row],[Requested Qty]]="",IPRF_Lines_Edit[[#This Row],[Picked Qty]]=""),"",IPRF_Lines_Edit[[#This Row],[Requested Qty]]-IPRF_Lines_Edit[[#This Row],[Picked Qty]])</f>
        <v/>
      </c>
      <c r="M382" s="18" t="str" cm="1">
        <f t="array" ref="M3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2" s="19" t="str" cm="1">
        <f t="array" ref="N3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3" spans="1:14" ht="30" customHeight="1">
      <c r="A3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3" s="6"/>
      <c r="C383" s="7"/>
      <c r="D383" s="6"/>
      <c r="E383" s="9"/>
      <c r="F383" s="10"/>
      <c r="G383" s="10"/>
      <c r="H383" s="7"/>
      <c r="I383" s="7"/>
      <c r="J383" s="60"/>
      <c r="K383" s="9"/>
      <c r="L383" s="58" t="str">
        <f>IF(OR(IPRF_Lines_Edit[[#This Row],[Requested Qty]]="",IPRF_Lines_Edit[[#This Row],[Picked Qty]]=""),"",IPRF_Lines_Edit[[#This Row],[Requested Qty]]-IPRF_Lines_Edit[[#This Row],[Picked Qty]])</f>
        <v/>
      </c>
      <c r="M383" s="18" t="str" cm="1">
        <f t="array" ref="M3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3" s="19" t="str" cm="1">
        <f t="array" ref="N3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4" spans="1:14" ht="30" customHeight="1">
      <c r="A3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4" s="6"/>
      <c r="C384" s="7"/>
      <c r="D384" s="6"/>
      <c r="E384" s="9"/>
      <c r="F384" s="10"/>
      <c r="G384" s="10"/>
      <c r="H384" s="7"/>
      <c r="I384" s="7"/>
      <c r="J384" s="60"/>
      <c r="K384" s="9"/>
      <c r="L384" s="58" t="str">
        <f>IF(OR(IPRF_Lines_Edit[[#This Row],[Requested Qty]]="",IPRF_Lines_Edit[[#This Row],[Picked Qty]]=""),"",IPRF_Lines_Edit[[#This Row],[Requested Qty]]-IPRF_Lines_Edit[[#This Row],[Picked Qty]])</f>
        <v/>
      </c>
      <c r="M384" s="18" t="str" cm="1">
        <f t="array" ref="M3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4" s="19" t="str" cm="1">
        <f t="array" ref="N3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5" spans="1:14" ht="30" customHeight="1">
      <c r="A3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5" s="6"/>
      <c r="C385" s="7"/>
      <c r="D385" s="6"/>
      <c r="E385" s="9"/>
      <c r="F385" s="10"/>
      <c r="G385" s="10"/>
      <c r="H385" s="7"/>
      <c r="I385" s="7"/>
      <c r="J385" s="60"/>
      <c r="K385" s="9"/>
      <c r="L385" s="58" t="str">
        <f>IF(OR(IPRF_Lines_Edit[[#This Row],[Requested Qty]]="",IPRF_Lines_Edit[[#This Row],[Picked Qty]]=""),"",IPRF_Lines_Edit[[#This Row],[Requested Qty]]-IPRF_Lines_Edit[[#This Row],[Picked Qty]])</f>
        <v/>
      </c>
      <c r="M385" s="18" t="str" cm="1">
        <f t="array" ref="M3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5" s="19" t="str" cm="1">
        <f t="array" ref="N3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6" spans="1:14" ht="30" customHeight="1">
      <c r="A3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6" s="6"/>
      <c r="C386" s="7"/>
      <c r="D386" s="6"/>
      <c r="E386" s="9"/>
      <c r="F386" s="10"/>
      <c r="G386" s="10"/>
      <c r="H386" s="7"/>
      <c r="I386" s="7"/>
      <c r="J386" s="60"/>
      <c r="K386" s="9"/>
      <c r="L386" s="58" t="str">
        <f>IF(OR(IPRF_Lines_Edit[[#This Row],[Requested Qty]]="",IPRF_Lines_Edit[[#This Row],[Picked Qty]]=""),"",IPRF_Lines_Edit[[#This Row],[Requested Qty]]-IPRF_Lines_Edit[[#This Row],[Picked Qty]])</f>
        <v/>
      </c>
      <c r="M386" s="18" t="str" cm="1">
        <f t="array" ref="M3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6" s="19" t="str" cm="1">
        <f t="array" ref="N3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7" spans="1:14" ht="30" customHeight="1">
      <c r="A3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7" s="6"/>
      <c r="C387" s="7"/>
      <c r="D387" s="6"/>
      <c r="E387" s="9"/>
      <c r="F387" s="10"/>
      <c r="G387" s="10"/>
      <c r="H387" s="7"/>
      <c r="I387" s="7"/>
      <c r="J387" s="60"/>
      <c r="K387" s="9"/>
      <c r="L387" s="58" t="str">
        <f>IF(OR(IPRF_Lines_Edit[[#This Row],[Requested Qty]]="",IPRF_Lines_Edit[[#This Row],[Picked Qty]]=""),"",IPRF_Lines_Edit[[#This Row],[Requested Qty]]-IPRF_Lines_Edit[[#This Row],[Picked Qty]])</f>
        <v/>
      </c>
      <c r="M387" s="18" t="str" cm="1">
        <f t="array" ref="M3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7" s="19" t="str" cm="1">
        <f t="array" ref="N3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8" spans="1:14" ht="30" customHeight="1">
      <c r="A3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8" s="6"/>
      <c r="C388" s="7"/>
      <c r="D388" s="6"/>
      <c r="E388" s="9"/>
      <c r="F388" s="10"/>
      <c r="G388" s="10"/>
      <c r="H388" s="7"/>
      <c r="I388" s="7"/>
      <c r="J388" s="60"/>
      <c r="K388" s="9"/>
      <c r="L388" s="58" t="str">
        <f>IF(OR(IPRF_Lines_Edit[[#This Row],[Requested Qty]]="",IPRF_Lines_Edit[[#This Row],[Picked Qty]]=""),"",IPRF_Lines_Edit[[#This Row],[Requested Qty]]-IPRF_Lines_Edit[[#This Row],[Picked Qty]])</f>
        <v/>
      </c>
      <c r="M388" s="18" t="str" cm="1">
        <f t="array" ref="M3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8" s="19" t="str" cm="1">
        <f t="array" ref="N3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89" spans="1:14" ht="30" customHeight="1">
      <c r="A3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89" s="6"/>
      <c r="C389" s="7"/>
      <c r="D389" s="6"/>
      <c r="E389" s="9"/>
      <c r="F389" s="10"/>
      <c r="G389" s="10"/>
      <c r="H389" s="7"/>
      <c r="I389" s="7"/>
      <c r="J389" s="60"/>
      <c r="K389" s="9"/>
      <c r="L389" s="58" t="str">
        <f>IF(OR(IPRF_Lines_Edit[[#This Row],[Requested Qty]]="",IPRF_Lines_Edit[[#This Row],[Picked Qty]]=""),"",IPRF_Lines_Edit[[#This Row],[Requested Qty]]-IPRF_Lines_Edit[[#This Row],[Picked Qty]])</f>
        <v/>
      </c>
      <c r="M389" s="18" t="str" cm="1">
        <f t="array" ref="M3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89" s="19" t="str" cm="1">
        <f t="array" ref="N3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0" spans="1:14" ht="30" customHeight="1">
      <c r="A3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0" s="6"/>
      <c r="C390" s="7"/>
      <c r="D390" s="6"/>
      <c r="E390" s="9"/>
      <c r="F390" s="10"/>
      <c r="G390" s="10"/>
      <c r="H390" s="7"/>
      <c r="I390" s="7"/>
      <c r="J390" s="60"/>
      <c r="K390" s="9"/>
      <c r="L390" s="58" t="str">
        <f>IF(OR(IPRF_Lines_Edit[[#This Row],[Requested Qty]]="",IPRF_Lines_Edit[[#This Row],[Picked Qty]]=""),"",IPRF_Lines_Edit[[#This Row],[Requested Qty]]-IPRF_Lines_Edit[[#This Row],[Picked Qty]])</f>
        <v/>
      </c>
      <c r="M390" s="18" t="str" cm="1">
        <f t="array" ref="M3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0" s="19" t="str" cm="1">
        <f t="array" ref="N3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1" spans="1:14" ht="30" customHeight="1">
      <c r="A3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1" s="6"/>
      <c r="C391" s="7"/>
      <c r="D391" s="6"/>
      <c r="E391" s="9"/>
      <c r="F391" s="10"/>
      <c r="G391" s="10"/>
      <c r="H391" s="7"/>
      <c r="I391" s="7"/>
      <c r="J391" s="60"/>
      <c r="K391" s="9"/>
      <c r="L391" s="58" t="str">
        <f>IF(OR(IPRF_Lines_Edit[[#This Row],[Requested Qty]]="",IPRF_Lines_Edit[[#This Row],[Picked Qty]]=""),"",IPRF_Lines_Edit[[#This Row],[Requested Qty]]-IPRF_Lines_Edit[[#This Row],[Picked Qty]])</f>
        <v/>
      </c>
      <c r="M391" s="18" t="str" cm="1">
        <f t="array" ref="M3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1" s="19" t="str" cm="1">
        <f t="array" ref="N3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2" spans="1:14" ht="30" customHeight="1">
      <c r="A3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2" s="6"/>
      <c r="C392" s="7"/>
      <c r="D392" s="6"/>
      <c r="E392" s="9"/>
      <c r="F392" s="10"/>
      <c r="G392" s="10"/>
      <c r="H392" s="7"/>
      <c r="I392" s="7"/>
      <c r="J392" s="60"/>
      <c r="K392" s="9"/>
      <c r="L392" s="58" t="str">
        <f>IF(OR(IPRF_Lines_Edit[[#This Row],[Requested Qty]]="",IPRF_Lines_Edit[[#This Row],[Picked Qty]]=""),"",IPRF_Lines_Edit[[#This Row],[Requested Qty]]-IPRF_Lines_Edit[[#This Row],[Picked Qty]])</f>
        <v/>
      </c>
      <c r="M392" s="18" t="str" cm="1">
        <f t="array" ref="M3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2" s="19" t="str" cm="1">
        <f t="array" ref="N3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3" spans="1:14" ht="30" customHeight="1">
      <c r="A3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3" s="6"/>
      <c r="C393" s="7"/>
      <c r="D393" s="6"/>
      <c r="E393" s="9"/>
      <c r="F393" s="10"/>
      <c r="G393" s="10"/>
      <c r="H393" s="7"/>
      <c r="I393" s="7"/>
      <c r="J393" s="60"/>
      <c r="K393" s="9"/>
      <c r="L393" s="58" t="str">
        <f>IF(OR(IPRF_Lines_Edit[[#This Row],[Requested Qty]]="",IPRF_Lines_Edit[[#This Row],[Picked Qty]]=""),"",IPRF_Lines_Edit[[#This Row],[Requested Qty]]-IPRF_Lines_Edit[[#This Row],[Picked Qty]])</f>
        <v/>
      </c>
      <c r="M393" s="18" t="str" cm="1">
        <f t="array" ref="M3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3" s="19" t="str" cm="1">
        <f t="array" ref="N3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4" spans="1:14" ht="30" customHeight="1">
      <c r="A3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4" s="6"/>
      <c r="C394" s="7"/>
      <c r="D394" s="6"/>
      <c r="E394" s="9"/>
      <c r="F394" s="10"/>
      <c r="G394" s="10"/>
      <c r="H394" s="7"/>
      <c r="I394" s="7"/>
      <c r="J394" s="60"/>
      <c r="K394" s="9"/>
      <c r="L394" s="58" t="str">
        <f>IF(OR(IPRF_Lines_Edit[[#This Row],[Requested Qty]]="",IPRF_Lines_Edit[[#This Row],[Picked Qty]]=""),"",IPRF_Lines_Edit[[#This Row],[Requested Qty]]-IPRF_Lines_Edit[[#This Row],[Picked Qty]])</f>
        <v/>
      </c>
      <c r="M394" s="18" t="str" cm="1">
        <f t="array" ref="M3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4" s="19" t="str" cm="1">
        <f t="array" ref="N3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5" spans="1:14" ht="30" customHeight="1">
      <c r="A3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5" s="6"/>
      <c r="C395" s="7"/>
      <c r="D395" s="6"/>
      <c r="E395" s="9"/>
      <c r="F395" s="10"/>
      <c r="G395" s="10"/>
      <c r="H395" s="7"/>
      <c r="I395" s="7"/>
      <c r="J395" s="60"/>
      <c r="K395" s="9"/>
      <c r="L395" s="58" t="str">
        <f>IF(OR(IPRF_Lines_Edit[[#This Row],[Requested Qty]]="",IPRF_Lines_Edit[[#This Row],[Picked Qty]]=""),"",IPRF_Lines_Edit[[#This Row],[Requested Qty]]-IPRF_Lines_Edit[[#This Row],[Picked Qty]])</f>
        <v/>
      </c>
      <c r="M395" s="18" t="str" cm="1">
        <f t="array" ref="M3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5" s="19" t="str" cm="1">
        <f t="array" ref="N3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6" spans="1:14" ht="30" customHeight="1">
      <c r="A3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6" s="6"/>
      <c r="C396" s="7"/>
      <c r="D396" s="6"/>
      <c r="E396" s="9"/>
      <c r="F396" s="10"/>
      <c r="G396" s="10"/>
      <c r="H396" s="7"/>
      <c r="I396" s="7"/>
      <c r="J396" s="60"/>
      <c r="K396" s="9"/>
      <c r="L396" s="58" t="str">
        <f>IF(OR(IPRF_Lines_Edit[[#This Row],[Requested Qty]]="",IPRF_Lines_Edit[[#This Row],[Picked Qty]]=""),"",IPRF_Lines_Edit[[#This Row],[Requested Qty]]-IPRF_Lines_Edit[[#This Row],[Picked Qty]])</f>
        <v/>
      </c>
      <c r="M396" s="18" t="str" cm="1">
        <f t="array" ref="M3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6" s="19" t="str" cm="1">
        <f t="array" ref="N3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7" spans="1:14" ht="30" customHeight="1">
      <c r="A3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7" s="6"/>
      <c r="C397" s="7"/>
      <c r="D397" s="6"/>
      <c r="E397" s="9"/>
      <c r="F397" s="10"/>
      <c r="G397" s="10"/>
      <c r="H397" s="7"/>
      <c r="I397" s="7"/>
      <c r="J397" s="60"/>
      <c r="K397" s="9"/>
      <c r="L397" s="58" t="str">
        <f>IF(OR(IPRF_Lines_Edit[[#This Row],[Requested Qty]]="",IPRF_Lines_Edit[[#This Row],[Picked Qty]]=""),"",IPRF_Lines_Edit[[#This Row],[Requested Qty]]-IPRF_Lines_Edit[[#This Row],[Picked Qty]])</f>
        <v/>
      </c>
      <c r="M397" s="18" t="str" cm="1">
        <f t="array" ref="M3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7" s="19" t="str" cm="1">
        <f t="array" ref="N3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8" spans="1:14" ht="30" customHeight="1">
      <c r="A3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8" s="6"/>
      <c r="C398" s="7"/>
      <c r="D398" s="6"/>
      <c r="E398" s="9"/>
      <c r="F398" s="10"/>
      <c r="G398" s="10"/>
      <c r="H398" s="7"/>
      <c r="I398" s="7"/>
      <c r="J398" s="60"/>
      <c r="K398" s="9"/>
      <c r="L398" s="58" t="str">
        <f>IF(OR(IPRF_Lines_Edit[[#This Row],[Requested Qty]]="",IPRF_Lines_Edit[[#This Row],[Picked Qty]]=""),"",IPRF_Lines_Edit[[#This Row],[Requested Qty]]-IPRF_Lines_Edit[[#This Row],[Picked Qty]])</f>
        <v/>
      </c>
      <c r="M398" s="18" t="str" cm="1">
        <f t="array" ref="M3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8" s="19" t="str" cm="1">
        <f t="array" ref="N3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399" spans="1:14" ht="30" customHeight="1">
      <c r="A3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399" s="6"/>
      <c r="C399" s="7"/>
      <c r="D399" s="6"/>
      <c r="E399" s="9"/>
      <c r="F399" s="10"/>
      <c r="G399" s="10"/>
      <c r="H399" s="7"/>
      <c r="I399" s="7"/>
      <c r="J399" s="60"/>
      <c r="K399" s="9"/>
      <c r="L399" s="58" t="str">
        <f>IF(OR(IPRF_Lines_Edit[[#This Row],[Requested Qty]]="",IPRF_Lines_Edit[[#This Row],[Picked Qty]]=""),"",IPRF_Lines_Edit[[#This Row],[Requested Qty]]-IPRF_Lines_Edit[[#This Row],[Picked Qty]])</f>
        <v/>
      </c>
      <c r="M399" s="18" t="str" cm="1">
        <f t="array" ref="M3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399" s="19" t="str" cm="1">
        <f t="array" ref="N3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0" spans="1:14" ht="30" customHeight="1">
      <c r="A4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0" s="6"/>
      <c r="C400" s="7"/>
      <c r="D400" s="6"/>
      <c r="E400" s="9"/>
      <c r="F400" s="10"/>
      <c r="G400" s="10"/>
      <c r="H400" s="7"/>
      <c r="I400" s="7"/>
      <c r="J400" s="60"/>
      <c r="K400" s="9"/>
      <c r="L400" s="58" t="str">
        <f>IF(OR(IPRF_Lines_Edit[[#This Row],[Requested Qty]]="",IPRF_Lines_Edit[[#This Row],[Picked Qty]]=""),"",IPRF_Lines_Edit[[#This Row],[Requested Qty]]-IPRF_Lines_Edit[[#This Row],[Picked Qty]])</f>
        <v/>
      </c>
      <c r="M400" s="18" t="str" cm="1">
        <f t="array" ref="M4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0" s="19" t="str" cm="1">
        <f t="array" ref="N4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1" spans="1:14" ht="30" customHeight="1">
      <c r="A4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1" s="6"/>
      <c r="C401" s="7"/>
      <c r="D401" s="6"/>
      <c r="E401" s="9"/>
      <c r="F401" s="10"/>
      <c r="G401" s="10"/>
      <c r="H401" s="7"/>
      <c r="I401" s="7"/>
      <c r="J401" s="60"/>
      <c r="K401" s="9"/>
      <c r="L401" s="58" t="str">
        <f>IF(OR(IPRF_Lines_Edit[[#This Row],[Requested Qty]]="",IPRF_Lines_Edit[[#This Row],[Picked Qty]]=""),"",IPRF_Lines_Edit[[#This Row],[Requested Qty]]-IPRF_Lines_Edit[[#This Row],[Picked Qty]])</f>
        <v/>
      </c>
      <c r="M401" s="18" t="str" cm="1">
        <f t="array" ref="M4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1" s="19" t="str" cm="1">
        <f t="array" ref="N4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2" spans="1:14" ht="30" customHeight="1">
      <c r="A4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2" s="6"/>
      <c r="C402" s="7"/>
      <c r="D402" s="6"/>
      <c r="E402" s="9"/>
      <c r="F402" s="10"/>
      <c r="G402" s="10"/>
      <c r="H402" s="7"/>
      <c r="I402" s="7"/>
      <c r="J402" s="60"/>
      <c r="K402" s="9"/>
      <c r="L402" s="58" t="str">
        <f>IF(OR(IPRF_Lines_Edit[[#This Row],[Requested Qty]]="",IPRF_Lines_Edit[[#This Row],[Picked Qty]]=""),"",IPRF_Lines_Edit[[#This Row],[Requested Qty]]-IPRF_Lines_Edit[[#This Row],[Picked Qty]])</f>
        <v/>
      </c>
      <c r="M402" s="18" t="str" cm="1">
        <f t="array" ref="M4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2" s="19" t="str" cm="1">
        <f t="array" ref="N4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3" spans="1:14" ht="30" customHeight="1">
      <c r="A4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3" s="6"/>
      <c r="C403" s="7"/>
      <c r="D403" s="6"/>
      <c r="E403" s="9"/>
      <c r="F403" s="10"/>
      <c r="G403" s="10"/>
      <c r="H403" s="7"/>
      <c r="I403" s="7"/>
      <c r="J403" s="60"/>
      <c r="K403" s="9"/>
      <c r="L403" s="58" t="str">
        <f>IF(OR(IPRF_Lines_Edit[[#This Row],[Requested Qty]]="",IPRF_Lines_Edit[[#This Row],[Picked Qty]]=""),"",IPRF_Lines_Edit[[#This Row],[Requested Qty]]-IPRF_Lines_Edit[[#This Row],[Picked Qty]])</f>
        <v/>
      </c>
      <c r="M403" s="18" t="str" cm="1">
        <f t="array" ref="M4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3" s="19" t="str" cm="1">
        <f t="array" ref="N4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4" spans="1:14" ht="30" customHeight="1">
      <c r="A4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4" s="6"/>
      <c r="C404" s="7"/>
      <c r="D404" s="6"/>
      <c r="E404" s="9"/>
      <c r="F404" s="10"/>
      <c r="G404" s="10"/>
      <c r="H404" s="7"/>
      <c r="I404" s="7"/>
      <c r="J404" s="60"/>
      <c r="K404" s="9"/>
      <c r="L404" s="58" t="str">
        <f>IF(OR(IPRF_Lines_Edit[[#This Row],[Requested Qty]]="",IPRF_Lines_Edit[[#This Row],[Picked Qty]]=""),"",IPRF_Lines_Edit[[#This Row],[Requested Qty]]-IPRF_Lines_Edit[[#This Row],[Picked Qty]])</f>
        <v/>
      </c>
      <c r="M404" s="18" t="str" cm="1">
        <f t="array" ref="M4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4" s="19" t="str" cm="1">
        <f t="array" ref="N4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5" spans="1:14" ht="30" customHeight="1">
      <c r="A4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5" s="6"/>
      <c r="C405" s="7"/>
      <c r="D405" s="6"/>
      <c r="E405" s="9"/>
      <c r="F405" s="10"/>
      <c r="G405" s="10"/>
      <c r="H405" s="7"/>
      <c r="I405" s="7"/>
      <c r="J405" s="60"/>
      <c r="K405" s="9"/>
      <c r="L405" s="58" t="str">
        <f>IF(OR(IPRF_Lines_Edit[[#This Row],[Requested Qty]]="",IPRF_Lines_Edit[[#This Row],[Picked Qty]]=""),"",IPRF_Lines_Edit[[#This Row],[Requested Qty]]-IPRF_Lines_Edit[[#This Row],[Picked Qty]])</f>
        <v/>
      </c>
      <c r="M405" s="18" t="str" cm="1">
        <f t="array" ref="M4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5" s="19" t="str" cm="1">
        <f t="array" ref="N4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6" spans="1:14" ht="30" customHeight="1">
      <c r="A4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6" s="6"/>
      <c r="C406" s="7"/>
      <c r="D406" s="6"/>
      <c r="E406" s="9"/>
      <c r="F406" s="10"/>
      <c r="G406" s="10"/>
      <c r="H406" s="7"/>
      <c r="I406" s="7"/>
      <c r="J406" s="60"/>
      <c r="K406" s="9"/>
      <c r="L406" s="58" t="str">
        <f>IF(OR(IPRF_Lines_Edit[[#This Row],[Requested Qty]]="",IPRF_Lines_Edit[[#This Row],[Picked Qty]]=""),"",IPRF_Lines_Edit[[#This Row],[Requested Qty]]-IPRF_Lines_Edit[[#This Row],[Picked Qty]])</f>
        <v/>
      </c>
      <c r="M406" s="18" t="str" cm="1">
        <f t="array" ref="M4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6" s="19" t="str" cm="1">
        <f t="array" ref="N4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7" spans="1:14" ht="30" customHeight="1">
      <c r="A4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7" s="6"/>
      <c r="C407" s="7"/>
      <c r="D407" s="6"/>
      <c r="E407" s="9"/>
      <c r="F407" s="10"/>
      <c r="G407" s="10"/>
      <c r="H407" s="7"/>
      <c r="I407" s="7"/>
      <c r="J407" s="60"/>
      <c r="K407" s="9"/>
      <c r="L407" s="58" t="str">
        <f>IF(OR(IPRF_Lines_Edit[[#This Row],[Requested Qty]]="",IPRF_Lines_Edit[[#This Row],[Picked Qty]]=""),"",IPRF_Lines_Edit[[#This Row],[Requested Qty]]-IPRF_Lines_Edit[[#This Row],[Picked Qty]])</f>
        <v/>
      </c>
      <c r="M407" s="18" t="str" cm="1">
        <f t="array" ref="M4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7" s="19" t="str" cm="1">
        <f t="array" ref="N4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8" spans="1:14" ht="30" customHeight="1">
      <c r="A4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8" s="6"/>
      <c r="C408" s="7"/>
      <c r="D408" s="6"/>
      <c r="E408" s="9"/>
      <c r="F408" s="10"/>
      <c r="G408" s="10"/>
      <c r="H408" s="7"/>
      <c r="I408" s="7"/>
      <c r="J408" s="60"/>
      <c r="K408" s="9"/>
      <c r="L408" s="58" t="str">
        <f>IF(OR(IPRF_Lines_Edit[[#This Row],[Requested Qty]]="",IPRF_Lines_Edit[[#This Row],[Picked Qty]]=""),"",IPRF_Lines_Edit[[#This Row],[Requested Qty]]-IPRF_Lines_Edit[[#This Row],[Picked Qty]])</f>
        <v/>
      </c>
      <c r="M408" s="18" t="str" cm="1">
        <f t="array" ref="M4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8" s="19" t="str" cm="1">
        <f t="array" ref="N4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09" spans="1:14" ht="30" customHeight="1">
      <c r="A4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09" s="6"/>
      <c r="C409" s="7"/>
      <c r="D409" s="6"/>
      <c r="E409" s="9"/>
      <c r="F409" s="10"/>
      <c r="G409" s="10"/>
      <c r="H409" s="7"/>
      <c r="I409" s="7"/>
      <c r="J409" s="60"/>
      <c r="K409" s="9"/>
      <c r="L409" s="58" t="str">
        <f>IF(OR(IPRF_Lines_Edit[[#This Row],[Requested Qty]]="",IPRF_Lines_Edit[[#This Row],[Picked Qty]]=""),"",IPRF_Lines_Edit[[#This Row],[Requested Qty]]-IPRF_Lines_Edit[[#This Row],[Picked Qty]])</f>
        <v/>
      </c>
      <c r="M409" s="18" t="str" cm="1">
        <f t="array" ref="M4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09" s="19" t="str" cm="1">
        <f t="array" ref="N4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0" spans="1:14" ht="30" customHeight="1">
      <c r="A4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0" s="6"/>
      <c r="C410" s="7"/>
      <c r="D410" s="6"/>
      <c r="E410" s="9"/>
      <c r="F410" s="10"/>
      <c r="G410" s="10"/>
      <c r="H410" s="7"/>
      <c r="I410" s="7"/>
      <c r="J410" s="60"/>
      <c r="K410" s="9"/>
      <c r="L410" s="58" t="str">
        <f>IF(OR(IPRF_Lines_Edit[[#This Row],[Requested Qty]]="",IPRF_Lines_Edit[[#This Row],[Picked Qty]]=""),"",IPRF_Lines_Edit[[#This Row],[Requested Qty]]-IPRF_Lines_Edit[[#This Row],[Picked Qty]])</f>
        <v/>
      </c>
      <c r="M410" s="18" t="str" cm="1">
        <f t="array" ref="M4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0" s="19" t="str" cm="1">
        <f t="array" ref="N4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1" spans="1:14" ht="30" customHeight="1">
      <c r="A4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1" s="6"/>
      <c r="C411" s="7"/>
      <c r="D411" s="6"/>
      <c r="E411" s="9"/>
      <c r="F411" s="10"/>
      <c r="G411" s="10"/>
      <c r="H411" s="7"/>
      <c r="I411" s="7"/>
      <c r="J411" s="60"/>
      <c r="K411" s="9"/>
      <c r="L411" s="58" t="str">
        <f>IF(OR(IPRF_Lines_Edit[[#This Row],[Requested Qty]]="",IPRF_Lines_Edit[[#This Row],[Picked Qty]]=""),"",IPRF_Lines_Edit[[#This Row],[Requested Qty]]-IPRF_Lines_Edit[[#This Row],[Picked Qty]])</f>
        <v/>
      </c>
      <c r="M411" s="18" t="str" cm="1">
        <f t="array" ref="M4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1" s="19" t="str" cm="1">
        <f t="array" ref="N4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2" spans="1:14" ht="30" customHeight="1">
      <c r="A4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2" s="6"/>
      <c r="C412" s="7"/>
      <c r="D412" s="6"/>
      <c r="E412" s="9"/>
      <c r="F412" s="10"/>
      <c r="G412" s="10"/>
      <c r="H412" s="7"/>
      <c r="I412" s="7"/>
      <c r="J412" s="60"/>
      <c r="K412" s="9"/>
      <c r="L412" s="58" t="str">
        <f>IF(OR(IPRF_Lines_Edit[[#This Row],[Requested Qty]]="",IPRF_Lines_Edit[[#This Row],[Picked Qty]]=""),"",IPRF_Lines_Edit[[#This Row],[Requested Qty]]-IPRF_Lines_Edit[[#This Row],[Picked Qty]])</f>
        <v/>
      </c>
      <c r="M412" s="18" t="str" cm="1">
        <f t="array" ref="M4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2" s="19" t="str" cm="1">
        <f t="array" ref="N4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3" spans="1:14" ht="30" customHeight="1">
      <c r="A41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3" s="6"/>
      <c r="C413" s="7"/>
      <c r="D413" s="6"/>
      <c r="E413" s="9"/>
      <c r="F413" s="10"/>
      <c r="G413" s="10"/>
      <c r="H413" s="7"/>
      <c r="I413" s="7"/>
      <c r="J413" s="60"/>
      <c r="K413" s="9"/>
      <c r="L413" s="58" t="str">
        <f>IF(OR(IPRF_Lines_Edit[[#This Row],[Requested Qty]]="",IPRF_Lines_Edit[[#This Row],[Picked Qty]]=""),"",IPRF_Lines_Edit[[#This Row],[Requested Qty]]-IPRF_Lines_Edit[[#This Row],[Picked Qty]])</f>
        <v/>
      </c>
      <c r="M413" s="18" t="str" cm="1">
        <f t="array" ref="M4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3" s="19" t="str" cm="1">
        <f t="array" ref="N4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4" spans="1:14" ht="30" customHeight="1">
      <c r="A41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4" s="6"/>
      <c r="C414" s="7"/>
      <c r="D414" s="6"/>
      <c r="E414" s="9"/>
      <c r="F414" s="10"/>
      <c r="G414" s="10"/>
      <c r="H414" s="7"/>
      <c r="I414" s="7"/>
      <c r="J414" s="60"/>
      <c r="K414" s="9"/>
      <c r="L414" s="58" t="str">
        <f>IF(OR(IPRF_Lines_Edit[[#This Row],[Requested Qty]]="",IPRF_Lines_Edit[[#This Row],[Picked Qty]]=""),"",IPRF_Lines_Edit[[#This Row],[Requested Qty]]-IPRF_Lines_Edit[[#This Row],[Picked Qty]])</f>
        <v/>
      </c>
      <c r="M414" s="18" t="str" cm="1">
        <f t="array" ref="M41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4" s="19" t="str" cm="1">
        <f t="array" ref="N41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5" spans="1:14" ht="30" customHeight="1">
      <c r="A41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5" s="6"/>
      <c r="C415" s="7"/>
      <c r="D415" s="6"/>
      <c r="E415" s="9"/>
      <c r="F415" s="10"/>
      <c r="G415" s="10"/>
      <c r="H415" s="7"/>
      <c r="I415" s="7"/>
      <c r="J415" s="60"/>
      <c r="K415" s="9"/>
      <c r="L415" s="58" t="str">
        <f>IF(OR(IPRF_Lines_Edit[[#This Row],[Requested Qty]]="",IPRF_Lines_Edit[[#This Row],[Picked Qty]]=""),"",IPRF_Lines_Edit[[#This Row],[Requested Qty]]-IPRF_Lines_Edit[[#This Row],[Picked Qty]])</f>
        <v/>
      </c>
      <c r="M415" s="18" t="str" cm="1">
        <f t="array" ref="M41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5" s="19" t="str" cm="1">
        <f t="array" ref="N41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6" spans="1:14" ht="30" customHeight="1">
      <c r="A41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6" s="6"/>
      <c r="C416" s="7"/>
      <c r="D416" s="6"/>
      <c r="E416" s="9"/>
      <c r="F416" s="10"/>
      <c r="G416" s="10"/>
      <c r="H416" s="7"/>
      <c r="I416" s="7"/>
      <c r="J416" s="60"/>
      <c r="K416" s="9"/>
      <c r="L416" s="58" t="str">
        <f>IF(OR(IPRF_Lines_Edit[[#This Row],[Requested Qty]]="",IPRF_Lines_Edit[[#This Row],[Picked Qty]]=""),"",IPRF_Lines_Edit[[#This Row],[Requested Qty]]-IPRF_Lines_Edit[[#This Row],[Picked Qty]])</f>
        <v/>
      </c>
      <c r="M416" s="18" t="str" cm="1">
        <f t="array" ref="M41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6" s="19" t="str" cm="1">
        <f t="array" ref="N41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7" spans="1:14" ht="30" customHeight="1">
      <c r="A41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7" s="6"/>
      <c r="C417" s="7"/>
      <c r="D417" s="6"/>
      <c r="E417" s="9"/>
      <c r="F417" s="10"/>
      <c r="G417" s="10"/>
      <c r="H417" s="7"/>
      <c r="I417" s="7"/>
      <c r="J417" s="60"/>
      <c r="K417" s="9"/>
      <c r="L417" s="58" t="str">
        <f>IF(OR(IPRF_Lines_Edit[[#This Row],[Requested Qty]]="",IPRF_Lines_Edit[[#This Row],[Picked Qty]]=""),"",IPRF_Lines_Edit[[#This Row],[Requested Qty]]-IPRF_Lines_Edit[[#This Row],[Picked Qty]])</f>
        <v/>
      </c>
      <c r="M417" s="18" t="str" cm="1">
        <f t="array" ref="M41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7" s="19" t="str" cm="1">
        <f t="array" ref="N41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8" spans="1:14" ht="30" customHeight="1">
      <c r="A41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8" s="6"/>
      <c r="C418" s="7"/>
      <c r="D418" s="6"/>
      <c r="E418" s="9"/>
      <c r="F418" s="10"/>
      <c r="G418" s="10"/>
      <c r="H418" s="7"/>
      <c r="I418" s="7"/>
      <c r="J418" s="60"/>
      <c r="K418" s="9"/>
      <c r="L418" s="58" t="str">
        <f>IF(OR(IPRF_Lines_Edit[[#This Row],[Requested Qty]]="",IPRF_Lines_Edit[[#This Row],[Picked Qty]]=""),"",IPRF_Lines_Edit[[#This Row],[Requested Qty]]-IPRF_Lines_Edit[[#This Row],[Picked Qty]])</f>
        <v/>
      </c>
      <c r="M418" s="18" t="str" cm="1">
        <f t="array" ref="M41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8" s="19" t="str" cm="1">
        <f t="array" ref="N41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19" spans="1:14" ht="30" customHeight="1">
      <c r="A41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19" s="6"/>
      <c r="C419" s="7"/>
      <c r="D419" s="6"/>
      <c r="E419" s="9"/>
      <c r="F419" s="10"/>
      <c r="G419" s="10"/>
      <c r="H419" s="7"/>
      <c r="I419" s="7"/>
      <c r="J419" s="60"/>
      <c r="K419" s="9"/>
      <c r="L419" s="58" t="str">
        <f>IF(OR(IPRF_Lines_Edit[[#This Row],[Requested Qty]]="",IPRF_Lines_Edit[[#This Row],[Picked Qty]]=""),"",IPRF_Lines_Edit[[#This Row],[Requested Qty]]-IPRF_Lines_Edit[[#This Row],[Picked Qty]])</f>
        <v/>
      </c>
      <c r="M419" s="18" t="str" cm="1">
        <f t="array" ref="M41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19" s="19" t="str" cm="1">
        <f t="array" ref="N41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0" spans="1:14" ht="30" customHeight="1">
      <c r="A42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0" s="6"/>
      <c r="C420" s="7"/>
      <c r="D420" s="6"/>
      <c r="E420" s="9"/>
      <c r="F420" s="10"/>
      <c r="G420" s="10"/>
      <c r="H420" s="7"/>
      <c r="I420" s="7"/>
      <c r="J420" s="60"/>
      <c r="K420" s="9"/>
      <c r="L420" s="58" t="str">
        <f>IF(OR(IPRF_Lines_Edit[[#This Row],[Requested Qty]]="",IPRF_Lines_Edit[[#This Row],[Picked Qty]]=""),"",IPRF_Lines_Edit[[#This Row],[Requested Qty]]-IPRF_Lines_Edit[[#This Row],[Picked Qty]])</f>
        <v/>
      </c>
      <c r="M420" s="18" t="str" cm="1">
        <f t="array" ref="M42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0" s="19" t="str" cm="1">
        <f t="array" ref="N42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1" spans="1:14" ht="30" customHeight="1">
      <c r="A42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1" s="6"/>
      <c r="C421" s="7"/>
      <c r="D421" s="6"/>
      <c r="E421" s="9"/>
      <c r="F421" s="10"/>
      <c r="G421" s="10"/>
      <c r="H421" s="7"/>
      <c r="I421" s="7"/>
      <c r="J421" s="60"/>
      <c r="K421" s="9"/>
      <c r="L421" s="58" t="str">
        <f>IF(OR(IPRF_Lines_Edit[[#This Row],[Requested Qty]]="",IPRF_Lines_Edit[[#This Row],[Picked Qty]]=""),"",IPRF_Lines_Edit[[#This Row],[Requested Qty]]-IPRF_Lines_Edit[[#This Row],[Picked Qty]])</f>
        <v/>
      </c>
      <c r="M421" s="18" t="str" cm="1">
        <f t="array" ref="M42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1" s="19" t="str" cm="1">
        <f t="array" ref="N42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2" spans="1:14" ht="30" customHeight="1">
      <c r="A42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2" s="6"/>
      <c r="C422" s="7"/>
      <c r="D422" s="6"/>
      <c r="E422" s="9"/>
      <c r="F422" s="10"/>
      <c r="G422" s="10"/>
      <c r="H422" s="7"/>
      <c r="I422" s="7"/>
      <c r="J422" s="60"/>
      <c r="K422" s="9"/>
      <c r="L422" s="58" t="str">
        <f>IF(OR(IPRF_Lines_Edit[[#This Row],[Requested Qty]]="",IPRF_Lines_Edit[[#This Row],[Picked Qty]]=""),"",IPRF_Lines_Edit[[#This Row],[Requested Qty]]-IPRF_Lines_Edit[[#This Row],[Picked Qty]])</f>
        <v/>
      </c>
      <c r="M422" s="18" t="str" cm="1">
        <f t="array" ref="M42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2" s="19" t="str" cm="1">
        <f t="array" ref="N42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3" spans="1:14" ht="30" customHeight="1">
      <c r="A42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3" s="6"/>
      <c r="C423" s="7"/>
      <c r="D423" s="6"/>
      <c r="E423" s="9"/>
      <c r="F423" s="10"/>
      <c r="G423" s="10"/>
      <c r="H423" s="7"/>
      <c r="I423" s="7"/>
      <c r="J423" s="60"/>
      <c r="K423" s="9"/>
      <c r="L423" s="58" t="str">
        <f>IF(OR(IPRF_Lines_Edit[[#This Row],[Requested Qty]]="",IPRF_Lines_Edit[[#This Row],[Picked Qty]]=""),"",IPRF_Lines_Edit[[#This Row],[Requested Qty]]-IPRF_Lines_Edit[[#This Row],[Picked Qty]])</f>
        <v/>
      </c>
      <c r="M423" s="18" t="str" cm="1">
        <f t="array" ref="M42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3" s="19" t="str" cm="1">
        <f t="array" ref="N42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4" spans="1:14" ht="30" customHeight="1">
      <c r="A42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4" s="6"/>
      <c r="C424" s="7"/>
      <c r="D424" s="6"/>
      <c r="E424" s="9"/>
      <c r="F424" s="10"/>
      <c r="G424" s="10"/>
      <c r="H424" s="7"/>
      <c r="I424" s="7"/>
      <c r="J424" s="60"/>
      <c r="K424" s="9"/>
      <c r="L424" s="58" t="str">
        <f>IF(OR(IPRF_Lines_Edit[[#This Row],[Requested Qty]]="",IPRF_Lines_Edit[[#This Row],[Picked Qty]]=""),"",IPRF_Lines_Edit[[#This Row],[Requested Qty]]-IPRF_Lines_Edit[[#This Row],[Picked Qty]])</f>
        <v/>
      </c>
      <c r="M424" s="18" t="str" cm="1">
        <f t="array" ref="M42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4" s="19" t="str" cm="1">
        <f t="array" ref="N42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5" spans="1:14" ht="30" customHeight="1">
      <c r="A42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5" s="6"/>
      <c r="C425" s="7"/>
      <c r="D425" s="6"/>
      <c r="E425" s="9"/>
      <c r="F425" s="10"/>
      <c r="G425" s="10"/>
      <c r="H425" s="7"/>
      <c r="I425" s="7"/>
      <c r="J425" s="60"/>
      <c r="K425" s="9"/>
      <c r="L425" s="58" t="str">
        <f>IF(OR(IPRF_Lines_Edit[[#This Row],[Requested Qty]]="",IPRF_Lines_Edit[[#This Row],[Picked Qty]]=""),"",IPRF_Lines_Edit[[#This Row],[Requested Qty]]-IPRF_Lines_Edit[[#This Row],[Picked Qty]])</f>
        <v/>
      </c>
      <c r="M425" s="18" t="str" cm="1">
        <f t="array" ref="M42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5" s="19" t="str" cm="1">
        <f t="array" ref="N42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6" spans="1:14" ht="30" customHeight="1">
      <c r="A42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6" s="6"/>
      <c r="C426" s="7"/>
      <c r="D426" s="6"/>
      <c r="E426" s="9"/>
      <c r="F426" s="10"/>
      <c r="G426" s="10"/>
      <c r="H426" s="7"/>
      <c r="I426" s="7"/>
      <c r="J426" s="60"/>
      <c r="K426" s="9"/>
      <c r="L426" s="58" t="str">
        <f>IF(OR(IPRF_Lines_Edit[[#This Row],[Requested Qty]]="",IPRF_Lines_Edit[[#This Row],[Picked Qty]]=""),"",IPRF_Lines_Edit[[#This Row],[Requested Qty]]-IPRF_Lines_Edit[[#This Row],[Picked Qty]])</f>
        <v/>
      </c>
      <c r="M426" s="18" t="str" cm="1">
        <f t="array" ref="M42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6" s="19" t="str" cm="1">
        <f t="array" ref="N42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7" spans="1:14" ht="30" customHeight="1">
      <c r="A42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7" s="6"/>
      <c r="C427" s="7"/>
      <c r="D427" s="6"/>
      <c r="E427" s="9"/>
      <c r="F427" s="10"/>
      <c r="G427" s="10"/>
      <c r="H427" s="7"/>
      <c r="I427" s="7"/>
      <c r="J427" s="60"/>
      <c r="K427" s="9"/>
      <c r="L427" s="58" t="str">
        <f>IF(OR(IPRF_Lines_Edit[[#This Row],[Requested Qty]]="",IPRF_Lines_Edit[[#This Row],[Picked Qty]]=""),"",IPRF_Lines_Edit[[#This Row],[Requested Qty]]-IPRF_Lines_Edit[[#This Row],[Picked Qty]])</f>
        <v/>
      </c>
      <c r="M427" s="18" t="str" cm="1">
        <f t="array" ref="M42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7" s="19" t="str" cm="1">
        <f t="array" ref="N42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8" spans="1:14" ht="30" customHeight="1">
      <c r="A42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8" s="6"/>
      <c r="C428" s="7"/>
      <c r="D428" s="6"/>
      <c r="E428" s="9"/>
      <c r="F428" s="10"/>
      <c r="G428" s="10"/>
      <c r="H428" s="7"/>
      <c r="I428" s="7"/>
      <c r="J428" s="60"/>
      <c r="K428" s="9"/>
      <c r="L428" s="58" t="str">
        <f>IF(OR(IPRF_Lines_Edit[[#This Row],[Requested Qty]]="",IPRF_Lines_Edit[[#This Row],[Picked Qty]]=""),"",IPRF_Lines_Edit[[#This Row],[Requested Qty]]-IPRF_Lines_Edit[[#This Row],[Picked Qty]])</f>
        <v/>
      </c>
      <c r="M428" s="18" t="str" cm="1">
        <f t="array" ref="M42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8" s="19" t="str" cm="1">
        <f t="array" ref="N42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29" spans="1:14" ht="30" customHeight="1">
      <c r="A42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29" s="6"/>
      <c r="C429" s="7"/>
      <c r="D429" s="6"/>
      <c r="E429" s="9"/>
      <c r="F429" s="10"/>
      <c r="G429" s="10"/>
      <c r="H429" s="7"/>
      <c r="I429" s="7"/>
      <c r="J429" s="60"/>
      <c r="K429" s="9"/>
      <c r="L429" s="58" t="str">
        <f>IF(OR(IPRF_Lines_Edit[[#This Row],[Requested Qty]]="",IPRF_Lines_Edit[[#This Row],[Picked Qty]]=""),"",IPRF_Lines_Edit[[#This Row],[Requested Qty]]-IPRF_Lines_Edit[[#This Row],[Picked Qty]])</f>
        <v/>
      </c>
      <c r="M429" s="18" t="str" cm="1">
        <f t="array" ref="M42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29" s="19" t="str" cm="1">
        <f t="array" ref="N42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0" spans="1:14" ht="30" customHeight="1">
      <c r="A43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0" s="6"/>
      <c r="C430" s="7"/>
      <c r="D430" s="6"/>
      <c r="E430" s="9"/>
      <c r="F430" s="10"/>
      <c r="G430" s="10"/>
      <c r="H430" s="7"/>
      <c r="I430" s="7"/>
      <c r="J430" s="60"/>
      <c r="K430" s="9"/>
      <c r="L430" s="58" t="str">
        <f>IF(OR(IPRF_Lines_Edit[[#This Row],[Requested Qty]]="",IPRF_Lines_Edit[[#This Row],[Picked Qty]]=""),"",IPRF_Lines_Edit[[#This Row],[Requested Qty]]-IPRF_Lines_Edit[[#This Row],[Picked Qty]])</f>
        <v/>
      </c>
      <c r="M430" s="18" t="str" cm="1">
        <f t="array" ref="M43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0" s="19" t="str" cm="1">
        <f t="array" ref="N43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1" spans="1:14" ht="30" customHeight="1">
      <c r="A43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1" s="6"/>
      <c r="C431" s="7"/>
      <c r="D431" s="6"/>
      <c r="E431" s="9"/>
      <c r="F431" s="10"/>
      <c r="G431" s="10"/>
      <c r="H431" s="7"/>
      <c r="I431" s="7"/>
      <c r="J431" s="60"/>
      <c r="K431" s="9"/>
      <c r="L431" s="58" t="str">
        <f>IF(OR(IPRF_Lines_Edit[[#This Row],[Requested Qty]]="",IPRF_Lines_Edit[[#This Row],[Picked Qty]]=""),"",IPRF_Lines_Edit[[#This Row],[Requested Qty]]-IPRF_Lines_Edit[[#This Row],[Picked Qty]])</f>
        <v/>
      </c>
      <c r="M431" s="18" t="str" cm="1">
        <f t="array" ref="M43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1" s="19" t="str" cm="1">
        <f t="array" ref="N43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2" spans="1:14" ht="30" customHeight="1">
      <c r="A43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2" s="6"/>
      <c r="C432" s="7"/>
      <c r="D432" s="6"/>
      <c r="E432" s="9"/>
      <c r="F432" s="10"/>
      <c r="G432" s="10"/>
      <c r="H432" s="7"/>
      <c r="I432" s="7"/>
      <c r="J432" s="60"/>
      <c r="K432" s="9"/>
      <c r="L432" s="58" t="str">
        <f>IF(OR(IPRF_Lines_Edit[[#This Row],[Requested Qty]]="",IPRF_Lines_Edit[[#This Row],[Picked Qty]]=""),"",IPRF_Lines_Edit[[#This Row],[Requested Qty]]-IPRF_Lines_Edit[[#This Row],[Picked Qty]])</f>
        <v/>
      </c>
      <c r="M432" s="18" t="str" cm="1">
        <f t="array" ref="M43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2" s="19" t="str" cm="1">
        <f t="array" ref="N43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3" spans="1:14" ht="30" customHeight="1">
      <c r="A43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3" s="6"/>
      <c r="C433" s="7"/>
      <c r="D433" s="6"/>
      <c r="E433" s="9"/>
      <c r="F433" s="10"/>
      <c r="G433" s="10"/>
      <c r="H433" s="7"/>
      <c r="I433" s="7"/>
      <c r="J433" s="60"/>
      <c r="K433" s="9"/>
      <c r="L433" s="58" t="str">
        <f>IF(OR(IPRF_Lines_Edit[[#This Row],[Requested Qty]]="",IPRF_Lines_Edit[[#This Row],[Picked Qty]]=""),"",IPRF_Lines_Edit[[#This Row],[Requested Qty]]-IPRF_Lines_Edit[[#This Row],[Picked Qty]])</f>
        <v/>
      </c>
      <c r="M433" s="18" t="str" cm="1">
        <f t="array" ref="M43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3" s="19" t="str" cm="1">
        <f t="array" ref="N43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4" spans="1:14" ht="30" customHeight="1">
      <c r="A43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4" s="6"/>
      <c r="C434" s="7"/>
      <c r="D434" s="6"/>
      <c r="E434" s="9"/>
      <c r="F434" s="10"/>
      <c r="G434" s="10"/>
      <c r="H434" s="7"/>
      <c r="I434" s="7"/>
      <c r="J434" s="60"/>
      <c r="K434" s="9"/>
      <c r="L434" s="58" t="str">
        <f>IF(OR(IPRF_Lines_Edit[[#This Row],[Requested Qty]]="",IPRF_Lines_Edit[[#This Row],[Picked Qty]]=""),"",IPRF_Lines_Edit[[#This Row],[Requested Qty]]-IPRF_Lines_Edit[[#This Row],[Picked Qty]])</f>
        <v/>
      </c>
      <c r="M434" s="18" t="str" cm="1">
        <f t="array" ref="M43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4" s="19" t="str" cm="1">
        <f t="array" ref="N43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5" spans="1:14" ht="30" customHeight="1">
      <c r="A43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5" s="6"/>
      <c r="C435" s="7"/>
      <c r="D435" s="6"/>
      <c r="E435" s="9"/>
      <c r="F435" s="10"/>
      <c r="G435" s="10"/>
      <c r="H435" s="7"/>
      <c r="I435" s="7"/>
      <c r="J435" s="60"/>
      <c r="K435" s="9"/>
      <c r="L435" s="58" t="str">
        <f>IF(OR(IPRF_Lines_Edit[[#This Row],[Requested Qty]]="",IPRF_Lines_Edit[[#This Row],[Picked Qty]]=""),"",IPRF_Lines_Edit[[#This Row],[Requested Qty]]-IPRF_Lines_Edit[[#This Row],[Picked Qty]])</f>
        <v/>
      </c>
      <c r="M435" s="18" t="str" cm="1">
        <f t="array" ref="M43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5" s="19" t="str" cm="1">
        <f t="array" ref="N43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6" spans="1:14" ht="30" customHeight="1">
      <c r="A43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6" s="6"/>
      <c r="C436" s="7"/>
      <c r="D436" s="6"/>
      <c r="E436" s="9"/>
      <c r="F436" s="10"/>
      <c r="G436" s="10"/>
      <c r="H436" s="7"/>
      <c r="I436" s="7"/>
      <c r="J436" s="60"/>
      <c r="K436" s="9"/>
      <c r="L436" s="58" t="str">
        <f>IF(OR(IPRF_Lines_Edit[[#This Row],[Requested Qty]]="",IPRF_Lines_Edit[[#This Row],[Picked Qty]]=""),"",IPRF_Lines_Edit[[#This Row],[Requested Qty]]-IPRF_Lines_Edit[[#This Row],[Picked Qty]])</f>
        <v/>
      </c>
      <c r="M436" s="18" t="str" cm="1">
        <f t="array" ref="M43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6" s="19" t="str" cm="1">
        <f t="array" ref="N43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7" spans="1:14" ht="30" customHeight="1">
      <c r="A43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7" s="6"/>
      <c r="C437" s="7"/>
      <c r="D437" s="6"/>
      <c r="E437" s="9"/>
      <c r="F437" s="10"/>
      <c r="G437" s="10"/>
      <c r="H437" s="7"/>
      <c r="I437" s="7"/>
      <c r="J437" s="60"/>
      <c r="K437" s="9"/>
      <c r="L437" s="58" t="str">
        <f>IF(OR(IPRF_Lines_Edit[[#This Row],[Requested Qty]]="",IPRF_Lines_Edit[[#This Row],[Picked Qty]]=""),"",IPRF_Lines_Edit[[#This Row],[Requested Qty]]-IPRF_Lines_Edit[[#This Row],[Picked Qty]])</f>
        <v/>
      </c>
      <c r="M437" s="18" t="str" cm="1">
        <f t="array" ref="M43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7" s="19" t="str" cm="1">
        <f t="array" ref="N43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8" spans="1:14" ht="30" customHeight="1">
      <c r="A43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8" s="6"/>
      <c r="C438" s="7"/>
      <c r="D438" s="6"/>
      <c r="E438" s="9"/>
      <c r="F438" s="10"/>
      <c r="G438" s="10"/>
      <c r="H438" s="7"/>
      <c r="I438" s="7"/>
      <c r="J438" s="60"/>
      <c r="K438" s="9"/>
      <c r="L438" s="58" t="str">
        <f>IF(OR(IPRF_Lines_Edit[[#This Row],[Requested Qty]]="",IPRF_Lines_Edit[[#This Row],[Picked Qty]]=""),"",IPRF_Lines_Edit[[#This Row],[Requested Qty]]-IPRF_Lines_Edit[[#This Row],[Picked Qty]])</f>
        <v/>
      </c>
      <c r="M438" s="18" t="str" cm="1">
        <f t="array" ref="M43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8" s="19" t="str" cm="1">
        <f t="array" ref="N43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39" spans="1:14" ht="30" customHeight="1">
      <c r="A43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39" s="6"/>
      <c r="C439" s="7"/>
      <c r="D439" s="6"/>
      <c r="E439" s="9"/>
      <c r="F439" s="10"/>
      <c r="G439" s="10"/>
      <c r="H439" s="7"/>
      <c r="I439" s="7"/>
      <c r="J439" s="60"/>
      <c r="K439" s="9"/>
      <c r="L439" s="58" t="str">
        <f>IF(OR(IPRF_Lines_Edit[[#This Row],[Requested Qty]]="",IPRF_Lines_Edit[[#This Row],[Picked Qty]]=""),"",IPRF_Lines_Edit[[#This Row],[Requested Qty]]-IPRF_Lines_Edit[[#This Row],[Picked Qty]])</f>
        <v/>
      </c>
      <c r="M439" s="18" t="str" cm="1">
        <f t="array" ref="M43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39" s="19" t="str" cm="1">
        <f t="array" ref="N43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0" spans="1:14" ht="30" customHeight="1">
      <c r="A44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0" s="6"/>
      <c r="C440" s="7"/>
      <c r="D440" s="6"/>
      <c r="E440" s="9"/>
      <c r="F440" s="10"/>
      <c r="G440" s="10"/>
      <c r="H440" s="7"/>
      <c r="I440" s="7"/>
      <c r="J440" s="60"/>
      <c r="K440" s="9"/>
      <c r="L440" s="58" t="str">
        <f>IF(OR(IPRF_Lines_Edit[[#This Row],[Requested Qty]]="",IPRF_Lines_Edit[[#This Row],[Picked Qty]]=""),"",IPRF_Lines_Edit[[#This Row],[Requested Qty]]-IPRF_Lines_Edit[[#This Row],[Picked Qty]])</f>
        <v/>
      </c>
      <c r="M440" s="18" t="str" cm="1">
        <f t="array" ref="M44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0" s="19" t="str" cm="1">
        <f t="array" ref="N44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1" spans="1:14" ht="30" customHeight="1">
      <c r="A44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1" s="6"/>
      <c r="C441" s="7"/>
      <c r="D441" s="6"/>
      <c r="E441" s="9"/>
      <c r="F441" s="10"/>
      <c r="G441" s="10"/>
      <c r="H441" s="7"/>
      <c r="I441" s="7"/>
      <c r="J441" s="60"/>
      <c r="K441" s="9"/>
      <c r="L441" s="58" t="str">
        <f>IF(OR(IPRF_Lines_Edit[[#This Row],[Requested Qty]]="",IPRF_Lines_Edit[[#This Row],[Picked Qty]]=""),"",IPRF_Lines_Edit[[#This Row],[Requested Qty]]-IPRF_Lines_Edit[[#This Row],[Picked Qty]])</f>
        <v/>
      </c>
      <c r="M441" s="18" t="str" cm="1">
        <f t="array" ref="M44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1" s="19" t="str" cm="1">
        <f t="array" ref="N44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2" spans="1:14" ht="30" customHeight="1">
      <c r="A44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2" s="6"/>
      <c r="C442" s="7"/>
      <c r="D442" s="6"/>
      <c r="E442" s="9"/>
      <c r="F442" s="10"/>
      <c r="G442" s="10"/>
      <c r="H442" s="7"/>
      <c r="I442" s="7"/>
      <c r="J442" s="60"/>
      <c r="K442" s="9"/>
      <c r="L442" s="58" t="str">
        <f>IF(OR(IPRF_Lines_Edit[[#This Row],[Requested Qty]]="",IPRF_Lines_Edit[[#This Row],[Picked Qty]]=""),"",IPRF_Lines_Edit[[#This Row],[Requested Qty]]-IPRF_Lines_Edit[[#This Row],[Picked Qty]])</f>
        <v/>
      </c>
      <c r="M442" s="18" t="str" cm="1">
        <f t="array" ref="M44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2" s="19" t="str" cm="1">
        <f t="array" ref="N44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3" spans="1:14" ht="30" customHeight="1">
      <c r="A44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3" s="6"/>
      <c r="C443" s="7"/>
      <c r="D443" s="6"/>
      <c r="E443" s="9"/>
      <c r="F443" s="10"/>
      <c r="G443" s="10"/>
      <c r="H443" s="7"/>
      <c r="I443" s="7"/>
      <c r="J443" s="60"/>
      <c r="K443" s="9"/>
      <c r="L443" s="58" t="str">
        <f>IF(OR(IPRF_Lines_Edit[[#This Row],[Requested Qty]]="",IPRF_Lines_Edit[[#This Row],[Picked Qty]]=""),"",IPRF_Lines_Edit[[#This Row],[Requested Qty]]-IPRF_Lines_Edit[[#This Row],[Picked Qty]])</f>
        <v/>
      </c>
      <c r="M443" s="18" t="str" cm="1">
        <f t="array" ref="M44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3" s="19" t="str" cm="1">
        <f t="array" ref="N44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4" spans="1:14" ht="30" customHeight="1">
      <c r="A44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4" s="6"/>
      <c r="C444" s="7"/>
      <c r="D444" s="6"/>
      <c r="E444" s="9"/>
      <c r="F444" s="10"/>
      <c r="G444" s="10"/>
      <c r="H444" s="7"/>
      <c r="I444" s="7"/>
      <c r="J444" s="60"/>
      <c r="K444" s="9"/>
      <c r="L444" s="58" t="str">
        <f>IF(OR(IPRF_Lines_Edit[[#This Row],[Requested Qty]]="",IPRF_Lines_Edit[[#This Row],[Picked Qty]]=""),"",IPRF_Lines_Edit[[#This Row],[Requested Qty]]-IPRF_Lines_Edit[[#This Row],[Picked Qty]])</f>
        <v/>
      </c>
      <c r="M444" s="18" t="str" cm="1">
        <f t="array" ref="M44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4" s="19" t="str" cm="1">
        <f t="array" ref="N44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5" spans="1:14" ht="30" customHeight="1">
      <c r="A44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5" s="6"/>
      <c r="C445" s="7"/>
      <c r="D445" s="6"/>
      <c r="E445" s="9"/>
      <c r="F445" s="10"/>
      <c r="G445" s="10"/>
      <c r="H445" s="7"/>
      <c r="I445" s="7"/>
      <c r="J445" s="60"/>
      <c r="K445" s="9"/>
      <c r="L445" s="58" t="str">
        <f>IF(OR(IPRF_Lines_Edit[[#This Row],[Requested Qty]]="",IPRF_Lines_Edit[[#This Row],[Picked Qty]]=""),"",IPRF_Lines_Edit[[#This Row],[Requested Qty]]-IPRF_Lines_Edit[[#This Row],[Picked Qty]])</f>
        <v/>
      </c>
      <c r="M445" s="18" t="str" cm="1">
        <f t="array" ref="M44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5" s="19" t="str" cm="1">
        <f t="array" ref="N44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6" spans="1:14" ht="30" customHeight="1">
      <c r="A44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6" s="6"/>
      <c r="C446" s="7"/>
      <c r="D446" s="6"/>
      <c r="E446" s="9"/>
      <c r="F446" s="10"/>
      <c r="G446" s="10"/>
      <c r="H446" s="7"/>
      <c r="I446" s="7"/>
      <c r="J446" s="60"/>
      <c r="K446" s="9"/>
      <c r="L446" s="58" t="str">
        <f>IF(OR(IPRF_Lines_Edit[[#This Row],[Requested Qty]]="",IPRF_Lines_Edit[[#This Row],[Picked Qty]]=""),"",IPRF_Lines_Edit[[#This Row],[Requested Qty]]-IPRF_Lines_Edit[[#This Row],[Picked Qty]])</f>
        <v/>
      </c>
      <c r="M446" s="18" t="str" cm="1">
        <f t="array" ref="M44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6" s="19" t="str" cm="1">
        <f t="array" ref="N44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7" spans="1:14" ht="30" customHeight="1">
      <c r="A44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7" s="6"/>
      <c r="C447" s="7"/>
      <c r="D447" s="6"/>
      <c r="E447" s="9"/>
      <c r="F447" s="10"/>
      <c r="G447" s="10"/>
      <c r="H447" s="7"/>
      <c r="I447" s="7"/>
      <c r="J447" s="60"/>
      <c r="K447" s="9"/>
      <c r="L447" s="58" t="str">
        <f>IF(OR(IPRF_Lines_Edit[[#This Row],[Requested Qty]]="",IPRF_Lines_Edit[[#This Row],[Picked Qty]]=""),"",IPRF_Lines_Edit[[#This Row],[Requested Qty]]-IPRF_Lines_Edit[[#This Row],[Picked Qty]])</f>
        <v/>
      </c>
      <c r="M447" s="18" t="str" cm="1">
        <f t="array" ref="M44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7" s="19" t="str" cm="1">
        <f t="array" ref="N44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8" spans="1:14" ht="30" customHeight="1">
      <c r="A44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8" s="6"/>
      <c r="C448" s="7"/>
      <c r="D448" s="6"/>
      <c r="E448" s="9"/>
      <c r="F448" s="10"/>
      <c r="G448" s="10"/>
      <c r="H448" s="7"/>
      <c r="I448" s="7"/>
      <c r="J448" s="60"/>
      <c r="K448" s="9"/>
      <c r="L448" s="58" t="str">
        <f>IF(OR(IPRF_Lines_Edit[[#This Row],[Requested Qty]]="",IPRF_Lines_Edit[[#This Row],[Picked Qty]]=""),"",IPRF_Lines_Edit[[#This Row],[Requested Qty]]-IPRF_Lines_Edit[[#This Row],[Picked Qty]])</f>
        <v/>
      </c>
      <c r="M448" s="18" t="str" cm="1">
        <f t="array" ref="M44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8" s="19" t="str" cm="1">
        <f t="array" ref="N44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49" spans="1:14" ht="30" customHeight="1">
      <c r="A44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49" s="6"/>
      <c r="C449" s="7"/>
      <c r="D449" s="6"/>
      <c r="E449" s="9"/>
      <c r="F449" s="10"/>
      <c r="G449" s="10"/>
      <c r="H449" s="7"/>
      <c r="I449" s="7"/>
      <c r="J449" s="60"/>
      <c r="K449" s="9"/>
      <c r="L449" s="58" t="str">
        <f>IF(OR(IPRF_Lines_Edit[[#This Row],[Requested Qty]]="",IPRF_Lines_Edit[[#This Row],[Picked Qty]]=""),"",IPRF_Lines_Edit[[#This Row],[Requested Qty]]-IPRF_Lines_Edit[[#This Row],[Picked Qty]])</f>
        <v/>
      </c>
      <c r="M449" s="18" t="str" cm="1">
        <f t="array" ref="M44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49" s="19" t="str" cm="1">
        <f t="array" ref="N44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0" spans="1:14" ht="30" customHeight="1">
      <c r="A45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0" s="6"/>
      <c r="C450" s="7"/>
      <c r="D450" s="6"/>
      <c r="E450" s="9"/>
      <c r="F450" s="10"/>
      <c r="G450" s="10"/>
      <c r="H450" s="7"/>
      <c r="I450" s="7"/>
      <c r="J450" s="60"/>
      <c r="K450" s="9"/>
      <c r="L450" s="58" t="str">
        <f>IF(OR(IPRF_Lines_Edit[[#This Row],[Requested Qty]]="",IPRF_Lines_Edit[[#This Row],[Picked Qty]]=""),"",IPRF_Lines_Edit[[#This Row],[Requested Qty]]-IPRF_Lines_Edit[[#This Row],[Picked Qty]])</f>
        <v/>
      </c>
      <c r="M450" s="18" t="str" cm="1">
        <f t="array" ref="M45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0" s="19" t="str" cm="1">
        <f t="array" ref="N45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1" spans="1:14" ht="30" customHeight="1">
      <c r="A45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1" s="6"/>
      <c r="C451" s="7"/>
      <c r="D451" s="6"/>
      <c r="E451" s="9"/>
      <c r="F451" s="10"/>
      <c r="G451" s="10"/>
      <c r="H451" s="7"/>
      <c r="I451" s="7"/>
      <c r="J451" s="60"/>
      <c r="K451" s="9"/>
      <c r="L451" s="58" t="str">
        <f>IF(OR(IPRF_Lines_Edit[[#This Row],[Requested Qty]]="",IPRF_Lines_Edit[[#This Row],[Picked Qty]]=""),"",IPRF_Lines_Edit[[#This Row],[Requested Qty]]-IPRF_Lines_Edit[[#This Row],[Picked Qty]])</f>
        <v/>
      </c>
      <c r="M451" s="18" t="str" cm="1">
        <f t="array" ref="M45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1" s="19" t="str" cm="1">
        <f t="array" ref="N45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2" spans="1:14" ht="30" customHeight="1">
      <c r="A45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2" s="6"/>
      <c r="C452" s="7"/>
      <c r="D452" s="6"/>
      <c r="E452" s="9"/>
      <c r="F452" s="10"/>
      <c r="G452" s="10"/>
      <c r="H452" s="7"/>
      <c r="I452" s="7"/>
      <c r="J452" s="60"/>
      <c r="K452" s="9"/>
      <c r="L452" s="58" t="str">
        <f>IF(OR(IPRF_Lines_Edit[[#This Row],[Requested Qty]]="",IPRF_Lines_Edit[[#This Row],[Picked Qty]]=""),"",IPRF_Lines_Edit[[#This Row],[Requested Qty]]-IPRF_Lines_Edit[[#This Row],[Picked Qty]])</f>
        <v/>
      </c>
      <c r="M452" s="18" t="str" cm="1">
        <f t="array" ref="M45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2" s="19" t="str" cm="1">
        <f t="array" ref="N45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3" spans="1:14" ht="30" customHeight="1">
      <c r="A45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3" s="6"/>
      <c r="C453" s="7"/>
      <c r="D453" s="6"/>
      <c r="E453" s="9"/>
      <c r="F453" s="10"/>
      <c r="G453" s="10"/>
      <c r="H453" s="7"/>
      <c r="I453" s="7"/>
      <c r="J453" s="60"/>
      <c r="K453" s="9"/>
      <c r="L453" s="58" t="str">
        <f>IF(OR(IPRF_Lines_Edit[[#This Row],[Requested Qty]]="",IPRF_Lines_Edit[[#This Row],[Picked Qty]]=""),"",IPRF_Lines_Edit[[#This Row],[Requested Qty]]-IPRF_Lines_Edit[[#This Row],[Picked Qty]])</f>
        <v/>
      </c>
      <c r="M453" s="18" t="str" cm="1">
        <f t="array" ref="M45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3" s="19" t="str" cm="1">
        <f t="array" ref="N45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4" spans="1:14" ht="30" customHeight="1">
      <c r="A45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4" s="6"/>
      <c r="C454" s="7"/>
      <c r="D454" s="6"/>
      <c r="E454" s="9"/>
      <c r="F454" s="10"/>
      <c r="G454" s="10"/>
      <c r="H454" s="7"/>
      <c r="I454" s="7"/>
      <c r="J454" s="60"/>
      <c r="K454" s="9"/>
      <c r="L454" s="58" t="str">
        <f>IF(OR(IPRF_Lines_Edit[[#This Row],[Requested Qty]]="",IPRF_Lines_Edit[[#This Row],[Picked Qty]]=""),"",IPRF_Lines_Edit[[#This Row],[Requested Qty]]-IPRF_Lines_Edit[[#This Row],[Picked Qty]])</f>
        <v/>
      </c>
      <c r="M454" s="18" t="str" cm="1">
        <f t="array" ref="M45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4" s="19" t="str" cm="1">
        <f t="array" ref="N45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5" spans="1:14" ht="30" customHeight="1">
      <c r="A45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5" s="6"/>
      <c r="C455" s="7"/>
      <c r="D455" s="6"/>
      <c r="E455" s="9"/>
      <c r="F455" s="10"/>
      <c r="G455" s="10"/>
      <c r="H455" s="7"/>
      <c r="I455" s="7"/>
      <c r="J455" s="60"/>
      <c r="K455" s="9"/>
      <c r="L455" s="58" t="str">
        <f>IF(OR(IPRF_Lines_Edit[[#This Row],[Requested Qty]]="",IPRF_Lines_Edit[[#This Row],[Picked Qty]]=""),"",IPRF_Lines_Edit[[#This Row],[Requested Qty]]-IPRF_Lines_Edit[[#This Row],[Picked Qty]])</f>
        <v/>
      </c>
      <c r="M455" s="18" t="str" cm="1">
        <f t="array" ref="M45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5" s="19" t="str" cm="1">
        <f t="array" ref="N45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6" spans="1:14" ht="30" customHeight="1">
      <c r="A45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6" s="6"/>
      <c r="C456" s="7"/>
      <c r="D456" s="6"/>
      <c r="E456" s="9"/>
      <c r="F456" s="10"/>
      <c r="G456" s="10"/>
      <c r="H456" s="7"/>
      <c r="I456" s="7"/>
      <c r="J456" s="60"/>
      <c r="K456" s="9"/>
      <c r="L456" s="58" t="str">
        <f>IF(OR(IPRF_Lines_Edit[[#This Row],[Requested Qty]]="",IPRF_Lines_Edit[[#This Row],[Picked Qty]]=""),"",IPRF_Lines_Edit[[#This Row],[Requested Qty]]-IPRF_Lines_Edit[[#This Row],[Picked Qty]])</f>
        <v/>
      </c>
      <c r="M456" s="18" t="str" cm="1">
        <f t="array" ref="M45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6" s="19" t="str" cm="1">
        <f t="array" ref="N45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7" spans="1:14" ht="30" customHeight="1">
      <c r="A45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7" s="6"/>
      <c r="C457" s="7"/>
      <c r="D457" s="6"/>
      <c r="E457" s="9"/>
      <c r="F457" s="10"/>
      <c r="G457" s="10"/>
      <c r="H457" s="7"/>
      <c r="I457" s="7"/>
      <c r="J457" s="60"/>
      <c r="K457" s="9"/>
      <c r="L457" s="58" t="str">
        <f>IF(OR(IPRF_Lines_Edit[[#This Row],[Requested Qty]]="",IPRF_Lines_Edit[[#This Row],[Picked Qty]]=""),"",IPRF_Lines_Edit[[#This Row],[Requested Qty]]-IPRF_Lines_Edit[[#This Row],[Picked Qty]])</f>
        <v/>
      </c>
      <c r="M457" s="18" t="str" cm="1">
        <f t="array" ref="M45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7" s="19" t="str" cm="1">
        <f t="array" ref="N45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8" spans="1:14" ht="30" customHeight="1">
      <c r="A45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8" s="6"/>
      <c r="C458" s="7"/>
      <c r="D458" s="6"/>
      <c r="E458" s="9"/>
      <c r="F458" s="10"/>
      <c r="G458" s="10"/>
      <c r="H458" s="7"/>
      <c r="I458" s="7"/>
      <c r="J458" s="60"/>
      <c r="K458" s="9"/>
      <c r="L458" s="58" t="str">
        <f>IF(OR(IPRF_Lines_Edit[[#This Row],[Requested Qty]]="",IPRF_Lines_Edit[[#This Row],[Picked Qty]]=""),"",IPRF_Lines_Edit[[#This Row],[Requested Qty]]-IPRF_Lines_Edit[[#This Row],[Picked Qty]])</f>
        <v/>
      </c>
      <c r="M458" s="18" t="str" cm="1">
        <f t="array" ref="M45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8" s="19" t="str" cm="1">
        <f t="array" ref="N45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59" spans="1:14" ht="30" customHeight="1">
      <c r="A45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59" s="6"/>
      <c r="C459" s="7"/>
      <c r="D459" s="6"/>
      <c r="E459" s="9"/>
      <c r="F459" s="10"/>
      <c r="G459" s="10"/>
      <c r="H459" s="7"/>
      <c r="I459" s="7"/>
      <c r="J459" s="60"/>
      <c r="K459" s="9"/>
      <c r="L459" s="58" t="str">
        <f>IF(OR(IPRF_Lines_Edit[[#This Row],[Requested Qty]]="",IPRF_Lines_Edit[[#This Row],[Picked Qty]]=""),"",IPRF_Lines_Edit[[#This Row],[Requested Qty]]-IPRF_Lines_Edit[[#This Row],[Picked Qty]])</f>
        <v/>
      </c>
      <c r="M459" s="18" t="str" cm="1">
        <f t="array" ref="M45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59" s="19" t="str" cm="1">
        <f t="array" ref="N45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0" spans="1:14" ht="30" customHeight="1">
      <c r="A46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0" s="6"/>
      <c r="C460" s="7"/>
      <c r="D460" s="6"/>
      <c r="E460" s="9"/>
      <c r="F460" s="10"/>
      <c r="G460" s="10"/>
      <c r="H460" s="7"/>
      <c r="I460" s="7"/>
      <c r="J460" s="60"/>
      <c r="K460" s="9"/>
      <c r="L460" s="58" t="str">
        <f>IF(OR(IPRF_Lines_Edit[[#This Row],[Requested Qty]]="",IPRF_Lines_Edit[[#This Row],[Picked Qty]]=""),"",IPRF_Lines_Edit[[#This Row],[Requested Qty]]-IPRF_Lines_Edit[[#This Row],[Picked Qty]])</f>
        <v/>
      </c>
      <c r="M460" s="18" t="str" cm="1">
        <f t="array" ref="M46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0" s="19" t="str" cm="1">
        <f t="array" ref="N46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1" spans="1:14" ht="30" customHeight="1">
      <c r="A46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1" s="6"/>
      <c r="C461" s="7"/>
      <c r="D461" s="6"/>
      <c r="E461" s="9"/>
      <c r="F461" s="10"/>
      <c r="G461" s="10"/>
      <c r="H461" s="7"/>
      <c r="I461" s="7"/>
      <c r="J461" s="60"/>
      <c r="K461" s="9"/>
      <c r="L461" s="58" t="str">
        <f>IF(OR(IPRF_Lines_Edit[[#This Row],[Requested Qty]]="",IPRF_Lines_Edit[[#This Row],[Picked Qty]]=""),"",IPRF_Lines_Edit[[#This Row],[Requested Qty]]-IPRF_Lines_Edit[[#This Row],[Picked Qty]])</f>
        <v/>
      </c>
      <c r="M461" s="18" t="str" cm="1">
        <f t="array" ref="M46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1" s="19" t="str" cm="1">
        <f t="array" ref="N46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2" spans="1:14" ht="30" customHeight="1">
      <c r="A46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2" s="6"/>
      <c r="C462" s="7"/>
      <c r="D462" s="6"/>
      <c r="E462" s="9"/>
      <c r="F462" s="10"/>
      <c r="G462" s="10"/>
      <c r="H462" s="7"/>
      <c r="I462" s="7"/>
      <c r="J462" s="60"/>
      <c r="K462" s="9"/>
      <c r="L462" s="58" t="str">
        <f>IF(OR(IPRF_Lines_Edit[[#This Row],[Requested Qty]]="",IPRF_Lines_Edit[[#This Row],[Picked Qty]]=""),"",IPRF_Lines_Edit[[#This Row],[Requested Qty]]-IPRF_Lines_Edit[[#This Row],[Picked Qty]])</f>
        <v/>
      </c>
      <c r="M462" s="18" t="str" cm="1">
        <f t="array" ref="M46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2" s="19" t="str" cm="1">
        <f t="array" ref="N46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3" spans="1:14" ht="30" customHeight="1">
      <c r="A46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3" s="6"/>
      <c r="C463" s="7"/>
      <c r="D463" s="6"/>
      <c r="E463" s="9"/>
      <c r="F463" s="10"/>
      <c r="G463" s="10"/>
      <c r="H463" s="7"/>
      <c r="I463" s="7"/>
      <c r="J463" s="60"/>
      <c r="K463" s="9"/>
      <c r="L463" s="58" t="str">
        <f>IF(OR(IPRF_Lines_Edit[[#This Row],[Requested Qty]]="",IPRF_Lines_Edit[[#This Row],[Picked Qty]]=""),"",IPRF_Lines_Edit[[#This Row],[Requested Qty]]-IPRF_Lines_Edit[[#This Row],[Picked Qty]])</f>
        <v/>
      </c>
      <c r="M463" s="18" t="str" cm="1">
        <f t="array" ref="M46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3" s="19" t="str" cm="1">
        <f t="array" ref="N46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4" spans="1:14" ht="30" customHeight="1">
      <c r="A46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4" s="6"/>
      <c r="C464" s="7"/>
      <c r="D464" s="6"/>
      <c r="E464" s="9"/>
      <c r="F464" s="10"/>
      <c r="G464" s="10"/>
      <c r="H464" s="7"/>
      <c r="I464" s="7"/>
      <c r="J464" s="60"/>
      <c r="K464" s="9"/>
      <c r="L464" s="58" t="str">
        <f>IF(OR(IPRF_Lines_Edit[[#This Row],[Requested Qty]]="",IPRF_Lines_Edit[[#This Row],[Picked Qty]]=""),"",IPRF_Lines_Edit[[#This Row],[Requested Qty]]-IPRF_Lines_Edit[[#This Row],[Picked Qty]])</f>
        <v/>
      </c>
      <c r="M464" s="18" t="str" cm="1">
        <f t="array" ref="M46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4" s="19" t="str" cm="1">
        <f t="array" ref="N46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5" spans="1:14" ht="30" customHeight="1">
      <c r="A46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5" s="6"/>
      <c r="C465" s="7"/>
      <c r="D465" s="6"/>
      <c r="E465" s="9"/>
      <c r="F465" s="10"/>
      <c r="G465" s="10"/>
      <c r="H465" s="7"/>
      <c r="I465" s="7"/>
      <c r="J465" s="60"/>
      <c r="K465" s="9"/>
      <c r="L465" s="58" t="str">
        <f>IF(OR(IPRF_Lines_Edit[[#This Row],[Requested Qty]]="",IPRF_Lines_Edit[[#This Row],[Picked Qty]]=""),"",IPRF_Lines_Edit[[#This Row],[Requested Qty]]-IPRF_Lines_Edit[[#This Row],[Picked Qty]])</f>
        <v/>
      </c>
      <c r="M465" s="18" t="str" cm="1">
        <f t="array" ref="M46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5" s="19" t="str" cm="1">
        <f t="array" ref="N46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6" spans="1:14" ht="30" customHeight="1">
      <c r="A46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6" s="6"/>
      <c r="C466" s="7"/>
      <c r="D466" s="6"/>
      <c r="E466" s="9"/>
      <c r="F466" s="10"/>
      <c r="G466" s="10"/>
      <c r="H466" s="7"/>
      <c r="I466" s="7"/>
      <c r="J466" s="60"/>
      <c r="K466" s="9"/>
      <c r="L466" s="58" t="str">
        <f>IF(OR(IPRF_Lines_Edit[[#This Row],[Requested Qty]]="",IPRF_Lines_Edit[[#This Row],[Picked Qty]]=""),"",IPRF_Lines_Edit[[#This Row],[Requested Qty]]-IPRF_Lines_Edit[[#This Row],[Picked Qty]])</f>
        <v/>
      </c>
      <c r="M466" s="18" t="str" cm="1">
        <f t="array" ref="M46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6" s="19" t="str" cm="1">
        <f t="array" ref="N46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7" spans="1:14" ht="30" customHeight="1">
      <c r="A46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7" s="6"/>
      <c r="C467" s="7"/>
      <c r="D467" s="6"/>
      <c r="E467" s="9"/>
      <c r="F467" s="10"/>
      <c r="G467" s="10"/>
      <c r="H467" s="7"/>
      <c r="I467" s="7"/>
      <c r="J467" s="60"/>
      <c r="K467" s="9"/>
      <c r="L467" s="58" t="str">
        <f>IF(OR(IPRF_Lines_Edit[[#This Row],[Requested Qty]]="",IPRF_Lines_Edit[[#This Row],[Picked Qty]]=""),"",IPRF_Lines_Edit[[#This Row],[Requested Qty]]-IPRF_Lines_Edit[[#This Row],[Picked Qty]])</f>
        <v/>
      </c>
      <c r="M467" s="18" t="str" cm="1">
        <f t="array" ref="M46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7" s="19" t="str" cm="1">
        <f t="array" ref="N46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8" spans="1:14" ht="30" customHeight="1">
      <c r="A46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8" s="6"/>
      <c r="C468" s="7"/>
      <c r="D468" s="6"/>
      <c r="E468" s="9"/>
      <c r="F468" s="10"/>
      <c r="G468" s="10"/>
      <c r="H468" s="7"/>
      <c r="I468" s="7"/>
      <c r="J468" s="60"/>
      <c r="K468" s="9"/>
      <c r="L468" s="58" t="str">
        <f>IF(OR(IPRF_Lines_Edit[[#This Row],[Requested Qty]]="",IPRF_Lines_Edit[[#This Row],[Picked Qty]]=""),"",IPRF_Lines_Edit[[#This Row],[Requested Qty]]-IPRF_Lines_Edit[[#This Row],[Picked Qty]])</f>
        <v/>
      </c>
      <c r="M468" s="18" t="str" cm="1">
        <f t="array" ref="M46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8" s="19" t="str" cm="1">
        <f t="array" ref="N46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69" spans="1:14" ht="30" customHeight="1">
      <c r="A46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69" s="6"/>
      <c r="C469" s="7"/>
      <c r="D469" s="6"/>
      <c r="E469" s="9"/>
      <c r="F469" s="10"/>
      <c r="G469" s="10"/>
      <c r="H469" s="7"/>
      <c r="I469" s="7"/>
      <c r="J469" s="60"/>
      <c r="K469" s="9"/>
      <c r="L469" s="58" t="str">
        <f>IF(OR(IPRF_Lines_Edit[[#This Row],[Requested Qty]]="",IPRF_Lines_Edit[[#This Row],[Picked Qty]]=""),"",IPRF_Lines_Edit[[#This Row],[Requested Qty]]-IPRF_Lines_Edit[[#This Row],[Picked Qty]])</f>
        <v/>
      </c>
      <c r="M469" s="18" t="str" cm="1">
        <f t="array" ref="M46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69" s="19" t="str" cm="1">
        <f t="array" ref="N46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0" spans="1:14" ht="30" customHeight="1">
      <c r="A47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0" s="6"/>
      <c r="C470" s="7"/>
      <c r="D470" s="6"/>
      <c r="E470" s="9"/>
      <c r="F470" s="10"/>
      <c r="G470" s="10"/>
      <c r="H470" s="7"/>
      <c r="I470" s="7"/>
      <c r="J470" s="60"/>
      <c r="K470" s="9"/>
      <c r="L470" s="58" t="str">
        <f>IF(OR(IPRF_Lines_Edit[[#This Row],[Requested Qty]]="",IPRF_Lines_Edit[[#This Row],[Picked Qty]]=""),"",IPRF_Lines_Edit[[#This Row],[Requested Qty]]-IPRF_Lines_Edit[[#This Row],[Picked Qty]])</f>
        <v/>
      </c>
      <c r="M470" s="18" t="str" cm="1">
        <f t="array" ref="M47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0" s="19" t="str" cm="1">
        <f t="array" ref="N47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1" spans="1:14" ht="30" customHeight="1">
      <c r="A47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1" s="6"/>
      <c r="C471" s="7"/>
      <c r="D471" s="6"/>
      <c r="E471" s="9"/>
      <c r="F471" s="10"/>
      <c r="G471" s="10"/>
      <c r="H471" s="7"/>
      <c r="I471" s="7"/>
      <c r="J471" s="60"/>
      <c r="K471" s="9"/>
      <c r="L471" s="58" t="str">
        <f>IF(OR(IPRF_Lines_Edit[[#This Row],[Requested Qty]]="",IPRF_Lines_Edit[[#This Row],[Picked Qty]]=""),"",IPRF_Lines_Edit[[#This Row],[Requested Qty]]-IPRF_Lines_Edit[[#This Row],[Picked Qty]])</f>
        <v/>
      </c>
      <c r="M471" s="18" t="str" cm="1">
        <f t="array" ref="M47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1" s="19" t="str" cm="1">
        <f t="array" ref="N47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2" spans="1:14" ht="30" customHeight="1">
      <c r="A47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2" s="6"/>
      <c r="C472" s="7"/>
      <c r="D472" s="6"/>
      <c r="E472" s="9"/>
      <c r="F472" s="10"/>
      <c r="G472" s="10"/>
      <c r="H472" s="7"/>
      <c r="I472" s="7"/>
      <c r="J472" s="60"/>
      <c r="K472" s="9"/>
      <c r="L472" s="58" t="str">
        <f>IF(OR(IPRF_Lines_Edit[[#This Row],[Requested Qty]]="",IPRF_Lines_Edit[[#This Row],[Picked Qty]]=""),"",IPRF_Lines_Edit[[#This Row],[Requested Qty]]-IPRF_Lines_Edit[[#This Row],[Picked Qty]])</f>
        <v/>
      </c>
      <c r="M472" s="18" t="str" cm="1">
        <f t="array" ref="M47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2" s="19" t="str" cm="1">
        <f t="array" ref="N47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3" spans="1:14" ht="30" customHeight="1">
      <c r="A47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3" s="6"/>
      <c r="C473" s="7"/>
      <c r="D473" s="6"/>
      <c r="E473" s="9"/>
      <c r="F473" s="10"/>
      <c r="G473" s="10"/>
      <c r="H473" s="7"/>
      <c r="I473" s="7"/>
      <c r="J473" s="60"/>
      <c r="K473" s="9"/>
      <c r="L473" s="58" t="str">
        <f>IF(OR(IPRF_Lines_Edit[[#This Row],[Requested Qty]]="",IPRF_Lines_Edit[[#This Row],[Picked Qty]]=""),"",IPRF_Lines_Edit[[#This Row],[Requested Qty]]-IPRF_Lines_Edit[[#This Row],[Picked Qty]])</f>
        <v/>
      </c>
      <c r="M473" s="18" t="str" cm="1">
        <f t="array" ref="M47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3" s="19" t="str" cm="1">
        <f t="array" ref="N47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4" spans="1:14" ht="30" customHeight="1">
      <c r="A47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4" s="6"/>
      <c r="C474" s="7"/>
      <c r="D474" s="6"/>
      <c r="E474" s="9"/>
      <c r="F474" s="10"/>
      <c r="G474" s="10"/>
      <c r="H474" s="7"/>
      <c r="I474" s="7"/>
      <c r="J474" s="60"/>
      <c r="K474" s="9"/>
      <c r="L474" s="58" t="str">
        <f>IF(OR(IPRF_Lines_Edit[[#This Row],[Requested Qty]]="",IPRF_Lines_Edit[[#This Row],[Picked Qty]]=""),"",IPRF_Lines_Edit[[#This Row],[Requested Qty]]-IPRF_Lines_Edit[[#This Row],[Picked Qty]])</f>
        <v/>
      </c>
      <c r="M474" s="18" t="str" cm="1">
        <f t="array" ref="M47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4" s="19" t="str" cm="1">
        <f t="array" ref="N47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5" spans="1:14" ht="30" customHeight="1">
      <c r="A47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5" s="6"/>
      <c r="C475" s="7"/>
      <c r="D475" s="6"/>
      <c r="E475" s="9"/>
      <c r="F475" s="10"/>
      <c r="G475" s="10"/>
      <c r="H475" s="7"/>
      <c r="I475" s="7"/>
      <c r="J475" s="60"/>
      <c r="K475" s="9"/>
      <c r="L475" s="58" t="str">
        <f>IF(OR(IPRF_Lines_Edit[[#This Row],[Requested Qty]]="",IPRF_Lines_Edit[[#This Row],[Picked Qty]]=""),"",IPRF_Lines_Edit[[#This Row],[Requested Qty]]-IPRF_Lines_Edit[[#This Row],[Picked Qty]])</f>
        <v/>
      </c>
      <c r="M475" s="18" t="str" cm="1">
        <f t="array" ref="M47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5" s="19" t="str" cm="1">
        <f t="array" ref="N47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6" spans="1:14" ht="30" customHeight="1">
      <c r="A47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6" s="6"/>
      <c r="C476" s="7"/>
      <c r="D476" s="6"/>
      <c r="E476" s="9"/>
      <c r="F476" s="10"/>
      <c r="G476" s="10"/>
      <c r="H476" s="7"/>
      <c r="I476" s="7"/>
      <c r="J476" s="60"/>
      <c r="K476" s="9"/>
      <c r="L476" s="58" t="str">
        <f>IF(OR(IPRF_Lines_Edit[[#This Row],[Requested Qty]]="",IPRF_Lines_Edit[[#This Row],[Picked Qty]]=""),"",IPRF_Lines_Edit[[#This Row],[Requested Qty]]-IPRF_Lines_Edit[[#This Row],[Picked Qty]])</f>
        <v/>
      </c>
      <c r="M476" s="18" t="str" cm="1">
        <f t="array" ref="M47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6" s="19" t="str" cm="1">
        <f t="array" ref="N47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7" spans="1:14" ht="30" customHeight="1">
      <c r="A47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7" s="6"/>
      <c r="C477" s="7"/>
      <c r="D477" s="6"/>
      <c r="E477" s="9"/>
      <c r="F477" s="10"/>
      <c r="G477" s="10"/>
      <c r="H477" s="7"/>
      <c r="I477" s="7"/>
      <c r="J477" s="60"/>
      <c r="K477" s="9"/>
      <c r="L477" s="58" t="str">
        <f>IF(OR(IPRF_Lines_Edit[[#This Row],[Requested Qty]]="",IPRF_Lines_Edit[[#This Row],[Picked Qty]]=""),"",IPRF_Lines_Edit[[#This Row],[Requested Qty]]-IPRF_Lines_Edit[[#This Row],[Picked Qty]])</f>
        <v/>
      </c>
      <c r="M477" s="18" t="str" cm="1">
        <f t="array" ref="M47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7" s="19" t="str" cm="1">
        <f t="array" ref="N47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8" spans="1:14" ht="30" customHeight="1">
      <c r="A47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8" s="6"/>
      <c r="C478" s="7"/>
      <c r="D478" s="6"/>
      <c r="E478" s="9"/>
      <c r="F478" s="10"/>
      <c r="G478" s="10"/>
      <c r="H478" s="7"/>
      <c r="I478" s="7"/>
      <c r="J478" s="60"/>
      <c r="K478" s="9"/>
      <c r="L478" s="58" t="str">
        <f>IF(OR(IPRF_Lines_Edit[[#This Row],[Requested Qty]]="",IPRF_Lines_Edit[[#This Row],[Picked Qty]]=""),"",IPRF_Lines_Edit[[#This Row],[Requested Qty]]-IPRF_Lines_Edit[[#This Row],[Picked Qty]])</f>
        <v/>
      </c>
      <c r="M478" s="18" t="str" cm="1">
        <f t="array" ref="M47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8" s="19" t="str" cm="1">
        <f t="array" ref="N47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79" spans="1:14" ht="30" customHeight="1">
      <c r="A47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79" s="6"/>
      <c r="C479" s="7"/>
      <c r="D479" s="6"/>
      <c r="E479" s="9"/>
      <c r="F479" s="10"/>
      <c r="G479" s="10"/>
      <c r="H479" s="7"/>
      <c r="I479" s="7"/>
      <c r="J479" s="60"/>
      <c r="K479" s="9"/>
      <c r="L479" s="58" t="str">
        <f>IF(OR(IPRF_Lines_Edit[[#This Row],[Requested Qty]]="",IPRF_Lines_Edit[[#This Row],[Picked Qty]]=""),"",IPRF_Lines_Edit[[#This Row],[Requested Qty]]-IPRF_Lines_Edit[[#This Row],[Picked Qty]])</f>
        <v/>
      </c>
      <c r="M479" s="18" t="str" cm="1">
        <f t="array" ref="M47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79" s="19" t="str" cm="1">
        <f t="array" ref="N47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0" spans="1:14" ht="30" customHeight="1">
      <c r="A48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0" s="6"/>
      <c r="C480" s="7"/>
      <c r="D480" s="6"/>
      <c r="E480" s="9"/>
      <c r="F480" s="10"/>
      <c r="G480" s="10"/>
      <c r="H480" s="7"/>
      <c r="I480" s="7"/>
      <c r="J480" s="60"/>
      <c r="K480" s="9"/>
      <c r="L480" s="58" t="str">
        <f>IF(OR(IPRF_Lines_Edit[[#This Row],[Requested Qty]]="",IPRF_Lines_Edit[[#This Row],[Picked Qty]]=""),"",IPRF_Lines_Edit[[#This Row],[Requested Qty]]-IPRF_Lines_Edit[[#This Row],[Picked Qty]])</f>
        <v/>
      </c>
      <c r="M480" s="18" t="str" cm="1">
        <f t="array" ref="M48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0" s="19" t="str" cm="1">
        <f t="array" ref="N48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1" spans="1:14" ht="30" customHeight="1">
      <c r="A48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1" s="6"/>
      <c r="C481" s="7"/>
      <c r="D481" s="6"/>
      <c r="E481" s="9"/>
      <c r="F481" s="10"/>
      <c r="G481" s="10"/>
      <c r="H481" s="7"/>
      <c r="I481" s="7"/>
      <c r="J481" s="60"/>
      <c r="K481" s="9"/>
      <c r="L481" s="58" t="str">
        <f>IF(OR(IPRF_Lines_Edit[[#This Row],[Requested Qty]]="",IPRF_Lines_Edit[[#This Row],[Picked Qty]]=""),"",IPRF_Lines_Edit[[#This Row],[Requested Qty]]-IPRF_Lines_Edit[[#This Row],[Picked Qty]])</f>
        <v/>
      </c>
      <c r="M481" s="18" t="str" cm="1">
        <f t="array" ref="M48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1" s="19" t="str" cm="1">
        <f t="array" ref="N48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2" spans="1:14" ht="30" customHeight="1">
      <c r="A48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2" s="6"/>
      <c r="C482" s="7"/>
      <c r="D482" s="6"/>
      <c r="E482" s="9"/>
      <c r="F482" s="10"/>
      <c r="G482" s="10"/>
      <c r="H482" s="7"/>
      <c r="I482" s="7"/>
      <c r="J482" s="60"/>
      <c r="K482" s="9"/>
      <c r="L482" s="58" t="str">
        <f>IF(OR(IPRF_Lines_Edit[[#This Row],[Requested Qty]]="",IPRF_Lines_Edit[[#This Row],[Picked Qty]]=""),"",IPRF_Lines_Edit[[#This Row],[Requested Qty]]-IPRF_Lines_Edit[[#This Row],[Picked Qty]])</f>
        <v/>
      </c>
      <c r="M482" s="18" t="str" cm="1">
        <f t="array" ref="M48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2" s="19" t="str" cm="1">
        <f t="array" ref="N48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3" spans="1:14" ht="30" customHeight="1">
      <c r="A48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3" s="6"/>
      <c r="C483" s="7"/>
      <c r="D483" s="6"/>
      <c r="E483" s="9"/>
      <c r="F483" s="10"/>
      <c r="G483" s="10"/>
      <c r="H483" s="7"/>
      <c r="I483" s="7"/>
      <c r="J483" s="60"/>
      <c r="K483" s="9"/>
      <c r="L483" s="58" t="str">
        <f>IF(OR(IPRF_Lines_Edit[[#This Row],[Requested Qty]]="",IPRF_Lines_Edit[[#This Row],[Picked Qty]]=""),"",IPRF_Lines_Edit[[#This Row],[Requested Qty]]-IPRF_Lines_Edit[[#This Row],[Picked Qty]])</f>
        <v/>
      </c>
      <c r="M483" s="18" t="str" cm="1">
        <f t="array" ref="M48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3" s="19" t="str" cm="1">
        <f t="array" ref="N48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4" spans="1:14" ht="30" customHeight="1">
      <c r="A48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4" s="6"/>
      <c r="C484" s="7"/>
      <c r="D484" s="6"/>
      <c r="E484" s="9"/>
      <c r="F484" s="10"/>
      <c r="G484" s="10"/>
      <c r="H484" s="7"/>
      <c r="I484" s="7"/>
      <c r="J484" s="60"/>
      <c r="K484" s="9"/>
      <c r="L484" s="58" t="str">
        <f>IF(OR(IPRF_Lines_Edit[[#This Row],[Requested Qty]]="",IPRF_Lines_Edit[[#This Row],[Picked Qty]]=""),"",IPRF_Lines_Edit[[#This Row],[Requested Qty]]-IPRF_Lines_Edit[[#This Row],[Picked Qty]])</f>
        <v/>
      </c>
      <c r="M484" s="18" t="str" cm="1">
        <f t="array" ref="M48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4" s="19" t="str" cm="1">
        <f t="array" ref="N48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5" spans="1:14" ht="30" customHeight="1">
      <c r="A48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5" s="6"/>
      <c r="C485" s="7"/>
      <c r="D485" s="6"/>
      <c r="E485" s="9"/>
      <c r="F485" s="10"/>
      <c r="G485" s="10"/>
      <c r="H485" s="7"/>
      <c r="I485" s="7"/>
      <c r="J485" s="60"/>
      <c r="K485" s="9"/>
      <c r="L485" s="58" t="str">
        <f>IF(OR(IPRF_Lines_Edit[[#This Row],[Requested Qty]]="",IPRF_Lines_Edit[[#This Row],[Picked Qty]]=""),"",IPRF_Lines_Edit[[#This Row],[Requested Qty]]-IPRF_Lines_Edit[[#This Row],[Picked Qty]])</f>
        <v/>
      </c>
      <c r="M485" s="18" t="str" cm="1">
        <f t="array" ref="M48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5" s="19" t="str" cm="1">
        <f t="array" ref="N48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6" spans="1:14" ht="30" customHeight="1">
      <c r="A48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6" s="6"/>
      <c r="C486" s="7"/>
      <c r="D486" s="6"/>
      <c r="E486" s="9"/>
      <c r="F486" s="10"/>
      <c r="G486" s="10"/>
      <c r="H486" s="7"/>
      <c r="I486" s="7"/>
      <c r="J486" s="60"/>
      <c r="K486" s="9"/>
      <c r="L486" s="58" t="str">
        <f>IF(OR(IPRF_Lines_Edit[[#This Row],[Requested Qty]]="",IPRF_Lines_Edit[[#This Row],[Picked Qty]]=""),"",IPRF_Lines_Edit[[#This Row],[Requested Qty]]-IPRF_Lines_Edit[[#This Row],[Picked Qty]])</f>
        <v/>
      </c>
      <c r="M486" s="18" t="str" cm="1">
        <f t="array" ref="M48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6" s="19" t="str" cm="1">
        <f t="array" ref="N48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7" spans="1:14" ht="30" customHeight="1">
      <c r="A48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7" s="6"/>
      <c r="C487" s="7"/>
      <c r="D487" s="6"/>
      <c r="E487" s="9"/>
      <c r="F487" s="10"/>
      <c r="G487" s="10"/>
      <c r="H487" s="7"/>
      <c r="I487" s="7"/>
      <c r="J487" s="60"/>
      <c r="K487" s="9"/>
      <c r="L487" s="58" t="str">
        <f>IF(OR(IPRF_Lines_Edit[[#This Row],[Requested Qty]]="",IPRF_Lines_Edit[[#This Row],[Picked Qty]]=""),"",IPRF_Lines_Edit[[#This Row],[Requested Qty]]-IPRF_Lines_Edit[[#This Row],[Picked Qty]])</f>
        <v/>
      </c>
      <c r="M487" s="18" t="str" cm="1">
        <f t="array" ref="M48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7" s="19" t="str" cm="1">
        <f t="array" ref="N48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8" spans="1:14" ht="30" customHeight="1">
      <c r="A48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8" s="6"/>
      <c r="C488" s="7"/>
      <c r="D488" s="6"/>
      <c r="E488" s="9"/>
      <c r="F488" s="10"/>
      <c r="G488" s="10"/>
      <c r="H488" s="7"/>
      <c r="I488" s="7"/>
      <c r="J488" s="60"/>
      <c r="K488" s="9"/>
      <c r="L488" s="58" t="str">
        <f>IF(OR(IPRF_Lines_Edit[[#This Row],[Requested Qty]]="",IPRF_Lines_Edit[[#This Row],[Picked Qty]]=""),"",IPRF_Lines_Edit[[#This Row],[Requested Qty]]-IPRF_Lines_Edit[[#This Row],[Picked Qty]])</f>
        <v/>
      </c>
      <c r="M488" s="18" t="str" cm="1">
        <f t="array" ref="M48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8" s="19" t="str" cm="1">
        <f t="array" ref="N48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89" spans="1:14" ht="30" customHeight="1">
      <c r="A48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89" s="6"/>
      <c r="C489" s="7"/>
      <c r="D489" s="6"/>
      <c r="E489" s="9"/>
      <c r="F489" s="10"/>
      <c r="G489" s="10"/>
      <c r="H489" s="7"/>
      <c r="I489" s="7"/>
      <c r="J489" s="60"/>
      <c r="K489" s="9"/>
      <c r="L489" s="58" t="str">
        <f>IF(OR(IPRF_Lines_Edit[[#This Row],[Requested Qty]]="",IPRF_Lines_Edit[[#This Row],[Picked Qty]]=""),"",IPRF_Lines_Edit[[#This Row],[Requested Qty]]-IPRF_Lines_Edit[[#This Row],[Picked Qty]])</f>
        <v/>
      </c>
      <c r="M489" s="18" t="str" cm="1">
        <f t="array" ref="M48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89" s="19" t="str" cm="1">
        <f t="array" ref="N48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0" spans="1:14" ht="30" customHeight="1">
      <c r="A49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0" s="6"/>
      <c r="C490" s="7"/>
      <c r="D490" s="6"/>
      <c r="E490" s="9"/>
      <c r="F490" s="10"/>
      <c r="G490" s="10"/>
      <c r="H490" s="7"/>
      <c r="I490" s="7"/>
      <c r="J490" s="60"/>
      <c r="K490" s="9"/>
      <c r="L490" s="58" t="str">
        <f>IF(OR(IPRF_Lines_Edit[[#This Row],[Requested Qty]]="",IPRF_Lines_Edit[[#This Row],[Picked Qty]]=""),"",IPRF_Lines_Edit[[#This Row],[Requested Qty]]-IPRF_Lines_Edit[[#This Row],[Picked Qty]])</f>
        <v/>
      </c>
      <c r="M490" s="18" t="str" cm="1">
        <f t="array" ref="M49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0" s="19" t="str" cm="1">
        <f t="array" ref="N49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1" spans="1:14" ht="30" customHeight="1">
      <c r="A49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1" s="6"/>
      <c r="C491" s="7"/>
      <c r="D491" s="6"/>
      <c r="E491" s="9"/>
      <c r="F491" s="10"/>
      <c r="G491" s="10"/>
      <c r="H491" s="7"/>
      <c r="I491" s="7"/>
      <c r="J491" s="60"/>
      <c r="K491" s="9"/>
      <c r="L491" s="58" t="str">
        <f>IF(OR(IPRF_Lines_Edit[[#This Row],[Requested Qty]]="",IPRF_Lines_Edit[[#This Row],[Picked Qty]]=""),"",IPRF_Lines_Edit[[#This Row],[Requested Qty]]-IPRF_Lines_Edit[[#This Row],[Picked Qty]])</f>
        <v/>
      </c>
      <c r="M491" s="18" t="str" cm="1">
        <f t="array" ref="M49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1" s="19" t="str" cm="1">
        <f t="array" ref="N49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2" spans="1:14" ht="30" customHeight="1">
      <c r="A49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2" s="6"/>
      <c r="C492" s="7"/>
      <c r="D492" s="6"/>
      <c r="E492" s="9"/>
      <c r="F492" s="10"/>
      <c r="G492" s="10"/>
      <c r="H492" s="7"/>
      <c r="I492" s="7"/>
      <c r="J492" s="60"/>
      <c r="K492" s="9"/>
      <c r="L492" s="58" t="str">
        <f>IF(OR(IPRF_Lines_Edit[[#This Row],[Requested Qty]]="",IPRF_Lines_Edit[[#This Row],[Picked Qty]]=""),"",IPRF_Lines_Edit[[#This Row],[Requested Qty]]-IPRF_Lines_Edit[[#This Row],[Picked Qty]])</f>
        <v/>
      </c>
      <c r="M492" s="18" t="str" cm="1">
        <f t="array" ref="M49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2" s="19" t="str" cm="1">
        <f t="array" ref="N49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3" spans="1:14" ht="30" customHeight="1">
      <c r="A49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3" s="6"/>
      <c r="C493" s="7"/>
      <c r="D493" s="6"/>
      <c r="E493" s="9"/>
      <c r="F493" s="10"/>
      <c r="G493" s="10"/>
      <c r="H493" s="7"/>
      <c r="I493" s="7"/>
      <c r="J493" s="60"/>
      <c r="K493" s="9"/>
      <c r="L493" s="58" t="str">
        <f>IF(OR(IPRF_Lines_Edit[[#This Row],[Requested Qty]]="",IPRF_Lines_Edit[[#This Row],[Picked Qty]]=""),"",IPRF_Lines_Edit[[#This Row],[Requested Qty]]-IPRF_Lines_Edit[[#This Row],[Picked Qty]])</f>
        <v/>
      </c>
      <c r="M493" s="18" t="str" cm="1">
        <f t="array" ref="M49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3" s="19" t="str" cm="1">
        <f t="array" ref="N49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4" spans="1:14" ht="30" customHeight="1">
      <c r="A49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4" s="6"/>
      <c r="C494" s="7"/>
      <c r="D494" s="6"/>
      <c r="E494" s="9"/>
      <c r="F494" s="10"/>
      <c r="G494" s="10"/>
      <c r="H494" s="7"/>
      <c r="I494" s="7"/>
      <c r="J494" s="60"/>
      <c r="K494" s="9"/>
      <c r="L494" s="58" t="str">
        <f>IF(OR(IPRF_Lines_Edit[[#This Row],[Requested Qty]]="",IPRF_Lines_Edit[[#This Row],[Picked Qty]]=""),"",IPRF_Lines_Edit[[#This Row],[Requested Qty]]-IPRF_Lines_Edit[[#This Row],[Picked Qty]])</f>
        <v/>
      </c>
      <c r="M494" s="18" t="str" cm="1">
        <f t="array" ref="M49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4" s="19" t="str" cm="1">
        <f t="array" ref="N49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5" spans="1:14" ht="30" customHeight="1">
      <c r="A49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5" s="6"/>
      <c r="C495" s="7"/>
      <c r="D495" s="6"/>
      <c r="E495" s="9"/>
      <c r="F495" s="10"/>
      <c r="G495" s="10"/>
      <c r="H495" s="7"/>
      <c r="I495" s="7"/>
      <c r="J495" s="60"/>
      <c r="K495" s="9"/>
      <c r="L495" s="58" t="str">
        <f>IF(OR(IPRF_Lines_Edit[[#This Row],[Requested Qty]]="",IPRF_Lines_Edit[[#This Row],[Picked Qty]]=""),"",IPRF_Lines_Edit[[#This Row],[Requested Qty]]-IPRF_Lines_Edit[[#This Row],[Picked Qty]])</f>
        <v/>
      </c>
      <c r="M495" s="18" t="str" cm="1">
        <f t="array" ref="M49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5" s="19" t="str" cm="1">
        <f t="array" ref="N49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6" spans="1:14" ht="30" customHeight="1">
      <c r="A49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6" s="6"/>
      <c r="C496" s="7"/>
      <c r="D496" s="6"/>
      <c r="E496" s="9"/>
      <c r="F496" s="10"/>
      <c r="G496" s="10"/>
      <c r="H496" s="7"/>
      <c r="I496" s="7"/>
      <c r="J496" s="60"/>
      <c r="K496" s="9"/>
      <c r="L496" s="58" t="str">
        <f>IF(OR(IPRF_Lines_Edit[[#This Row],[Requested Qty]]="",IPRF_Lines_Edit[[#This Row],[Picked Qty]]=""),"",IPRF_Lines_Edit[[#This Row],[Requested Qty]]-IPRF_Lines_Edit[[#This Row],[Picked Qty]])</f>
        <v/>
      </c>
      <c r="M496" s="18" t="str" cm="1">
        <f t="array" ref="M49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6" s="19" t="str" cm="1">
        <f t="array" ref="N49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7" spans="1:14" ht="30" customHeight="1">
      <c r="A49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7" s="6"/>
      <c r="C497" s="7"/>
      <c r="D497" s="6"/>
      <c r="E497" s="9"/>
      <c r="F497" s="10"/>
      <c r="G497" s="10"/>
      <c r="H497" s="7"/>
      <c r="I497" s="7"/>
      <c r="J497" s="60"/>
      <c r="K497" s="9"/>
      <c r="L497" s="58" t="str">
        <f>IF(OR(IPRF_Lines_Edit[[#This Row],[Requested Qty]]="",IPRF_Lines_Edit[[#This Row],[Picked Qty]]=""),"",IPRF_Lines_Edit[[#This Row],[Requested Qty]]-IPRF_Lines_Edit[[#This Row],[Picked Qty]])</f>
        <v/>
      </c>
      <c r="M497" s="18" t="str" cm="1">
        <f t="array" ref="M49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7" s="19" t="str" cm="1">
        <f t="array" ref="N49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8" spans="1:14" ht="30" customHeight="1">
      <c r="A49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8" s="6"/>
      <c r="C498" s="7"/>
      <c r="D498" s="6"/>
      <c r="E498" s="9"/>
      <c r="F498" s="10"/>
      <c r="G498" s="10"/>
      <c r="H498" s="7"/>
      <c r="I498" s="7"/>
      <c r="J498" s="60"/>
      <c r="K498" s="9"/>
      <c r="L498" s="58" t="str">
        <f>IF(OR(IPRF_Lines_Edit[[#This Row],[Requested Qty]]="",IPRF_Lines_Edit[[#This Row],[Picked Qty]]=""),"",IPRF_Lines_Edit[[#This Row],[Requested Qty]]-IPRF_Lines_Edit[[#This Row],[Picked Qty]])</f>
        <v/>
      </c>
      <c r="M498" s="18" t="str" cm="1">
        <f t="array" ref="M49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8" s="19" t="str" cm="1">
        <f t="array" ref="N49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499" spans="1:14" ht="30" customHeight="1">
      <c r="A49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499" s="6"/>
      <c r="C499" s="7"/>
      <c r="D499" s="6"/>
      <c r="E499" s="9"/>
      <c r="F499" s="10"/>
      <c r="G499" s="10"/>
      <c r="H499" s="7"/>
      <c r="I499" s="7"/>
      <c r="J499" s="60"/>
      <c r="K499" s="9"/>
      <c r="L499" s="58" t="str">
        <f>IF(OR(IPRF_Lines_Edit[[#This Row],[Requested Qty]]="",IPRF_Lines_Edit[[#This Row],[Picked Qty]]=""),"",IPRF_Lines_Edit[[#This Row],[Requested Qty]]-IPRF_Lines_Edit[[#This Row],[Picked Qty]])</f>
        <v/>
      </c>
      <c r="M499" s="18" t="str" cm="1">
        <f t="array" ref="M49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499" s="19" t="str" cm="1">
        <f t="array" ref="N49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0" spans="1:14" ht="30" customHeight="1">
      <c r="A50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0" s="6"/>
      <c r="C500" s="7"/>
      <c r="D500" s="6"/>
      <c r="E500" s="9"/>
      <c r="F500" s="10"/>
      <c r="G500" s="10"/>
      <c r="H500" s="7"/>
      <c r="I500" s="7"/>
      <c r="J500" s="60"/>
      <c r="K500" s="9"/>
      <c r="L500" s="58" t="str">
        <f>IF(OR(IPRF_Lines_Edit[[#This Row],[Requested Qty]]="",IPRF_Lines_Edit[[#This Row],[Picked Qty]]=""),"",IPRF_Lines_Edit[[#This Row],[Requested Qty]]-IPRF_Lines_Edit[[#This Row],[Picked Qty]])</f>
        <v/>
      </c>
      <c r="M500" s="18" t="str" cm="1">
        <f t="array" ref="M50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0" s="19" t="str" cm="1">
        <f t="array" ref="N50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1" spans="1:14" ht="30" customHeight="1">
      <c r="A50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1" s="6"/>
      <c r="C501" s="7"/>
      <c r="D501" s="6"/>
      <c r="E501" s="9"/>
      <c r="F501" s="10"/>
      <c r="G501" s="10"/>
      <c r="H501" s="7"/>
      <c r="I501" s="7"/>
      <c r="J501" s="60"/>
      <c r="K501" s="9"/>
      <c r="L501" s="58" t="str">
        <f>IF(OR(IPRF_Lines_Edit[[#This Row],[Requested Qty]]="",IPRF_Lines_Edit[[#This Row],[Picked Qty]]=""),"",IPRF_Lines_Edit[[#This Row],[Requested Qty]]-IPRF_Lines_Edit[[#This Row],[Picked Qty]])</f>
        <v/>
      </c>
      <c r="M501" s="18" t="str" cm="1">
        <f t="array" ref="M50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1" s="19" t="str" cm="1">
        <f t="array" ref="N50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2" spans="1:14" ht="30" customHeight="1">
      <c r="A50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2" s="6"/>
      <c r="C502" s="7"/>
      <c r="D502" s="6"/>
      <c r="E502" s="9"/>
      <c r="F502" s="10"/>
      <c r="G502" s="10"/>
      <c r="H502" s="7"/>
      <c r="I502" s="7"/>
      <c r="J502" s="60"/>
      <c r="K502" s="9"/>
      <c r="L502" s="58" t="str">
        <f>IF(OR(IPRF_Lines_Edit[[#This Row],[Requested Qty]]="",IPRF_Lines_Edit[[#This Row],[Picked Qty]]=""),"",IPRF_Lines_Edit[[#This Row],[Requested Qty]]-IPRF_Lines_Edit[[#This Row],[Picked Qty]])</f>
        <v/>
      </c>
      <c r="M502" s="18" t="str" cm="1">
        <f t="array" ref="M50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2" s="19" t="str" cm="1">
        <f t="array" ref="N50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3" spans="1:14" ht="30" customHeight="1">
      <c r="A503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3" s="6"/>
      <c r="C503" s="7"/>
      <c r="D503" s="6"/>
      <c r="E503" s="9"/>
      <c r="F503" s="10"/>
      <c r="G503" s="10"/>
      <c r="H503" s="7"/>
      <c r="I503" s="7"/>
      <c r="J503" s="60"/>
      <c r="K503" s="9"/>
      <c r="L503" s="58" t="str">
        <f>IF(OR(IPRF_Lines_Edit[[#This Row],[Requested Qty]]="",IPRF_Lines_Edit[[#This Row],[Picked Qty]]=""),"",IPRF_Lines_Edit[[#This Row],[Requested Qty]]-IPRF_Lines_Edit[[#This Row],[Picked Qty]])</f>
        <v/>
      </c>
      <c r="M503" s="18" t="str" cm="1">
        <f t="array" ref="M50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3" s="19" t="str" cm="1">
        <f t="array" ref="N50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4" spans="1:14" ht="30" customHeight="1">
      <c r="A504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4" s="6"/>
      <c r="C504" s="7"/>
      <c r="D504" s="6"/>
      <c r="E504" s="9"/>
      <c r="F504" s="10"/>
      <c r="G504" s="10"/>
      <c r="H504" s="7"/>
      <c r="I504" s="7"/>
      <c r="J504" s="60"/>
      <c r="K504" s="9"/>
      <c r="L504" s="58" t="str">
        <f>IF(OR(IPRF_Lines_Edit[[#This Row],[Requested Qty]]="",IPRF_Lines_Edit[[#This Row],[Picked Qty]]=""),"",IPRF_Lines_Edit[[#This Row],[Requested Qty]]-IPRF_Lines_Edit[[#This Row],[Picked Qty]])</f>
        <v/>
      </c>
      <c r="M504" s="18" t="str" cm="1">
        <f t="array" ref="M504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4" s="19" t="str" cm="1">
        <f t="array" ref="N504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5" spans="1:14" ht="30" customHeight="1">
      <c r="A505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5" s="6"/>
      <c r="C505" s="7"/>
      <c r="D505" s="6"/>
      <c r="E505" s="9"/>
      <c r="F505" s="10"/>
      <c r="G505" s="10"/>
      <c r="H505" s="7"/>
      <c r="I505" s="7"/>
      <c r="J505" s="60"/>
      <c r="K505" s="9"/>
      <c r="L505" s="58" t="str">
        <f>IF(OR(IPRF_Lines_Edit[[#This Row],[Requested Qty]]="",IPRF_Lines_Edit[[#This Row],[Picked Qty]]=""),"",IPRF_Lines_Edit[[#This Row],[Requested Qty]]-IPRF_Lines_Edit[[#This Row],[Picked Qty]])</f>
        <v/>
      </c>
      <c r="M505" s="18" t="str" cm="1">
        <f t="array" ref="M505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5" s="19" t="str" cm="1">
        <f t="array" ref="N505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6" spans="1:14" ht="30" customHeight="1">
      <c r="A506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6" s="6"/>
      <c r="C506" s="7"/>
      <c r="D506" s="6"/>
      <c r="E506" s="9"/>
      <c r="F506" s="10"/>
      <c r="G506" s="10"/>
      <c r="H506" s="7"/>
      <c r="I506" s="7"/>
      <c r="J506" s="60"/>
      <c r="K506" s="9"/>
      <c r="L506" s="58" t="str">
        <f>IF(OR(IPRF_Lines_Edit[[#This Row],[Requested Qty]]="",IPRF_Lines_Edit[[#This Row],[Picked Qty]]=""),"",IPRF_Lines_Edit[[#This Row],[Requested Qty]]-IPRF_Lines_Edit[[#This Row],[Picked Qty]])</f>
        <v/>
      </c>
      <c r="M506" s="18" t="str" cm="1">
        <f t="array" ref="M506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6" s="19" t="str" cm="1">
        <f t="array" ref="N506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7" spans="1:14" ht="30" customHeight="1">
      <c r="A507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7" s="6"/>
      <c r="C507" s="7"/>
      <c r="D507" s="6"/>
      <c r="E507" s="9"/>
      <c r="F507" s="10"/>
      <c r="G507" s="10"/>
      <c r="H507" s="7"/>
      <c r="I507" s="7"/>
      <c r="J507" s="60"/>
      <c r="K507" s="9"/>
      <c r="L507" s="58" t="str">
        <f>IF(OR(IPRF_Lines_Edit[[#This Row],[Requested Qty]]="",IPRF_Lines_Edit[[#This Row],[Picked Qty]]=""),"",IPRF_Lines_Edit[[#This Row],[Requested Qty]]-IPRF_Lines_Edit[[#This Row],[Picked Qty]])</f>
        <v/>
      </c>
      <c r="M507" s="18" t="str" cm="1">
        <f t="array" ref="M507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7" s="19" t="str" cm="1">
        <f t="array" ref="N507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8" spans="1:14" ht="30" customHeight="1">
      <c r="A508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8" s="6"/>
      <c r="C508" s="7"/>
      <c r="D508" s="6"/>
      <c r="E508" s="9"/>
      <c r="F508" s="10"/>
      <c r="G508" s="10"/>
      <c r="H508" s="7"/>
      <c r="I508" s="7"/>
      <c r="J508" s="60"/>
      <c r="K508" s="9"/>
      <c r="L508" s="58" t="str">
        <f>IF(OR(IPRF_Lines_Edit[[#This Row],[Requested Qty]]="",IPRF_Lines_Edit[[#This Row],[Picked Qty]]=""),"",IPRF_Lines_Edit[[#This Row],[Requested Qty]]-IPRF_Lines_Edit[[#This Row],[Picked Qty]])</f>
        <v/>
      </c>
      <c r="M508" s="18" t="str" cm="1">
        <f t="array" ref="M508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8" s="19" t="str" cm="1">
        <f t="array" ref="N508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09" spans="1:14" ht="30" customHeight="1">
      <c r="A509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09" s="6"/>
      <c r="C509" s="7"/>
      <c r="D509" s="6"/>
      <c r="E509" s="9"/>
      <c r="F509" s="10"/>
      <c r="G509" s="10"/>
      <c r="H509" s="7"/>
      <c r="I509" s="7"/>
      <c r="J509" s="60"/>
      <c r="K509" s="9"/>
      <c r="L509" s="58" t="str">
        <f>IF(OR(IPRF_Lines_Edit[[#This Row],[Requested Qty]]="",IPRF_Lines_Edit[[#This Row],[Picked Qty]]=""),"",IPRF_Lines_Edit[[#This Row],[Requested Qty]]-IPRF_Lines_Edit[[#This Row],[Picked Qty]])</f>
        <v/>
      </c>
      <c r="M509" s="18" t="str" cm="1">
        <f t="array" ref="M509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09" s="19" t="str" cm="1">
        <f t="array" ref="N509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0" spans="1:14" ht="30" customHeight="1">
      <c r="A510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0" s="6"/>
      <c r="C510" s="7"/>
      <c r="D510" s="6"/>
      <c r="E510" s="9"/>
      <c r="F510" s="10"/>
      <c r="G510" s="10"/>
      <c r="H510" s="7"/>
      <c r="I510" s="7"/>
      <c r="J510" s="60"/>
      <c r="K510" s="9"/>
      <c r="L510" s="58" t="str">
        <f>IF(OR(IPRF_Lines_Edit[[#This Row],[Requested Qty]]="",IPRF_Lines_Edit[[#This Row],[Picked Qty]]=""),"",IPRF_Lines_Edit[[#This Row],[Requested Qty]]-IPRF_Lines_Edit[[#This Row],[Picked Qty]])</f>
        <v/>
      </c>
      <c r="M510" s="18" t="str" cm="1">
        <f t="array" ref="M510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0" s="19" t="str" cm="1">
        <f t="array" ref="N510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1" spans="1:14" ht="30" customHeight="1">
      <c r="A511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1" s="6"/>
      <c r="C511" s="7"/>
      <c r="D511" s="6"/>
      <c r="E511" s="9"/>
      <c r="F511" s="10"/>
      <c r="G511" s="10"/>
      <c r="H511" s="7"/>
      <c r="I511" s="7"/>
      <c r="J511" s="60"/>
      <c r="K511" s="9"/>
      <c r="L511" s="58" t="str">
        <f>IF(OR(IPRF_Lines_Edit[[#This Row],[Requested Qty]]="",IPRF_Lines_Edit[[#This Row],[Picked Qty]]=""),"",IPRF_Lines_Edit[[#This Row],[Requested Qty]]-IPRF_Lines_Edit[[#This Row],[Picked Qty]])</f>
        <v/>
      </c>
      <c r="M511" s="18" t="str" cm="1">
        <f t="array" ref="M511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1" s="19" t="str" cm="1">
        <f t="array" ref="N511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2" spans="1:14" ht="30" customHeight="1">
      <c r="A512" s="22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2" s="6"/>
      <c r="C512" s="7"/>
      <c r="D512" s="6"/>
      <c r="E512" s="9"/>
      <c r="F512" s="10"/>
      <c r="G512" s="10"/>
      <c r="H512" s="7"/>
      <c r="I512" s="7"/>
      <c r="J512" s="60"/>
      <c r="K512" s="9"/>
      <c r="L512" s="58" t="str">
        <f>IF(OR(IPRF_Lines_Edit[[#This Row],[Requested Qty]]="",IPRF_Lines_Edit[[#This Row],[Picked Qty]]=""),"",IPRF_Lines_Edit[[#This Row],[Requested Qty]]-IPRF_Lines_Edit[[#This Row],[Picked Qty]])</f>
        <v/>
      </c>
      <c r="M512" s="18" t="str" cm="1">
        <f t="array" ref="M512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2" s="19" t="str" cm="1">
        <f t="array" ref="N512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  <row r="513" spans="1:14" ht="30" customHeight="1">
      <c r="A513" s="23" t="str">
        <f>IF(
    OR(IPRF_Lines_Edit[[#This Row],[Item Description]]="",IPRF_Lines_Edit[[#This Row],[Requested Qty]]="",IPRF_Lines_Edit[[#This Row],[Unit]]=""),
    "",
    TEXT(ROW()-ROW(IPRF_Lines_Edit[[#Headers],[Line num]]), "000")
)</f>
        <v/>
      </c>
      <c r="B513" s="11"/>
      <c r="C513" s="12"/>
      <c r="D513" s="11"/>
      <c r="E513" s="13"/>
      <c r="F513" s="14"/>
      <c r="G513" s="14"/>
      <c r="H513" s="12"/>
      <c r="I513" s="12"/>
      <c r="J513" s="61"/>
      <c r="K513" s="9"/>
      <c r="L513" s="59" t="str">
        <f>IF(OR(IPRF_Lines_Edit[[#This Row],[Requested Qty]]="",IPRF_Lines_Edit[[#This Row],[Picked Qty]]=""),"",IPRF_Lines_Edit[[#This Row],[Requested Qty]]-IPRF_Lines_Edit[[#This Row],[Picked Qty]])</f>
        <v/>
      </c>
      <c r="M513" s="20" t="str" cm="1">
        <f t="array" ref="M513">IF(
    OR(IPRF_Lines_Edit[[#This Row],[Item Description]]="",IPRF_Lines_Edit[[#This Row],[Requested Qty]]="",IPRF_Lines_Edit[[#This Row],[Unit]]=""),
    "",UPPER(IPRF_Header[Request number] &amp; "-" &amp; IPRF_Lines_Edit[[#This Row],[Line num]]))</f>
        <v/>
      </c>
      <c r="N513" s="21" t="str" cm="1">
        <f t="array" ref="N513">IF(
    OR(IPRF_Lines_Edit[[#This Row],[Item Description]]="",IPRF_Lines_Edit[[#This Row],[Requested Qty]]="",IPRF_Header[Request number]="",IPRF_Lines_Edit[[#This Row],[Unit]]=""),
    "",
    UPPER(
        SUBSTITUTE(
            _xlfn.TEXTJOIN(
                CHAR(10),
                TRUE,
                IPRF_Lines_Edit[[#This Row],[Item Description]],
                "Item ID: " &amp; IPRF_Header[Request number] &amp; "-" &amp; IPRF_Lines_Edit[[#This Row],[Line num]],
                IF(IPRF_Lines_Edit[[#This Row],[Object ID]]&lt;&gt;"","Object ID: " &amp; IPRF_Lines_Edit[[#This Row],[Object ID]],""),
                IF(IPRF_Lines_Edit[[#This Row],[Work Order]]&lt;&gt;"","Work Order: " &amp; IPRF_Lines_Edit[[#This Row],[Work Order]],""),
                IF(Input_Asset&lt;&gt;"","Asset Number: " &amp; Input_Asset,"")
            ),
            CHAR(10),
            " || "
        )
    )
)</f>
        <v/>
      </c>
    </row>
  </sheetData>
  <sheetProtection sheet="1" objects="1" scenarios="1" selectLockedCells="1"/>
  <protectedRanges>
    <protectedRange sqref="C5:D9 H5:I9 C10 M6:N10" name="Range3"/>
    <protectedRange sqref="B16:E513 K16 H17:K513" name="Item details"/>
    <protectedRange sqref="F16:G513" name="Item_Additional"/>
  </protectedRanges>
  <mergeCells count="34">
    <mergeCell ref="C1:N2"/>
    <mergeCell ref="C3:N3"/>
    <mergeCell ref="A5:B5"/>
    <mergeCell ref="C5:D5"/>
    <mergeCell ref="F5:G5"/>
    <mergeCell ref="H5:I5"/>
    <mergeCell ref="K5:L5"/>
    <mergeCell ref="A6:B6"/>
    <mergeCell ref="C6:D6"/>
    <mergeCell ref="F6:G6"/>
    <mergeCell ref="H6:I6"/>
    <mergeCell ref="K6:L6"/>
    <mergeCell ref="M7:N7"/>
    <mergeCell ref="A8:B8"/>
    <mergeCell ref="C8:D8"/>
    <mergeCell ref="F8:G8"/>
    <mergeCell ref="H8:I8"/>
    <mergeCell ref="K8:L8"/>
    <mergeCell ref="A7:B7"/>
    <mergeCell ref="C7:D7"/>
    <mergeCell ref="F7:G7"/>
    <mergeCell ref="H7:I7"/>
    <mergeCell ref="K7:L7"/>
    <mergeCell ref="K9:L9"/>
    <mergeCell ref="A10:B10"/>
    <mergeCell ref="A13:D13"/>
    <mergeCell ref="C10:D10"/>
    <mergeCell ref="F10:G10"/>
    <mergeCell ref="H10:I10"/>
    <mergeCell ref="K10:L10"/>
    <mergeCell ref="A9:B9"/>
    <mergeCell ref="C9:D9"/>
    <mergeCell ref="F9:G9"/>
    <mergeCell ref="H9:I9"/>
  </mergeCells>
  <dataValidations count="15">
    <dataValidation type="whole" operator="greaterThan" allowBlank="1" showInputMessage="1" showErrorMessage="1" sqref="K16" xr:uid="{68587DD5-8D6F-46EC-974F-B96451901B4D}">
      <formula1>0</formula1>
    </dataValidation>
    <dataValidation type="list" allowBlank="1" showInputMessage="1" showErrorMessage="1" sqref="J7 H8" xr:uid="{2C46381B-A238-4E17-A87E-0F7223246CDE}">
      <formula1>R_location</formula1>
    </dataValidation>
    <dataValidation type="list" operator="greaterThanOrEqual" allowBlank="1" showInputMessage="1" showErrorMessage="1" sqref="H8" xr:uid="{7867FD1F-33BC-422B-B75E-32E65EA04340}">
      <formula1>R_location</formula1>
    </dataValidation>
    <dataValidation type="textLength" allowBlank="1" showInputMessage="1" showErrorMessage="1" sqref="H17:H513" xr:uid="{4C8FFECB-F243-4AE7-B9E6-9DA58F508F02}">
      <formula1>4</formula1>
      <formula2>10</formula2>
    </dataValidation>
    <dataValidation type="list" allowBlank="1" showInputMessage="1" showErrorMessage="1" sqref="N10" xr:uid="{C30EF95C-A655-4D05-B772-3A64F67FC9C5}">
      <formula1>R_warehouse_rep_name</formula1>
    </dataValidation>
    <dataValidation type="list" allowBlank="1" showInputMessage="1" showErrorMessage="1" sqref="N9" xr:uid="{7D633AA9-E0CE-4599-8F62-BCD3D7445991}">
      <formula1>R_requester_name</formula1>
    </dataValidation>
    <dataValidation type="list" allowBlank="1" showInputMessage="1" showErrorMessage="1" sqref="C10" xr:uid="{063B4B79-7B27-4D53-BB01-2177F5237E8E}">
      <formula1>R_projects</formula1>
    </dataValidation>
    <dataValidation type="list" allowBlank="1" showInputMessage="1" showErrorMessage="1" sqref="C7" xr:uid="{7D1A9F2B-E139-4719-9C14-AEEA163DCB27}">
      <formula1>R_bu</formula1>
    </dataValidation>
    <dataValidation type="list" allowBlank="1" showInputMessage="1" showErrorMessage="1" sqref="N6" xr:uid="{A0B3201C-4B6D-45D1-A1DC-8539CEECF251}">
      <formula1>R_entity</formula1>
    </dataValidation>
    <dataValidation type="list" allowBlank="1" showInputMessage="1" showErrorMessage="1" sqref="H6" xr:uid="{19F6F604-25AD-4F7C-B0DA-C7BDD7D95536}">
      <formula1>R_item_type</formula1>
    </dataValidation>
    <dataValidation type="list" allowBlank="1" showInputMessage="1" showErrorMessage="1" sqref="C6" xr:uid="{81A6EF31-E496-49E1-A158-B2F5AB75E076}">
      <formula1>R_request_type</formula1>
    </dataValidation>
    <dataValidation type="date" operator="greaterThanOrEqual" allowBlank="1" showInputMessage="1" showErrorMessage="1" sqref="J7" xr:uid="{C8311D75-86F2-4019-9A44-99D8BAA4B411}">
      <formula1>TODAY()+2</formula1>
    </dataValidation>
    <dataValidation type="date" operator="greaterThanOrEqual" allowBlank="1" showInputMessage="1" showErrorMessage="1" sqref="N5" xr:uid="{77D5777A-A274-44CE-963F-A4739A5E5734}">
      <formula1>TODAY()</formula1>
    </dataValidation>
    <dataValidation type="list" allowBlank="1" showInputMessage="1" showErrorMessage="1" sqref="G16:G35" xr:uid="{013E9AA9-CE42-4BD4-9058-70C43FC45311}">
      <formula1>"Urgent, Stock, Breakdown, Normal"</formula1>
    </dataValidation>
    <dataValidation type="decimal" operator="greaterThan" allowBlank="1" showInputMessage="1" showErrorMessage="1" sqref="E16:E513 J16:K513" xr:uid="{EC928E2A-7157-463B-8C65-2847C6648FE1}">
      <formula1>0</formula1>
    </dataValidation>
  </dataValidations>
  <printOptions horizontalCentered="1"/>
  <pageMargins left="0.23622047244094491" right="0.23622047244094491" top="0.31496062992125984" bottom="0.74803149606299213" header="0.31496062992125984" footer="0.31496062992125984"/>
  <pageSetup paperSize="9" scale="27" fitToHeight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9223" r:id="rId4" name="chbox_postfacto">
          <controlPr defaultSize="0" autoLine="0" r:id="rId5">
            <anchor moveWithCells="1">
              <from>
                <xdr:col>10</xdr:col>
                <xdr:colOff>0</xdr:colOff>
                <xdr:row>6</xdr:row>
                <xdr:rowOff>9525</xdr:rowOff>
              </from>
              <to>
                <xdr:col>13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9223" r:id="rId4" name="chbox_postfacto"/>
      </mc:Fallback>
    </mc:AlternateContent>
    <mc:AlternateContent xmlns:mc="http://schemas.openxmlformats.org/markup-compatibility/2006">
      <mc:Choice Requires="x14">
        <control shapeId="9222" r:id="rId6" name="chbox_rimses">
          <controlPr defaultSize="0" autoLine="0" r:id="rId7">
            <anchor moveWithCells="1">
              <from>
                <xdr:col>5</xdr:col>
                <xdr:colOff>0</xdr:colOff>
                <xdr:row>8</xdr:row>
                <xdr:rowOff>9525</xdr:rowOff>
              </from>
              <to>
                <xdr:col>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22" r:id="rId6" name="chbox_rimses"/>
      </mc:Fallback>
    </mc:AlternateContent>
    <mc:AlternateContent xmlns:mc="http://schemas.openxmlformats.org/markup-compatibility/2006">
      <mc:Choice Requires="x14">
        <control shapeId="9221" r:id="rId8" name="Chbox_Sourcing">
          <controlPr defaultSize="0" autoLine="0" r:id="rId9">
            <anchor moveWithCells="1">
              <from>
                <xdr:col>5</xdr:col>
                <xdr:colOff>0</xdr:colOff>
                <xdr:row>6</xdr:row>
                <xdr:rowOff>0</xdr:rowOff>
              </from>
              <to>
                <xdr:col>6</xdr:col>
                <xdr:colOff>800100</xdr:colOff>
                <xdr:row>7</xdr:row>
                <xdr:rowOff>0</xdr:rowOff>
              </to>
            </anchor>
          </controlPr>
        </control>
      </mc:Choice>
      <mc:Fallback>
        <control shapeId="9221" r:id="rId8" name="Chbox_Sourcing"/>
      </mc:Fallback>
    </mc:AlternateContent>
    <mc:AlternateContent xmlns:mc="http://schemas.openxmlformats.org/markup-compatibility/2006">
      <mc:Choice Requires="x14">
        <control shapeId="9220" r:id="rId10" name="btn_reset_line">
          <controlPr defaultSize="0" autoLine="0" r:id="rId11">
            <anchor moveWithCells="1">
              <from>
                <xdr:col>3</xdr:col>
                <xdr:colOff>266700</xdr:colOff>
                <xdr:row>11</xdr:row>
                <xdr:rowOff>19050</xdr:rowOff>
              </from>
              <to>
                <xdr:col>4</xdr:col>
                <xdr:colOff>571500</xdr:colOff>
                <xdr:row>11</xdr:row>
                <xdr:rowOff>304800</xdr:rowOff>
              </to>
            </anchor>
          </controlPr>
        </control>
      </mc:Choice>
      <mc:Fallback>
        <control shapeId="9220" r:id="rId10" name="btn_reset_line"/>
      </mc:Fallback>
    </mc:AlternateContent>
    <mc:AlternateContent xmlns:mc="http://schemas.openxmlformats.org/markup-compatibility/2006">
      <mc:Choice Requires="x14">
        <control shapeId="9219" r:id="rId12" name="btn_new_request">
          <controlPr defaultSize="0" autoLine="0" r:id="rId13">
            <anchor moveWithCells="1">
              <from>
                <xdr:col>0</xdr:col>
                <xdr:colOff>66675</xdr:colOff>
                <xdr:row>11</xdr:row>
                <xdr:rowOff>9525</xdr:rowOff>
              </from>
              <to>
                <xdr:col>2</xdr:col>
                <xdr:colOff>723900</xdr:colOff>
                <xdr:row>11</xdr:row>
                <xdr:rowOff>285750</xdr:rowOff>
              </to>
            </anchor>
          </controlPr>
        </control>
      </mc:Choice>
      <mc:Fallback>
        <control shapeId="9219" r:id="rId12" name="btn_new_request"/>
      </mc:Fallback>
    </mc:AlternateContent>
    <mc:AlternateContent xmlns:mc="http://schemas.openxmlformats.org/markup-compatibility/2006">
      <mc:Choice Requires="x14">
        <control shapeId="9218" r:id="rId14" name="btn_submit_request">
          <controlPr defaultSize="0" autoLine="0" r:id="rId15">
            <anchor moveWithCells="1">
              <from>
                <xdr:col>4</xdr:col>
                <xdr:colOff>704850</xdr:colOff>
                <xdr:row>11</xdr:row>
                <xdr:rowOff>0</xdr:rowOff>
              </from>
              <to>
                <xdr:col>8</xdr:col>
                <xdr:colOff>38100</xdr:colOff>
                <xdr:row>11</xdr:row>
                <xdr:rowOff>314325</xdr:rowOff>
              </to>
            </anchor>
          </controlPr>
        </control>
      </mc:Choice>
      <mc:Fallback>
        <control shapeId="9218" r:id="rId14" name="btn_submit_request"/>
      </mc:Fallback>
    </mc:AlternateContent>
    <mc:AlternateContent xmlns:mc="http://schemas.openxmlformats.org/markup-compatibility/2006">
      <mc:Choice Requires="x14">
        <control shapeId="9217" r:id="rId16" name="chbox_workorder">
          <controlPr defaultSize="0" autoLine="0" r:id="rId17">
            <anchor moveWithCells="1">
              <from>
                <xdr:col>0</xdr:col>
                <xdr:colOff>0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9217" r:id="rId16" name="chbox_workorder"/>
      </mc:Fallback>
    </mc:AlternateContent>
  </controls>
  <tableParts count="1">
    <tablePart r:id="rId1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4A420-E524-47B6-BCEF-A46C607C7863}">
  <sheetPr codeName="Sheet6"/>
  <dimension ref="A1:D22"/>
  <sheetViews>
    <sheetView workbookViewId="0">
      <selection activeCell="C19" sqref="C19"/>
    </sheetView>
  </sheetViews>
  <sheetFormatPr defaultRowHeight="24.95" customHeight="1"/>
  <cols>
    <col min="1" max="1" width="24.7109375" bestFit="1" customWidth="1"/>
    <col min="2" max="2" width="25.7109375" customWidth="1"/>
    <col min="3" max="3" width="21.5703125" bestFit="1" customWidth="1"/>
    <col min="4" max="4" width="17" bestFit="1" customWidth="1"/>
  </cols>
  <sheetData>
    <row r="1" spans="1:4" ht="20.100000000000001" customHeight="1">
      <c r="A1" s="15" t="s">
        <v>52</v>
      </c>
      <c r="B1" s="15" t="s">
        <v>53</v>
      </c>
      <c r="C1" s="15" t="s">
        <v>54</v>
      </c>
      <c r="D1" s="15" t="s">
        <v>55</v>
      </c>
    </row>
    <row r="2" spans="1:4" ht="24.95" customHeight="1">
      <c r="A2" s="15" t="s">
        <v>56</v>
      </c>
      <c r="B2" s="15"/>
      <c r="C2" s="15" t="s">
        <v>57</v>
      </c>
      <c r="D2" s="15"/>
    </row>
    <row r="3" spans="1:4" ht="24.95" customHeight="1">
      <c r="A3" s="15" t="s">
        <v>5</v>
      </c>
      <c r="B3" s="15" t="s">
        <v>6</v>
      </c>
      <c r="C3" s="15" t="s">
        <v>58</v>
      </c>
      <c r="D3" s="15"/>
    </row>
    <row r="4" spans="1:4" ht="24.95" customHeight="1">
      <c r="A4" s="15" t="s">
        <v>7</v>
      </c>
      <c r="B4" s="15" t="s">
        <v>8</v>
      </c>
      <c r="C4" s="15" t="s">
        <v>59</v>
      </c>
      <c r="D4" s="15"/>
    </row>
    <row r="5" spans="1:4" ht="24.95" customHeight="1">
      <c r="A5" s="15" t="s">
        <v>9</v>
      </c>
      <c r="B5" s="15" t="s">
        <v>10</v>
      </c>
      <c r="C5" s="15" t="s">
        <v>60</v>
      </c>
      <c r="D5" s="15"/>
    </row>
    <row r="6" spans="1:4" ht="24.95" customHeight="1">
      <c r="A6" s="15" t="s">
        <v>11</v>
      </c>
      <c r="B6" s="15" t="s">
        <v>12</v>
      </c>
      <c r="C6" s="15" t="s">
        <v>61</v>
      </c>
      <c r="D6" s="15"/>
    </row>
    <row r="7" spans="1:4" ht="24.95" customHeight="1">
      <c r="A7" s="15" t="s">
        <v>62</v>
      </c>
      <c r="B7" s="35" t="b">
        <v>1</v>
      </c>
      <c r="C7" s="15"/>
      <c r="D7" s="15" t="s">
        <v>63</v>
      </c>
    </row>
    <row r="8" spans="1:4" ht="24.95" customHeight="1">
      <c r="A8" s="15" t="s">
        <v>64</v>
      </c>
      <c r="B8" s="35" t="b">
        <v>0</v>
      </c>
      <c r="C8" s="15"/>
      <c r="D8" s="15" t="s">
        <v>65</v>
      </c>
    </row>
    <row r="9" spans="1:4" ht="24.95" customHeight="1">
      <c r="A9" s="15" t="s">
        <v>66</v>
      </c>
      <c r="B9" s="35" t="b">
        <v>0</v>
      </c>
      <c r="C9" s="15"/>
      <c r="D9" s="15" t="s">
        <v>67</v>
      </c>
    </row>
    <row r="10" spans="1:4" ht="24.95" customHeight="1">
      <c r="A10" s="15" t="s">
        <v>68</v>
      </c>
      <c r="B10" s="35" t="b">
        <v>0</v>
      </c>
      <c r="C10" s="15"/>
      <c r="D10" s="15" t="s">
        <v>69</v>
      </c>
    </row>
    <row r="11" spans="1:4" ht="24.95" customHeight="1">
      <c r="A11" s="15" t="s">
        <v>70</v>
      </c>
      <c r="B11" s="15"/>
      <c r="C11" s="15" t="s">
        <v>71</v>
      </c>
      <c r="D11" s="15"/>
    </row>
    <row r="12" spans="1:4" ht="24.95" customHeight="1">
      <c r="A12" s="15" t="s">
        <v>72</v>
      </c>
      <c r="B12" s="15"/>
      <c r="C12" s="15" t="s">
        <v>73</v>
      </c>
      <c r="D12" s="15"/>
    </row>
    <row r="13" spans="1:4" ht="24.95" customHeight="1">
      <c r="A13" s="15" t="s">
        <v>16</v>
      </c>
      <c r="B13" s="15" t="s">
        <v>17</v>
      </c>
      <c r="C13" s="15" t="s">
        <v>74</v>
      </c>
      <c r="D13" s="15"/>
    </row>
    <row r="14" spans="1:4" ht="24.95" customHeight="1">
      <c r="A14" s="15" t="s">
        <v>20</v>
      </c>
      <c r="B14" s="15"/>
      <c r="C14" s="15" t="s">
        <v>75</v>
      </c>
      <c r="D14" s="15"/>
    </row>
    <row r="15" spans="1:4" ht="24.95" customHeight="1">
      <c r="A15" s="15" t="s">
        <v>76</v>
      </c>
      <c r="B15" s="15"/>
      <c r="C15" s="15" t="s">
        <v>77</v>
      </c>
      <c r="D15" s="15"/>
    </row>
    <row r="16" spans="1:4" ht="24.95" customHeight="1">
      <c r="A16" s="15" t="s">
        <v>13</v>
      </c>
      <c r="B16" s="37" t="s">
        <v>78</v>
      </c>
      <c r="C16" s="15" t="s">
        <v>79</v>
      </c>
      <c r="D16" s="15"/>
    </row>
    <row r="17" spans="1:4" ht="24.95" customHeight="1">
      <c r="A17" s="15" t="s">
        <v>80</v>
      </c>
      <c r="B17" s="15"/>
      <c r="C17" s="15" t="s">
        <v>81</v>
      </c>
      <c r="D17" s="15"/>
    </row>
    <row r="18" spans="1:4" ht="24.95" customHeight="1">
      <c r="A18" s="15" t="s">
        <v>3</v>
      </c>
      <c r="B18" s="15"/>
      <c r="C18" s="15" t="s">
        <v>82</v>
      </c>
      <c r="D18" s="15"/>
    </row>
    <row r="19" spans="1:4" ht="24.95" customHeight="1">
      <c r="A19" s="15" t="s">
        <v>83</v>
      </c>
      <c r="B19" s="15"/>
      <c r="C19" s="15" t="s">
        <v>84</v>
      </c>
      <c r="D19" s="15"/>
    </row>
    <row r="20" spans="1:4" ht="24.95" customHeight="1">
      <c r="A20" s="15" t="s">
        <v>85</v>
      </c>
      <c r="B20" s="15"/>
      <c r="C20" s="15" t="s">
        <v>86</v>
      </c>
      <c r="D20" s="15"/>
    </row>
    <row r="21" spans="1:4" ht="24.95" customHeight="1">
      <c r="A21" s="15" t="s">
        <v>87</v>
      </c>
      <c r="B21" s="15"/>
      <c r="C21" s="15" t="s">
        <v>88</v>
      </c>
      <c r="D21" s="15"/>
    </row>
    <row r="22" spans="1:4" ht="24.95" customHeight="1">
      <c r="A22" s="15" t="s">
        <v>89</v>
      </c>
      <c r="B22" s="15"/>
      <c r="C22" s="15" t="s">
        <v>90</v>
      </c>
      <c r="D22" s="15"/>
    </row>
  </sheetData>
  <sheetProtection sheet="1" objects="1" scenarios="1"/>
  <dataValidations count="8">
    <dataValidation type="list" allowBlank="1" showInputMessage="1" showErrorMessage="1" sqref="B3" xr:uid="{F78459B6-1B5F-4F38-BA7D-B33CB3D2AD2A}">
      <formula1>R_request_type</formula1>
    </dataValidation>
    <dataValidation type="list" allowBlank="1" showInputMessage="1" showErrorMessage="1" sqref="B4" xr:uid="{F0A260CF-3817-4516-88AA-B5668B6D9CF2}">
      <formula1>R_item_type</formula1>
    </dataValidation>
    <dataValidation type="list" allowBlank="1" showInputMessage="1" showErrorMessage="1" sqref="B5" xr:uid="{43BD38A9-D07D-4EC7-8745-C152EBB912B6}">
      <formula1>R_entity</formula1>
    </dataValidation>
    <dataValidation type="list" allowBlank="1" showInputMessage="1" showErrorMessage="1" sqref="B6" xr:uid="{81C88105-84B6-44CE-B282-3C61B6607A4E}">
      <formula1>R_bu</formula1>
    </dataValidation>
    <dataValidation type="list" allowBlank="1" showInputMessage="1" showErrorMessage="1" sqref="B12" xr:uid="{EF9DB690-AB75-4882-9BCC-55431C6CAFEC}">
      <formula1>R_location</formula1>
    </dataValidation>
    <dataValidation type="list" allowBlank="1" showInputMessage="1" showErrorMessage="1" sqref="B13" xr:uid="{6DFF2041-7AB6-447E-A65A-0F32837F1F47}">
      <formula1>R_requester_name</formula1>
    </dataValidation>
    <dataValidation type="list" allowBlank="1" showInputMessage="1" showErrorMessage="1" sqref="B14" xr:uid="{A9F4E422-0CDB-44F0-B9E3-35A995E49ADB}">
      <formula1>R_warehouse_rep_name</formula1>
    </dataValidation>
    <dataValidation type="list" allowBlank="1" showInputMessage="1" showErrorMessage="1" sqref="B11" xr:uid="{0C6A8636-62CD-4621-9130-D45985A4F994}">
      <formula1>R_projects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H508"/>
  <sheetViews>
    <sheetView zoomScaleNormal="100" workbookViewId="0">
      <selection activeCell="C19" sqref="C19"/>
    </sheetView>
  </sheetViews>
  <sheetFormatPr defaultRowHeight="30" customHeight="1"/>
  <cols>
    <col min="1" max="1" width="16.140625" style="15" bestFit="1" customWidth="1"/>
    <col min="2" max="2" width="48.28515625" style="15" customWidth="1"/>
    <col min="3" max="3" width="15.42578125" style="15" bestFit="1" customWidth="1"/>
    <col min="4" max="4" width="22.5703125" style="15" bestFit="1" customWidth="1"/>
    <col min="5" max="5" width="6.28515625" style="15" bestFit="1" customWidth="1"/>
    <col min="6" max="6" width="7.5703125" bestFit="1" customWidth="1"/>
    <col min="7" max="7" width="17.28515625" bestFit="1" customWidth="1"/>
    <col min="8" max="8" width="14.5703125" bestFit="1" customWidth="1"/>
    <col min="9" max="10" width="14.5703125" customWidth="1"/>
    <col min="11" max="11" width="13.42578125" bestFit="1" customWidth="1"/>
    <col min="12" max="12" width="11.85546875" bestFit="1" customWidth="1"/>
    <col min="13" max="13" width="19.5703125" bestFit="1" customWidth="1"/>
    <col min="14" max="14" width="11.85546875" customWidth="1"/>
    <col min="15" max="15" width="19.28515625" bestFit="1" customWidth="1"/>
    <col min="16" max="16" width="13.85546875" bestFit="1" customWidth="1"/>
    <col min="17" max="17" width="60.85546875" bestFit="1" customWidth="1"/>
    <col min="18" max="18" width="41.28515625" bestFit="1" customWidth="1"/>
    <col min="19" max="19" width="24.85546875" customWidth="1"/>
    <col min="20" max="20" width="35.140625" bestFit="1" customWidth="1"/>
    <col min="21" max="21" width="15.42578125" style="17" bestFit="1" customWidth="1"/>
    <col min="22" max="22" width="25.28515625" style="17" bestFit="1" customWidth="1"/>
    <col min="23" max="24" width="28.140625" customWidth="1"/>
    <col min="25" max="25" width="14.5703125" style="15" bestFit="1" customWidth="1"/>
    <col min="26" max="26" width="16.28515625" style="15" customWidth="1"/>
    <col min="27" max="27" width="15.42578125" bestFit="1" customWidth="1"/>
    <col min="28" max="28" width="20.28515625" customWidth="1"/>
    <col min="29" max="30" width="20.28515625" style="15" customWidth="1"/>
    <col min="31" max="31" width="13.28515625" style="15" customWidth="1"/>
    <col min="32" max="32" width="18.85546875" style="15" bestFit="1" customWidth="1"/>
    <col min="33" max="33" width="27.42578125" style="15" customWidth="1"/>
    <col min="34" max="34" width="47.5703125" style="16" customWidth="1"/>
    <col min="35" max="35" width="30.42578125" style="15" bestFit="1" customWidth="1"/>
    <col min="36" max="36" width="7.140625" style="15" bestFit="1" customWidth="1"/>
    <col min="37" max="37" width="32.42578125" style="15" customWidth="1"/>
    <col min="38" max="16384" width="9.140625" style="15"/>
  </cols>
  <sheetData>
    <row r="1" spans="1:34" ht="30" customHeight="1">
      <c r="A1" s="2" t="s">
        <v>2</v>
      </c>
      <c r="B1" s="3" t="s">
        <v>3</v>
      </c>
      <c r="C1" s="1" t="s">
        <v>5</v>
      </c>
      <c r="D1" s="1" t="s">
        <v>7</v>
      </c>
      <c r="E1" s="1" t="s">
        <v>9</v>
      </c>
      <c r="F1" s="2" t="s">
        <v>91</v>
      </c>
      <c r="G1" s="2" t="s">
        <v>92</v>
      </c>
      <c r="H1" s="3" t="s">
        <v>85</v>
      </c>
      <c r="I1" s="3" t="s">
        <v>93</v>
      </c>
      <c r="J1" s="3" t="s">
        <v>87</v>
      </c>
      <c r="K1" s="2" t="s">
        <v>94</v>
      </c>
      <c r="L1" s="4" t="s">
        <v>95</v>
      </c>
      <c r="M1" s="4" t="s">
        <v>96</v>
      </c>
      <c r="N1" s="4" t="s">
        <v>83</v>
      </c>
      <c r="O1" s="4" t="s">
        <v>97</v>
      </c>
      <c r="P1" s="4" t="s">
        <v>98</v>
      </c>
      <c r="Q1" s="4" t="s">
        <v>99</v>
      </c>
      <c r="R1" s="4" t="s">
        <v>100</v>
      </c>
      <c r="S1" s="5" t="s">
        <v>16</v>
      </c>
      <c r="T1" s="5" t="s">
        <v>101</v>
      </c>
      <c r="U1" s="4" t="s">
        <v>102</v>
      </c>
      <c r="V1" s="4" t="s">
        <v>103</v>
      </c>
      <c r="W1" s="2" t="s">
        <v>104</v>
      </c>
      <c r="X1" s="3" t="s">
        <v>105</v>
      </c>
      <c r="Y1" s="2" t="s">
        <v>19</v>
      </c>
      <c r="AA1" s="15"/>
      <c r="AB1" s="15"/>
      <c r="AC1" s="16"/>
      <c r="AH1" s="15"/>
    </row>
    <row r="2" spans="1:34" ht="30" customHeight="1">
      <c r="A2" s="63"/>
      <c r="B2" s="64"/>
      <c r="C2" s="65"/>
      <c r="D2" s="65"/>
      <c r="E2" s="66"/>
      <c r="F2" s="65"/>
      <c r="G2" s="65"/>
      <c r="H2" s="67"/>
      <c r="I2" s="64"/>
      <c r="J2" s="64"/>
      <c r="K2" s="68"/>
      <c r="L2" s="69"/>
      <c r="M2" s="69"/>
      <c r="N2" s="69"/>
      <c r="O2" s="69"/>
      <c r="P2" s="69"/>
      <c r="Q2" s="69"/>
      <c r="R2" s="69"/>
      <c r="S2" s="70"/>
      <c r="T2" s="70"/>
      <c r="U2" s="70"/>
      <c r="V2" s="71"/>
      <c r="W2" s="70"/>
      <c r="X2" s="72"/>
      <c r="Y2" s="73"/>
      <c r="AA2" s="15"/>
      <c r="AB2" s="15"/>
      <c r="AC2" s="16"/>
      <c r="AH2" s="15"/>
    </row>
    <row r="3" spans="1:34" ht="30" customHeight="1"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6"/>
      <c r="V3" s="26"/>
      <c r="W3" s="15"/>
      <c r="X3" s="16"/>
    </row>
    <row r="4" spans="1:34" ht="30" customHeight="1"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W4" s="15"/>
      <c r="X4" s="17"/>
    </row>
    <row r="5" spans="1:34" ht="30" customHeight="1"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W5" s="15"/>
      <c r="X5" s="15"/>
    </row>
    <row r="6" spans="1:34" ht="30" customHeight="1"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/>
      <c r="X6" s="15"/>
    </row>
    <row r="7" spans="1:34" ht="30" customHeight="1"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/>
      <c r="X7" s="15"/>
    </row>
    <row r="8" spans="1:34" ht="30" customHeight="1"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/>
      <c r="X8" s="15"/>
    </row>
    <row r="9" spans="1:34" ht="30" customHeight="1"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W9" s="15"/>
      <c r="X9" s="15"/>
    </row>
    <row r="10" spans="1:34" ht="30" customHeight="1"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W10" s="15"/>
      <c r="X10" s="15"/>
    </row>
    <row r="11" spans="1:34" ht="30" customHeight="1"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W11" s="15"/>
      <c r="X11" s="15"/>
    </row>
    <row r="12" spans="1:34" ht="30" customHeight="1"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W12" s="15"/>
      <c r="X12" s="15"/>
    </row>
    <row r="13" spans="1:34" ht="30" customHeight="1"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W13" s="15"/>
      <c r="X13" s="15"/>
    </row>
    <row r="14" spans="1:34" ht="30" customHeight="1"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W14" s="15"/>
      <c r="X14" s="15"/>
    </row>
    <row r="15" spans="1:34" ht="30" customHeight="1"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W15" s="15"/>
      <c r="X15" s="15"/>
    </row>
    <row r="16" spans="1:34" ht="30" customHeight="1"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W16" s="15"/>
      <c r="X16" s="15"/>
    </row>
    <row r="17" spans="6:24" ht="30" customHeight="1"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W17" s="15"/>
      <c r="X17" s="15"/>
    </row>
    <row r="18" spans="6:24" ht="30" customHeight="1"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W18" s="15"/>
      <c r="X18" s="15"/>
    </row>
    <row r="19" spans="6:24" ht="30" customHeight="1"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W19" s="15"/>
      <c r="X19" s="15"/>
    </row>
    <row r="20" spans="6:24" ht="30" customHeight="1"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W20" s="15"/>
      <c r="X20" s="15"/>
    </row>
    <row r="21" spans="6:24" ht="30" customHeight="1"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W21" s="15"/>
      <c r="X21" s="15"/>
    </row>
    <row r="22" spans="6:24" ht="30" customHeight="1"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W22" s="15"/>
      <c r="X22" s="15"/>
    </row>
    <row r="23" spans="6:24" ht="30" customHeight="1"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W23" s="15"/>
      <c r="X23" s="15"/>
    </row>
    <row r="24" spans="6:24" ht="30" customHeight="1"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W24" s="15"/>
      <c r="X24" s="15"/>
    </row>
    <row r="25" spans="6:24" ht="30" customHeight="1"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W25" s="15"/>
      <c r="X25" s="15"/>
    </row>
    <row r="26" spans="6:24" ht="30" customHeight="1"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W26" s="15"/>
      <c r="X26" s="15"/>
    </row>
    <row r="27" spans="6:24" ht="30" customHeight="1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W27" s="15"/>
      <c r="X27" s="15"/>
    </row>
    <row r="28" spans="6:24" ht="30" customHeight="1"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W28" s="15"/>
      <c r="X28" s="15"/>
    </row>
    <row r="29" spans="6:24" ht="30" customHeight="1"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W29" s="15"/>
      <c r="X29" s="15"/>
    </row>
    <row r="30" spans="6:24" ht="30" customHeight="1"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W30" s="15"/>
      <c r="X30" s="15"/>
    </row>
    <row r="31" spans="6:24" ht="30" customHeight="1"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W31" s="15"/>
      <c r="X31" s="15"/>
    </row>
    <row r="32" spans="6:24" ht="30" customHeight="1"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W32" s="15"/>
      <c r="X32" s="15"/>
    </row>
    <row r="33" spans="6:24" ht="30" customHeight="1"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W33" s="15"/>
      <c r="X33" s="15"/>
    </row>
    <row r="34" spans="6:24" ht="30" customHeight="1"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W34" s="15"/>
      <c r="X34" s="15"/>
    </row>
    <row r="35" spans="6:24" ht="30" customHeight="1"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W35" s="15"/>
      <c r="X35" s="15"/>
    </row>
    <row r="36" spans="6:24" ht="30" customHeight="1"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W36" s="15"/>
      <c r="X36" s="15"/>
    </row>
    <row r="37" spans="6:24" ht="30" customHeight="1"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W37" s="15"/>
      <c r="X37" s="15"/>
    </row>
    <row r="38" spans="6:24" ht="30" customHeight="1"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W38" s="15"/>
      <c r="X38" s="15"/>
    </row>
    <row r="39" spans="6:24" ht="30" customHeight="1"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W39" s="15"/>
      <c r="X39" s="15"/>
    </row>
    <row r="40" spans="6:24" ht="30" customHeight="1"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W40" s="15"/>
      <c r="X40" s="15"/>
    </row>
    <row r="41" spans="6:24" ht="30" customHeight="1"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W41" s="15"/>
      <c r="X41" s="15"/>
    </row>
    <row r="42" spans="6:24" ht="30" customHeight="1"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W42" s="15"/>
      <c r="X42" s="15"/>
    </row>
    <row r="43" spans="6:24" ht="30" customHeight="1"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W43" s="15"/>
      <c r="X43" s="15"/>
    </row>
    <row r="44" spans="6:24" ht="30" customHeight="1"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W44" s="15"/>
      <c r="X44" s="15"/>
    </row>
    <row r="45" spans="6:24" ht="30" customHeight="1"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W45" s="15"/>
      <c r="X45" s="15"/>
    </row>
    <row r="46" spans="6:24" ht="30" customHeight="1"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W46" s="15"/>
      <c r="X46" s="15"/>
    </row>
    <row r="47" spans="6:24" ht="30" customHeight="1"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W47" s="15"/>
      <c r="X47" s="15"/>
    </row>
    <row r="48" spans="6:24" ht="30" customHeight="1"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W48" s="15"/>
      <c r="X48" s="15"/>
    </row>
    <row r="49" spans="6:24" ht="30" customHeight="1"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W49" s="15"/>
      <c r="X49" s="15"/>
    </row>
    <row r="50" spans="6:24" ht="30" customHeight="1"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W50" s="15"/>
      <c r="X50" s="15"/>
    </row>
    <row r="51" spans="6:24" ht="30" customHeight="1"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W51" s="15"/>
      <c r="X51" s="15"/>
    </row>
    <row r="52" spans="6:24" ht="30" customHeight="1"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W52" s="15"/>
      <c r="X52" s="15"/>
    </row>
    <row r="53" spans="6:24" ht="30" customHeight="1"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W53" s="15"/>
      <c r="X53" s="15"/>
    </row>
    <row r="54" spans="6:24" ht="30" customHeight="1"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W54" s="15"/>
      <c r="X54" s="15"/>
    </row>
    <row r="55" spans="6:24" ht="30" customHeight="1"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W55" s="15"/>
      <c r="X55" s="15"/>
    </row>
    <row r="56" spans="6:24" ht="30" customHeight="1"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W56" s="15"/>
      <c r="X56" s="15"/>
    </row>
    <row r="57" spans="6:24" ht="30" customHeight="1"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W57" s="15"/>
      <c r="X57" s="15"/>
    </row>
    <row r="58" spans="6:24" ht="30" customHeight="1"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W58" s="15"/>
      <c r="X58" s="15"/>
    </row>
    <row r="59" spans="6:24" ht="30" customHeight="1"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W59" s="15"/>
      <c r="X59" s="15"/>
    </row>
    <row r="60" spans="6:24" ht="30" customHeight="1"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W60" s="15"/>
      <c r="X60" s="15"/>
    </row>
    <row r="61" spans="6:24" ht="30" customHeight="1"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W61" s="15"/>
      <c r="X61" s="15"/>
    </row>
    <row r="62" spans="6:24" ht="30" customHeight="1"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W62" s="15"/>
      <c r="X62" s="15"/>
    </row>
    <row r="63" spans="6:24" ht="30" customHeight="1"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W63" s="15"/>
      <c r="X63" s="15"/>
    </row>
    <row r="64" spans="6:24" ht="30" customHeight="1"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W64" s="15"/>
      <c r="X64" s="15"/>
    </row>
    <row r="65" spans="6:24" ht="30" customHeight="1"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W65" s="15"/>
      <c r="X65" s="15"/>
    </row>
    <row r="66" spans="6:24" ht="30" customHeight="1"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W66" s="15"/>
      <c r="X66" s="15"/>
    </row>
    <row r="67" spans="6:24" ht="30" customHeight="1"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W67" s="15"/>
      <c r="X67" s="15"/>
    </row>
    <row r="68" spans="6:24" ht="30" customHeight="1"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W68" s="15"/>
      <c r="X68" s="15"/>
    </row>
    <row r="69" spans="6:24" ht="30" customHeight="1"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W69" s="15"/>
      <c r="X69" s="15"/>
    </row>
    <row r="70" spans="6:24" ht="30" customHeight="1"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W70" s="15"/>
      <c r="X70" s="15"/>
    </row>
    <row r="71" spans="6:24" ht="30" customHeight="1"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W71" s="15"/>
      <c r="X71" s="15"/>
    </row>
    <row r="72" spans="6:24" ht="30" customHeight="1"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W72" s="15"/>
      <c r="X72" s="15"/>
    </row>
    <row r="73" spans="6:24" ht="30" customHeight="1"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W73" s="15"/>
      <c r="X73" s="15"/>
    </row>
    <row r="74" spans="6:24" ht="30" customHeight="1"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W74" s="15"/>
      <c r="X74" s="15"/>
    </row>
    <row r="75" spans="6:24" ht="30" customHeight="1"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W75" s="15"/>
      <c r="X75" s="15"/>
    </row>
    <row r="76" spans="6:24" ht="30" customHeight="1"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W76" s="15"/>
      <c r="X76" s="15"/>
    </row>
    <row r="77" spans="6:24" ht="30" customHeight="1"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W77" s="15"/>
      <c r="X77" s="15"/>
    </row>
    <row r="78" spans="6:24" ht="30" customHeight="1"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W78" s="15"/>
      <c r="X78" s="15"/>
    </row>
    <row r="79" spans="6:24" ht="30" customHeight="1"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W79" s="15"/>
      <c r="X79" s="15"/>
    </row>
    <row r="80" spans="6:24" ht="30" customHeight="1"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W80" s="15"/>
      <c r="X80" s="15"/>
    </row>
    <row r="81" spans="6:24" ht="30" customHeight="1"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W81" s="15"/>
      <c r="X81" s="15"/>
    </row>
    <row r="82" spans="6:24" ht="30" customHeight="1"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W82" s="15"/>
      <c r="X82" s="15"/>
    </row>
    <row r="83" spans="6:24" ht="30" customHeight="1"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W83" s="15"/>
      <c r="X83" s="15"/>
    </row>
    <row r="84" spans="6:24" ht="30" customHeight="1"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W84" s="15"/>
      <c r="X84" s="15"/>
    </row>
    <row r="85" spans="6:24" ht="30" customHeight="1"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W85" s="15"/>
      <c r="X85" s="15"/>
    </row>
    <row r="86" spans="6:24" ht="30" customHeight="1"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W86" s="15"/>
      <c r="X86" s="15"/>
    </row>
    <row r="87" spans="6:24" ht="30" customHeight="1"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W87" s="15"/>
      <c r="X87" s="15"/>
    </row>
    <row r="88" spans="6:24" ht="30" customHeight="1"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W88" s="15"/>
      <c r="X88" s="15"/>
    </row>
    <row r="89" spans="6:24" ht="30" customHeight="1"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W89" s="15"/>
      <c r="X89" s="15"/>
    </row>
    <row r="90" spans="6:24" ht="30" customHeight="1"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W90" s="15"/>
      <c r="X90" s="15"/>
    </row>
    <row r="91" spans="6:24" ht="30" customHeight="1"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W91" s="15"/>
      <c r="X91" s="15"/>
    </row>
    <row r="92" spans="6:24" ht="30" customHeight="1"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W92" s="15"/>
      <c r="X92" s="15"/>
    </row>
    <row r="93" spans="6:24" ht="30" customHeight="1"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W93" s="15"/>
      <c r="X93" s="15"/>
    </row>
    <row r="94" spans="6:24" ht="30" customHeight="1"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W94" s="15"/>
      <c r="X94" s="15"/>
    </row>
    <row r="95" spans="6:24" ht="30" customHeight="1"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W95" s="15"/>
      <c r="X95" s="15"/>
    </row>
    <row r="96" spans="6:24" ht="30" customHeight="1"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W96" s="15"/>
      <c r="X96" s="15"/>
    </row>
    <row r="97" spans="6:24" ht="30" customHeight="1"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W97" s="15"/>
      <c r="X97" s="15"/>
    </row>
    <row r="98" spans="6:24" ht="30" customHeight="1"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W98" s="15"/>
      <c r="X98" s="15"/>
    </row>
    <row r="99" spans="6:24" ht="30" customHeight="1"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W99" s="15"/>
      <c r="X99" s="15"/>
    </row>
    <row r="100" spans="6:24" ht="30" customHeight="1"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W100" s="15"/>
      <c r="X100" s="15"/>
    </row>
    <row r="101" spans="6:24" ht="30" customHeight="1"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W101" s="15"/>
      <c r="X101" s="15"/>
    </row>
    <row r="102" spans="6:24" ht="30" customHeight="1"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W102" s="15"/>
      <c r="X102" s="15"/>
    </row>
    <row r="103" spans="6:24" ht="30" customHeight="1"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W103" s="15"/>
      <c r="X103" s="15"/>
    </row>
    <row r="104" spans="6:24" ht="30" customHeight="1"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W104" s="15"/>
      <c r="X104" s="15"/>
    </row>
    <row r="105" spans="6:24" ht="30" customHeight="1"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W105" s="15"/>
      <c r="X105" s="15"/>
    </row>
    <row r="106" spans="6:24" ht="30" customHeight="1"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W106" s="15"/>
      <c r="X106" s="15"/>
    </row>
    <row r="107" spans="6:24" ht="30" customHeight="1"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W107" s="15"/>
      <c r="X107" s="15"/>
    </row>
    <row r="108" spans="6:24" ht="30" customHeight="1"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W108" s="15"/>
      <c r="X108" s="15"/>
    </row>
    <row r="109" spans="6:24" ht="30" customHeight="1"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W109" s="15"/>
      <c r="X109" s="15"/>
    </row>
    <row r="110" spans="6:24" ht="30" customHeight="1"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W110" s="15"/>
      <c r="X110" s="15"/>
    </row>
    <row r="111" spans="6:24" ht="30" customHeight="1"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W111" s="15"/>
      <c r="X111" s="15"/>
    </row>
    <row r="112" spans="6:24" ht="30" customHeight="1"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W112" s="15"/>
      <c r="X112" s="15"/>
    </row>
    <row r="113" spans="6:24" ht="30" customHeight="1"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W113" s="15"/>
      <c r="X113" s="15"/>
    </row>
    <row r="114" spans="6:24" ht="30" customHeight="1"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W114" s="15"/>
      <c r="X114" s="15"/>
    </row>
    <row r="115" spans="6:24" ht="30" customHeight="1"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W115" s="15"/>
      <c r="X115" s="15"/>
    </row>
    <row r="116" spans="6:24" ht="30" customHeight="1"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W116" s="15"/>
      <c r="X116" s="15"/>
    </row>
    <row r="117" spans="6:24" ht="30" customHeight="1"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W117" s="15"/>
      <c r="X117" s="15"/>
    </row>
    <row r="118" spans="6:24" ht="30" customHeight="1"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W118" s="15"/>
      <c r="X118" s="15"/>
    </row>
    <row r="119" spans="6:24" ht="30" customHeight="1"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W119" s="15"/>
      <c r="X119" s="15"/>
    </row>
    <row r="120" spans="6:24" ht="30" customHeight="1"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W120" s="15"/>
      <c r="X120" s="15"/>
    </row>
    <row r="121" spans="6:24" ht="30" customHeight="1"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W121" s="15"/>
      <c r="X121" s="15"/>
    </row>
    <row r="122" spans="6:24" ht="30" customHeight="1"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W122" s="15"/>
      <c r="X122" s="15"/>
    </row>
    <row r="123" spans="6:24" ht="30" customHeight="1"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W123" s="15"/>
      <c r="X123" s="15"/>
    </row>
    <row r="124" spans="6:24" ht="30" customHeight="1"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W124" s="15"/>
      <c r="X124" s="15"/>
    </row>
    <row r="125" spans="6:24" ht="30" customHeight="1"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W125" s="15"/>
      <c r="X125" s="15"/>
    </row>
    <row r="126" spans="6:24" ht="30" customHeight="1"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W126" s="15"/>
      <c r="X126" s="15"/>
    </row>
    <row r="127" spans="6:24" ht="30" customHeight="1"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W127" s="15"/>
      <c r="X127" s="15"/>
    </row>
    <row r="128" spans="6:24" ht="30" customHeight="1"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W128" s="15"/>
      <c r="X128" s="15"/>
    </row>
    <row r="129" spans="6:24" ht="30" customHeight="1"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W129" s="15"/>
      <c r="X129" s="15"/>
    </row>
    <row r="130" spans="6:24" ht="30" customHeight="1"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W130" s="15"/>
      <c r="X130" s="15"/>
    </row>
    <row r="131" spans="6:24" ht="30" customHeight="1"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W131" s="15"/>
      <c r="X131" s="15"/>
    </row>
    <row r="132" spans="6:24" ht="30" customHeight="1"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W132" s="15"/>
      <c r="X132" s="15"/>
    </row>
    <row r="133" spans="6:24" ht="30" customHeight="1"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W133" s="15"/>
      <c r="X133" s="15"/>
    </row>
    <row r="134" spans="6:24" ht="30" customHeight="1"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W134" s="15"/>
      <c r="X134" s="15"/>
    </row>
    <row r="135" spans="6:24" ht="30" customHeight="1"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W135" s="15"/>
      <c r="X135" s="15"/>
    </row>
    <row r="136" spans="6:24" ht="30" customHeight="1"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W136" s="15"/>
      <c r="X136" s="15"/>
    </row>
    <row r="137" spans="6:24" ht="30" customHeight="1"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W137" s="15"/>
      <c r="X137" s="15"/>
    </row>
    <row r="138" spans="6:24" ht="30" customHeight="1"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W138" s="15"/>
      <c r="X138" s="15"/>
    </row>
    <row r="139" spans="6:24" ht="30" customHeight="1"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W139" s="15"/>
      <c r="X139" s="15"/>
    </row>
    <row r="140" spans="6:24" ht="30" customHeight="1"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W140" s="15"/>
      <c r="X140" s="15"/>
    </row>
    <row r="141" spans="6:24" ht="30" customHeight="1"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W141" s="15"/>
      <c r="X141" s="15"/>
    </row>
    <row r="142" spans="6:24" ht="30" customHeight="1"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W142" s="15"/>
      <c r="X142" s="15"/>
    </row>
    <row r="143" spans="6:24" ht="30" customHeight="1"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W143" s="15"/>
      <c r="X143" s="15"/>
    </row>
    <row r="144" spans="6:24" ht="30" customHeight="1"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W144" s="15"/>
      <c r="X144" s="15"/>
    </row>
    <row r="145" spans="6:24" ht="30" customHeight="1"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W145" s="15"/>
      <c r="X145" s="15"/>
    </row>
    <row r="146" spans="6:24" ht="30" customHeight="1"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W146" s="15"/>
      <c r="X146" s="15"/>
    </row>
    <row r="147" spans="6:24" ht="30" customHeight="1"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W147" s="15"/>
      <c r="X147" s="15"/>
    </row>
    <row r="148" spans="6:24" ht="30" customHeight="1"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W148" s="15"/>
      <c r="X148" s="15"/>
    </row>
    <row r="149" spans="6:24" ht="30" customHeight="1"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W149" s="15"/>
      <c r="X149" s="15"/>
    </row>
    <row r="150" spans="6:24" ht="30" customHeight="1"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W150" s="15"/>
      <c r="X150" s="15"/>
    </row>
    <row r="151" spans="6:24" ht="30" customHeight="1"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W151" s="15"/>
      <c r="X151" s="15"/>
    </row>
    <row r="152" spans="6:24" ht="30" customHeight="1"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W152" s="15"/>
      <c r="X152" s="15"/>
    </row>
    <row r="153" spans="6:24" ht="30" customHeight="1"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W153" s="15"/>
      <c r="X153" s="15"/>
    </row>
    <row r="154" spans="6:24" ht="30" customHeight="1"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W154" s="15"/>
      <c r="X154" s="15"/>
    </row>
    <row r="155" spans="6:24" ht="30" customHeight="1"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W155" s="15"/>
      <c r="X155" s="15"/>
    </row>
    <row r="156" spans="6:24" ht="30" customHeight="1"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W156" s="15"/>
      <c r="X156" s="15"/>
    </row>
    <row r="157" spans="6:24" ht="30" customHeight="1"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W157" s="15"/>
      <c r="X157" s="15"/>
    </row>
    <row r="158" spans="6:24" ht="30" customHeight="1"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W158" s="15"/>
      <c r="X158" s="15"/>
    </row>
    <row r="159" spans="6:24" ht="30" customHeight="1"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W159" s="15"/>
      <c r="X159" s="15"/>
    </row>
    <row r="160" spans="6:24" ht="30" customHeight="1"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W160" s="15"/>
      <c r="X160" s="15"/>
    </row>
    <row r="161" spans="6:24" ht="30" customHeight="1"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W161" s="15"/>
      <c r="X161" s="15"/>
    </row>
    <row r="162" spans="6:24" ht="30" customHeight="1"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W162" s="15"/>
      <c r="X162" s="15"/>
    </row>
    <row r="163" spans="6:24" ht="30" customHeight="1"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W163" s="15"/>
      <c r="X163" s="15"/>
    </row>
    <row r="164" spans="6:24" ht="30" customHeight="1"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W164" s="15"/>
      <c r="X164" s="15"/>
    </row>
    <row r="165" spans="6:24" ht="30" customHeight="1"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W165" s="15"/>
      <c r="X165" s="15"/>
    </row>
    <row r="166" spans="6:24" ht="30" customHeight="1"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W166" s="15"/>
      <c r="X166" s="15"/>
    </row>
    <row r="167" spans="6:24" ht="30" customHeight="1"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W167" s="15"/>
      <c r="X167" s="15"/>
    </row>
    <row r="168" spans="6:24" ht="30" customHeight="1"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W168" s="15"/>
      <c r="X168" s="15"/>
    </row>
    <row r="169" spans="6:24" ht="30" customHeight="1"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W169" s="15"/>
      <c r="X169" s="15"/>
    </row>
    <row r="170" spans="6:24" ht="30" customHeight="1"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W170" s="15"/>
      <c r="X170" s="15"/>
    </row>
    <row r="171" spans="6:24" ht="30" customHeight="1"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W171" s="15"/>
      <c r="X171" s="15"/>
    </row>
    <row r="172" spans="6:24" ht="30" customHeight="1"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W172" s="15"/>
      <c r="X172" s="15"/>
    </row>
    <row r="173" spans="6:24" ht="30" customHeight="1"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W173" s="15"/>
      <c r="X173" s="15"/>
    </row>
    <row r="174" spans="6:24" ht="30" customHeight="1"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W174" s="15"/>
      <c r="X174" s="15"/>
    </row>
    <row r="175" spans="6:24" ht="30" customHeight="1"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W175" s="15"/>
      <c r="X175" s="15"/>
    </row>
    <row r="176" spans="6:24" ht="30" customHeight="1"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W176" s="15"/>
      <c r="X176" s="15"/>
    </row>
    <row r="177" spans="6:24" ht="30" customHeight="1"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W177" s="15"/>
      <c r="X177" s="15"/>
    </row>
    <row r="178" spans="6:24" ht="30" customHeight="1"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W178" s="15"/>
      <c r="X178" s="15"/>
    </row>
    <row r="179" spans="6:24" ht="30" customHeight="1"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W179" s="15"/>
      <c r="X179" s="15"/>
    </row>
    <row r="180" spans="6:24" ht="30" customHeight="1"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W180" s="15"/>
      <c r="X180" s="15"/>
    </row>
    <row r="181" spans="6:24" ht="30" customHeight="1"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W181" s="15"/>
      <c r="X181" s="15"/>
    </row>
    <row r="182" spans="6:24" ht="30" customHeight="1"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W182" s="15"/>
      <c r="X182" s="15"/>
    </row>
    <row r="183" spans="6:24" ht="30" customHeight="1"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W183" s="15"/>
      <c r="X183" s="15"/>
    </row>
    <row r="184" spans="6:24" ht="30" customHeight="1"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W184" s="15"/>
      <c r="X184" s="15"/>
    </row>
    <row r="185" spans="6:24" ht="30" customHeight="1"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W185" s="15"/>
      <c r="X185" s="15"/>
    </row>
    <row r="186" spans="6:24" ht="30" customHeight="1"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W186" s="15"/>
      <c r="X186" s="15"/>
    </row>
    <row r="187" spans="6:24" ht="30" customHeight="1"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W187" s="15"/>
      <c r="X187" s="15"/>
    </row>
    <row r="188" spans="6:24" ht="30" customHeight="1"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W188" s="15"/>
      <c r="X188" s="15"/>
    </row>
    <row r="189" spans="6:24" ht="30" customHeight="1"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W189" s="15"/>
      <c r="X189" s="15"/>
    </row>
    <row r="190" spans="6:24" ht="30" customHeight="1"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W190" s="15"/>
      <c r="X190" s="15"/>
    </row>
    <row r="191" spans="6:24" ht="30" customHeight="1"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W191" s="15"/>
      <c r="X191" s="15"/>
    </row>
    <row r="192" spans="6:24" ht="30" customHeight="1"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W192" s="15"/>
      <c r="X192" s="15"/>
    </row>
    <row r="193" spans="6:24" ht="30" customHeight="1"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W193" s="15"/>
      <c r="X193" s="15"/>
    </row>
    <row r="194" spans="6:24" ht="30" customHeight="1"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W194" s="15"/>
      <c r="X194" s="15"/>
    </row>
    <row r="195" spans="6:24" ht="30" customHeight="1"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W195" s="15"/>
      <c r="X195" s="15"/>
    </row>
    <row r="196" spans="6:24" ht="30" customHeight="1"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W196" s="15"/>
      <c r="X196" s="15"/>
    </row>
    <row r="197" spans="6:24" ht="30" customHeight="1"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W197" s="15"/>
      <c r="X197" s="15"/>
    </row>
    <row r="198" spans="6:24" ht="30" customHeight="1"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W198" s="15"/>
      <c r="X198" s="15"/>
    </row>
    <row r="199" spans="6:24" ht="30" customHeight="1"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W199" s="15"/>
      <c r="X199" s="15"/>
    </row>
    <row r="200" spans="6:24" ht="30" customHeight="1"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W200" s="15"/>
      <c r="X200" s="15"/>
    </row>
    <row r="201" spans="6:24" ht="30" customHeight="1"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W201" s="15"/>
      <c r="X201" s="15"/>
    </row>
    <row r="202" spans="6:24" ht="30" customHeight="1"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W202" s="15"/>
      <c r="X202" s="15"/>
    </row>
    <row r="203" spans="6:24" ht="30" customHeight="1"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W203" s="15"/>
      <c r="X203" s="15"/>
    </row>
    <row r="204" spans="6:24" ht="30" customHeight="1"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W204" s="15"/>
      <c r="X204" s="15"/>
    </row>
    <row r="205" spans="6:24" ht="30" customHeight="1"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W205" s="15"/>
      <c r="X205" s="15"/>
    </row>
    <row r="206" spans="6:24" ht="30" customHeight="1"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W206" s="15"/>
      <c r="X206" s="15"/>
    </row>
    <row r="207" spans="6:24" ht="30" customHeight="1"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W207" s="15"/>
      <c r="X207" s="15"/>
    </row>
    <row r="208" spans="6:24" ht="30" customHeight="1"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W208" s="15"/>
      <c r="X208" s="15"/>
    </row>
    <row r="209" spans="6:24" ht="30" customHeight="1"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W209" s="15"/>
      <c r="X209" s="15"/>
    </row>
    <row r="210" spans="6:24" ht="30" customHeight="1"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W210" s="15"/>
      <c r="X210" s="15"/>
    </row>
    <row r="211" spans="6:24" ht="30" customHeight="1"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W211" s="15"/>
      <c r="X211" s="15"/>
    </row>
    <row r="212" spans="6:24" ht="30" customHeight="1"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W212" s="15"/>
      <c r="X212" s="15"/>
    </row>
    <row r="213" spans="6:24" ht="30" customHeight="1"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W213" s="15"/>
      <c r="X213" s="15"/>
    </row>
    <row r="214" spans="6:24" ht="30" customHeight="1"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W214" s="15"/>
      <c r="X214" s="15"/>
    </row>
    <row r="215" spans="6:24" ht="30" customHeight="1"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W215" s="15"/>
      <c r="X215" s="15"/>
    </row>
    <row r="216" spans="6:24" ht="30" customHeight="1"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W216" s="15"/>
      <c r="X216" s="15"/>
    </row>
    <row r="217" spans="6:24" ht="30" customHeight="1"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W217" s="15"/>
      <c r="X217" s="15"/>
    </row>
    <row r="218" spans="6:24" ht="30" customHeight="1"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W218" s="15"/>
      <c r="X218" s="15"/>
    </row>
    <row r="219" spans="6:24" ht="30" customHeight="1"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W219" s="15"/>
      <c r="X219" s="15"/>
    </row>
    <row r="220" spans="6:24" ht="30" customHeight="1"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W220" s="15"/>
      <c r="X220" s="15"/>
    </row>
    <row r="221" spans="6:24" ht="30" customHeight="1"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W221" s="15"/>
      <c r="X221" s="15"/>
    </row>
    <row r="222" spans="6:24" ht="30" customHeight="1"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W222" s="15"/>
      <c r="X222" s="15"/>
    </row>
    <row r="223" spans="6:24" ht="30" customHeight="1"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W223" s="15"/>
      <c r="X223" s="15"/>
    </row>
    <row r="224" spans="6:24" ht="30" customHeight="1"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W224" s="15"/>
      <c r="X224" s="15"/>
    </row>
    <row r="225" spans="6:24" ht="30" customHeight="1"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W225" s="15"/>
      <c r="X225" s="15"/>
    </row>
    <row r="226" spans="6:24" ht="30" customHeight="1"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W226" s="15"/>
      <c r="X226" s="15"/>
    </row>
    <row r="227" spans="6:24" ht="30" customHeight="1"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W227" s="15"/>
      <c r="X227" s="15"/>
    </row>
    <row r="228" spans="6:24" ht="30" customHeight="1"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W228" s="15"/>
      <c r="X228" s="15"/>
    </row>
    <row r="229" spans="6:24" ht="30" customHeight="1"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W229" s="15"/>
      <c r="X229" s="15"/>
    </row>
    <row r="230" spans="6:24" ht="30" customHeight="1"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W230" s="15"/>
      <c r="X230" s="15"/>
    </row>
    <row r="231" spans="6:24" ht="30" customHeight="1"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W231" s="15"/>
      <c r="X231" s="15"/>
    </row>
    <row r="232" spans="6:24" ht="30" customHeight="1"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W232" s="15"/>
      <c r="X232" s="15"/>
    </row>
    <row r="233" spans="6:24" ht="30" customHeight="1"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W233" s="15"/>
      <c r="X233" s="15"/>
    </row>
    <row r="234" spans="6:24" ht="30" customHeight="1"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W234" s="15"/>
      <c r="X234" s="15"/>
    </row>
    <row r="235" spans="6:24" ht="30" customHeight="1"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W235" s="15"/>
      <c r="X235" s="15"/>
    </row>
    <row r="236" spans="6:24" ht="30" customHeight="1"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W236" s="15"/>
      <c r="X236" s="15"/>
    </row>
    <row r="237" spans="6:24" ht="30" customHeight="1"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W237" s="15"/>
      <c r="X237" s="15"/>
    </row>
    <row r="238" spans="6:24" ht="30" customHeight="1"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W238" s="15"/>
      <c r="X238" s="15"/>
    </row>
    <row r="239" spans="6:24" ht="30" customHeight="1"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W239" s="15"/>
      <c r="X239" s="15"/>
    </row>
    <row r="240" spans="6:24" ht="30" customHeight="1"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W240" s="15"/>
      <c r="X240" s="15"/>
    </row>
    <row r="241" spans="6:24" ht="30" customHeight="1"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W241" s="15"/>
      <c r="X241" s="15"/>
    </row>
    <row r="242" spans="6:24" ht="30" customHeight="1"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W242" s="15"/>
      <c r="X242" s="15"/>
    </row>
    <row r="243" spans="6:24" ht="30" customHeight="1"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W243" s="15"/>
      <c r="X243" s="15"/>
    </row>
    <row r="244" spans="6:24" ht="30" customHeight="1"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W244" s="15"/>
      <c r="X244" s="15"/>
    </row>
    <row r="245" spans="6:24" ht="30" customHeight="1"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W245" s="15"/>
      <c r="X245" s="15"/>
    </row>
    <row r="246" spans="6:24" ht="30" customHeight="1"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W246" s="15"/>
      <c r="X246" s="15"/>
    </row>
    <row r="247" spans="6:24" ht="30" customHeight="1"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W247" s="15"/>
      <c r="X247" s="15"/>
    </row>
    <row r="248" spans="6:24" ht="30" customHeight="1"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W248" s="15"/>
      <c r="X248" s="15"/>
    </row>
    <row r="249" spans="6:24" ht="30" customHeight="1"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W249" s="15"/>
      <c r="X249" s="15"/>
    </row>
    <row r="250" spans="6:24" ht="30" customHeight="1"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W250" s="15"/>
      <c r="X250" s="15"/>
    </row>
    <row r="251" spans="6:24" ht="30" customHeight="1"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W251" s="15"/>
      <c r="X251" s="15"/>
    </row>
    <row r="252" spans="6:24" ht="30" customHeight="1"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W252" s="15"/>
      <c r="X252" s="15"/>
    </row>
    <row r="253" spans="6:24" ht="30" customHeight="1"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W253" s="15"/>
      <c r="X253" s="15"/>
    </row>
    <row r="254" spans="6:24" ht="30" customHeight="1"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W254" s="15"/>
      <c r="X254" s="15"/>
    </row>
    <row r="255" spans="6:24" ht="30" customHeight="1"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W255" s="15"/>
      <c r="X255" s="15"/>
    </row>
    <row r="256" spans="6:24" ht="30" customHeight="1"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W256" s="15"/>
      <c r="X256" s="15"/>
    </row>
    <row r="257" spans="6:24" ht="30" customHeight="1"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W257" s="15"/>
      <c r="X257" s="15"/>
    </row>
    <row r="258" spans="6:24" ht="30" customHeight="1"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W258" s="15"/>
      <c r="X258" s="15"/>
    </row>
    <row r="259" spans="6:24" ht="30" customHeight="1"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W259" s="15"/>
      <c r="X259" s="15"/>
    </row>
    <row r="260" spans="6:24" ht="30" customHeight="1"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W260" s="15"/>
      <c r="X260" s="15"/>
    </row>
    <row r="261" spans="6:24" ht="30" customHeight="1"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W261" s="15"/>
      <c r="X261" s="15"/>
    </row>
    <row r="262" spans="6:24" ht="30" customHeight="1"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W262" s="15"/>
      <c r="X262" s="15"/>
    </row>
    <row r="263" spans="6:24" ht="30" customHeight="1"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W263" s="15"/>
      <c r="X263" s="15"/>
    </row>
    <row r="264" spans="6:24" ht="30" customHeight="1"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W264" s="15"/>
      <c r="X264" s="15"/>
    </row>
    <row r="265" spans="6:24" ht="30" customHeight="1"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W265" s="15"/>
      <c r="X265" s="15"/>
    </row>
    <row r="266" spans="6:24" ht="30" customHeight="1"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W266" s="15"/>
      <c r="X266" s="15"/>
    </row>
    <row r="267" spans="6:24" ht="30" customHeight="1"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W267" s="15"/>
      <c r="X267" s="15"/>
    </row>
    <row r="268" spans="6:24" ht="30" customHeight="1"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W268" s="15"/>
      <c r="X268" s="15"/>
    </row>
    <row r="269" spans="6:24" ht="30" customHeight="1"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W269" s="15"/>
      <c r="X269" s="15"/>
    </row>
    <row r="270" spans="6:24" ht="30" customHeight="1"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W270" s="15"/>
      <c r="X270" s="15"/>
    </row>
    <row r="271" spans="6:24" ht="30" customHeight="1"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W271" s="15"/>
      <c r="X271" s="15"/>
    </row>
    <row r="272" spans="6:24" ht="30" customHeight="1"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W272" s="15"/>
      <c r="X272" s="15"/>
    </row>
    <row r="273" spans="6:24" ht="30" customHeight="1"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W273" s="15"/>
      <c r="X273" s="15"/>
    </row>
    <row r="274" spans="6:24" ht="30" customHeight="1"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W274" s="15"/>
      <c r="X274" s="15"/>
    </row>
    <row r="275" spans="6:24" ht="30" customHeight="1"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W275" s="15"/>
      <c r="X275" s="15"/>
    </row>
    <row r="276" spans="6:24" ht="30" customHeight="1"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W276" s="15"/>
      <c r="X276" s="15"/>
    </row>
    <row r="277" spans="6:24" ht="30" customHeight="1"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W277" s="15"/>
      <c r="X277" s="15"/>
    </row>
    <row r="278" spans="6:24" ht="30" customHeight="1"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W278" s="15"/>
      <c r="X278" s="15"/>
    </row>
    <row r="279" spans="6:24" ht="30" customHeight="1"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W279" s="15"/>
      <c r="X279" s="15"/>
    </row>
    <row r="280" spans="6:24" ht="30" customHeight="1"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W280" s="15"/>
      <c r="X280" s="15"/>
    </row>
    <row r="281" spans="6:24" ht="30" customHeight="1"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W281" s="15"/>
      <c r="X281" s="15"/>
    </row>
    <row r="282" spans="6:24" ht="30" customHeight="1"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W282" s="15"/>
      <c r="X282" s="15"/>
    </row>
    <row r="283" spans="6:24" ht="30" customHeight="1"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W283" s="15"/>
      <c r="X283" s="15"/>
    </row>
    <row r="284" spans="6:24" ht="30" customHeight="1"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W284" s="15"/>
      <c r="X284" s="15"/>
    </row>
    <row r="285" spans="6:24" ht="30" customHeight="1"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W285" s="15"/>
      <c r="X285" s="15"/>
    </row>
    <row r="286" spans="6:24" ht="30" customHeight="1"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W286" s="15"/>
      <c r="X286" s="15"/>
    </row>
    <row r="287" spans="6:24" ht="30" customHeight="1"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W287" s="15"/>
      <c r="X287" s="15"/>
    </row>
    <row r="288" spans="6:24" ht="30" customHeight="1"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W288" s="15"/>
      <c r="X288" s="15"/>
    </row>
    <row r="289" spans="6:24" ht="30" customHeight="1"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W289" s="15"/>
      <c r="X289" s="15"/>
    </row>
    <row r="290" spans="6:24" ht="30" customHeight="1"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W290" s="15"/>
      <c r="X290" s="15"/>
    </row>
    <row r="291" spans="6:24" ht="30" customHeight="1"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W291" s="15"/>
      <c r="X291" s="15"/>
    </row>
    <row r="292" spans="6:24" ht="30" customHeight="1"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W292" s="15"/>
      <c r="X292" s="15"/>
    </row>
    <row r="293" spans="6:24" ht="30" customHeight="1"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W293" s="15"/>
      <c r="X293" s="15"/>
    </row>
    <row r="294" spans="6:24" ht="30" customHeight="1"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W294" s="15"/>
      <c r="X294" s="15"/>
    </row>
    <row r="295" spans="6:24" ht="30" customHeight="1"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W295" s="15"/>
      <c r="X295" s="15"/>
    </row>
    <row r="296" spans="6:24" ht="30" customHeight="1"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W296" s="15"/>
      <c r="X296" s="15"/>
    </row>
    <row r="297" spans="6:24" ht="30" customHeight="1"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W297" s="15"/>
      <c r="X297" s="15"/>
    </row>
    <row r="298" spans="6:24" ht="30" customHeight="1"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W298" s="15"/>
      <c r="X298" s="15"/>
    </row>
    <row r="299" spans="6:24" ht="30" customHeight="1"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W299" s="15"/>
      <c r="X299" s="15"/>
    </row>
    <row r="300" spans="6:24" ht="30" customHeight="1"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W300" s="15"/>
      <c r="X300" s="15"/>
    </row>
    <row r="301" spans="6:24" ht="30" customHeight="1"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W301" s="15"/>
      <c r="X301" s="15"/>
    </row>
    <row r="302" spans="6:24" ht="30" customHeight="1"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W302" s="15"/>
      <c r="X302" s="15"/>
    </row>
    <row r="303" spans="6:24" ht="30" customHeight="1"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W303" s="15"/>
      <c r="X303" s="15"/>
    </row>
    <row r="304" spans="6:24" ht="30" customHeight="1"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W304" s="15"/>
      <c r="X304" s="15"/>
    </row>
    <row r="305" spans="6:24" ht="30" customHeight="1"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W305" s="15"/>
      <c r="X305" s="15"/>
    </row>
    <row r="306" spans="6:24" ht="30" customHeight="1"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W306" s="15"/>
      <c r="X306" s="15"/>
    </row>
    <row r="307" spans="6:24" ht="30" customHeight="1"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W307" s="15"/>
      <c r="X307" s="15"/>
    </row>
    <row r="308" spans="6:24" ht="30" customHeight="1"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W308" s="15"/>
      <c r="X308" s="15"/>
    </row>
    <row r="309" spans="6:24" ht="30" customHeight="1"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W309" s="15"/>
      <c r="X309" s="15"/>
    </row>
    <row r="310" spans="6:24" ht="30" customHeight="1"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W310" s="15"/>
      <c r="X310" s="15"/>
    </row>
    <row r="311" spans="6:24" ht="30" customHeight="1"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W311" s="15"/>
      <c r="X311" s="15"/>
    </row>
    <row r="312" spans="6:24" ht="30" customHeight="1"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W312" s="15"/>
      <c r="X312" s="15"/>
    </row>
    <row r="313" spans="6:24" ht="30" customHeight="1"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W313" s="15"/>
      <c r="X313" s="15"/>
    </row>
    <row r="314" spans="6:24" ht="30" customHeight="1"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W314" s="15"/>
      <c r="X314" s="15"/>
    </row>
    <row r="315" spans="6:24" ht="30" customHeight="1"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W315" s="15"/>
      <c r="X315" s="15"/>
    </row>
    <row r="316" spans="6:24" ht="30" customHeight="1"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W316" s="15"/>
      <c r="X316" s="15"/>
    </row>
    <row r="317" spans="6:24" ht="30" customHeight="1"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W317" s="15"/>
      <c r="X317" s="15"/>
    </row>
    <row r="318" spans="6:24" ht="30" customHeight="1"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W318" s="15"/>
      <c r="X318" s="15"/>
    </row>
    <row r="319" spans="6:24" ht="30" customHeight="1"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W319" s="15"/>
      <c r="X319" s="15"/>
    </row>
    <row r="320" spans="6:24" ht="30" customHeight="1"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W320" s="15"/>
      <c r="X320" s="15"/>
    </row>
    <row r="321" spans="6:24" ht="30" customHeight="1"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W321" s="15"/>
      <c r="X321" s="15"/>
    </row>
    <row r="322" spans="6:24" ht="30" customHeight="1"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W322" s="15"/>
      <c r="X322" s="15"/>
    </row>
    <row r="323" spans="6:24" ht="30" customHeight="1"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W323" s="15"/>
      <c r="X323" s="15"/>
    </row>
    <row r="324" spans="6:24" ht="30" customHeight="1"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W324" s="15"/>
      <c r="X324" s="15"/>
    </row>
    <row r="325" spans="6:24" ht="30" customHeight="1"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W325" s="15"/>
      <c r="X325" s="15"/>
    </row>
    <row r="326" spans="6:24" ht="30" customHeight="1"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W326" s="15"/>
      <c r="X326" s="15"/>
    </row>
    <row r="327" spans="6:24" ht="30" customHeight="1"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W327" s="15"/>
      <c r="X327" s="15"/>
    </row>
    <row r="328" spans="6:24" ht="30" customHeight="1"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W328" s="15"/>
      <c r="X328" s="15"/>
    </row>
    <row r="329" spans="6:24" ht="30" customHeight="1"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W329" s="15"/>
      <c r="X329" s="15"/>
    </row>
    <row r="330" spans="6:24" ht="30" customHeight="1"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W330" s="15"/>
      <c r="X330" s="15"/>
    </row>
    <row r="331" spans="6:24" ht="30" customHeight="1"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W331" s="15"/>
      <c r="X331" s="15"/>
    </row>
    <row r="332" spans="6:24" ht="30" customHeight="1"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W332" s="15"/>
      <c r="X332" s="15"/>
    </row>
    <row r="333" spans="6:24" ht="30" customHeight="1"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W333" s="15"/>
      <c r="X333" s="15"/>
    </row>
    <row r="334" spans="6:24" ht="30" customHeight="1"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W334" s="15"/>
      <c r="X334" s="15"/>
    </row>
    <row r="335" spans="6:24" ht="30" customHeight="1"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W335" s="15"/>
      <c r="X335" s="15"/>
    </row>
    <row r="336" spans="6:24" ht="30" customHeight="1"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W336" s="15"/>
      <c r="X336" s="15"/>
    </row>
    <row r="337" spans="6:24" ht="30" customHeight="1"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W337" s="15"/>
      <c r="X337" s="15"/>
    </row>
    <row r="338" spans="6:24" ht="30" customHeight="1"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W338" s="15"/>
      <c r="X338" s="15"/>
    </row>
    <row r="339" spans="6:24" ht="30" customHeight="1"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W339" s="15"/>
      <c r="X339" s="15"/>
    </row>
    <row r="340" spans="6:24" ht="30" customHeight="1"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W340" s="15"/>
      <c r="X340" s="15"/>
    </row>
    <row r="341" spans="6:24" ht="30" customHeight="1"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W341" s="15"/>
      <c r="X341" s="15"/>
    </row>
    <row r="342" spans="6:24" ht="30" customHeight="1"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W342" s="15"/>
      <c r="X342" s="15"/>
    </row>
    <row r="343" spans="6:24" ht="30" customHeight="1"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W343" s="15"/>
      <c r="X343" s="15"/>
    </row>
    <row r="344" spans="6:24" ht="30" customHeight="1"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W344" s="15"/>
      <c r="X344" s="15"/>
    </row>
    <row r="345" spans="6:24" ht="30" customHeight="1"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W345" s="15"/>
      <c r="X345" s="15"/>
    </row>
    <row r="346" spans="6:24" ht="30" customHeight="1"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W346" s="15"/>
      <c r="X346" s="15"/>
    </row>
    <row r="347" spans="6:24" ht="30" customHeight="1"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W347" s="15"/>
      <c r="X347" s="15"/>
    </row>
    <row r="348" spans="6:24" ht="30" customHeight="1"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W348" s="15"/>
      <c r="X348" s="15"/>
    </row>
    <row r="349" spans="6:24" ht="30" customHeight="1"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W349" s="15"/>
      <c r="X349" s="15"/>
    </row>
    <row r="350" spans="6:24" ht="30" customHeight="1"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W350" s="15"/>
      <c r="X350" s="15"/>
    </row>
    <row r="351" spans="6:24" ht="30" customHeight="1"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W351" s="15"/>
      <c r="X351" s="15"/>
    </row>
    <row r="352" spans="6:24" ht="30" customHeight="1"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W352" s="15"/>
      <c r="X352" s="15"/>
    </row>
    <row r="353" spans="6:24" ht="30" customHeight="1"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W353" s="15"/>
      <c r="X353" s="15"/>
    </row>
    <row r="354" spans="6:24" ht="30" customHeight="1"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W354" s="15"/>
      <c r="X354" s="15"/>
    </row>
    <row r="355" spans="6:24" ht="30" customHeight="1"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W355" s="15"/>
      <c r="X355" s="15"/>
    </row>
    <row r="356" spans="6:24" ht="30" customHeight="1"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W356" s="15"/>
      <c r="X356" s="15"/>
    </row>
    <row r="357" spans="6:24" ht="30" customHeight="1"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W357" s="15"/>
      <c r="X357" s="15"/>
    </row>
    <row r="358" spans="6:24" ht="30" customHeight="1"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W358" s="15"/>
      <c r="X358" s="15"/>
    </row>
    <row r="359" spans="6:24" ht="30" customHeight="1"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W359" s="15"/>
      <c r="X359" s="15"/>
    </row>
    <row r="360" spans="6:24" ht="30" customHeight="1"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W360" s="15"/>
      <c r="X360" s="15"/>
    </row>
    <row r="361" spans="6:24" ht="30" customHeight="1"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W361" s="15"/>
      <c r="X361" s="15"/>
    </row>
    <row r="362" spans="6:24" ht="30" customHeight="1"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W362" s="15"/>
      <c r="X362" s="15"/>
    </row>
    <row r="363" spans="6:24" ht="30" customHeight="1"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W363" s="15"/>
      <c r="X363" s="15"/>
    </row>
    <row r="364" spans="6:24" ht="30" customHeight="1"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W364" s="15"/>
      <c r="X364" s="15"/>
    </row>
    <row r="365" spans="6:24" ht="30" customHeight="1"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W365" s="15"/>
      <c r="X365" s="15"/>
    </row>
    <row r="366" spans="6:24" ht="30" customHeight="1"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W366" s="15"/>
      <c r="X366" s="15"/>
    </row>
    <row r="367" spans="6:24" ht="30" customHeight="1"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W367" s="15"/>
      <c r="X367" s="15"/>
    </row>
    <row r="368" spans="6:24" ht="30" customHeight="1"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W368" s="15"/>
      <c r="X368" s="15"/>
    </row>
    <row r="369" spans="6:24" ht="30" customHeight="1"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W369" s="15"/>
      <c r="X369" s="15"/>
    </row>
    <row r="370" spans="6:24" ht="30" customHeight="1"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W370" s="15"/>
      <c r="X370" s="15"/>
    </row>
    <row r="371" spans="6:24" ht="30" customHeight="1"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W371" s="15"/>
      <c r="X371" s="15"/>
    </row>
    <row r="372" spans="6:24" ht="30" customHeight="1"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W372" s="15"/>
      <c r="X372" s="15"/>
    </row>
    <row r="373" spans="6:24" ht="30" customHeight="1"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W373" s="15"/>
      <c r="X373" s="15"/>
    </row>
    <row r="374" spans="6:24" ht="30" customHeight="1"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W374" s="15"/>
      <c r="X374" s="15"/>
    </row>
    <row r="375" spans="6:24" ht="30" customHeight="1"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W375" s="15"/>
      <c r="X375" s="15"/>
    </row>
    <row r="376" spans="6:24" ht="30" customHeight="1"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W376" s="15"/>
      <c r="X376" s="15"/>
    </row>
    <row r="377" spans="6:24" ht="30" customHeight="1"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W377" s="15"/>
      <c r="X377" s="15"/>
    </row>
    <row r="378" spans="6:24" ht="30" customHeight="1"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W378" s="15"/>
      <c r="X378" s="15"/>
    </row>
    <row r="379" spans="6:24" ht="30" customHeight="1"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W379" s="15"/>
      <c r="X379" s="15"/>
    </row>
    <row r="380" spans="6:24" ht="30" customHeight="1"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W380" s="15"/>
      <c r="X380" s="15"/>
    </row>
    <row r="381" spans="6:24" ht="30" customHeight="1"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W381" s="15"/>
      <c r="X381" s="15"/>
    </row>
    <row r="382" spans="6:24" ht="30" customHeight="1"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W382" s="15"/>
      <c r="X382" s="15"/>
    </row>
    <row r="383" spans="6:24" ht="30" customHeight="1"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W383" s="15"/>
      <c r="X383" s="15"/>
    </row>
    <row r="384" spans="6:24" ht="30" customHeight="1"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W384" s="15"/>
      <c r="X384" s="15"/>
    </row>
    <row r="385" spans="6:24" ht="30" customHeight="1"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W385" s="15"/>
      <c r="X385" s="15"/>
    </row>
    <row r="386" spans="6:24" ht="30" customHeight="1"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W386" s="15"/>
      <c r="X386" s="15"/>
    </row>
    <row r="387" spans="6:24" ht="30" customHeight="1"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W387" s="15"/>
      <c r="X387" s="15"/>
    </row>
    <row r="388" spans="6:24" ht="30" customHeight="1"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W388" s="15"/>
      <c r="X388" s="15"/>
    </row>
    <row r="389" spans="6:24" ht="30" customHeight="1"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W389" s="15"/>
      <c r="X389" s="15"/>
    </row>
    <row r="390" spans="6:24" ht="30" customHeight="1"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W390" s="15"/>
      <c r="X390" s="15"/>
    </row>
    <row r="391" spans="6:24" ht="30" customHeight="1"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W391" s="15"/>
      <c r="X391" s="15"/>
    </row>
    <row r="392" spans="6:24" ht="30" customHeight="1"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W392" s="15"/>
      <c r="X392" s="15"/>
    </row>
    <row r="393" spans="6:24" ht="30" customHeight="1"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W393" s="15"/>
      <c r="X393" s="15"/>
    </row>
    <row r="394" spans="6:24" ht="30" customHeight="1"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W394" s="15"/>
      <c r="X394" s="15"/>
    </row>
    <row r="395" spans="6:24" ht="30" customHeight="1"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W395" s="15"/>
      <c r="X395" s="15"/>
    </row>
    <row r="396" spans="6:24" ht="30" customHeight="1"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W396" s="15"/>
      <c r="X396" s="15"/>
    </row>
    <row r="397" spans="6:24" ht="30" customHeight="1"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W397" s="15"/>
      <c r="X397" s="15"/>
    </row>
    <row r="398" spans="6:24" ht="30" customHeight="1"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W398" s="15"/>
      <c r="X398" s="15"/>
    </row>
    <row r="399" spans="6:24" ht="30" customHeight="1"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W399" s="15"/>
      <c r="X399" s="15"/>
    </row>
    <row r="400" spans="6:24" ht="30" customHeight="1"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W400" s="15"/>
      <c r="X400" s="15"/>
    </row>
    <row r="401" spans="6:24" ht="30" customHeight="1"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W401" s="15"/>
      <c r="X401" s="15"/>
    </row>
    <row r="402" spans="6:24" ht="30" customHeight="1"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W402" s="15"/>
      <c r="X402" s="15"/>
    </row>
    <row r="403" spans="6:24" ht="30" customHeight="1"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W403" s="15"/>
      <c r="X403" s="15"/>
    </row>
    <row r="404" spans="6:24" ht="30" customHeight="1"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W404" s="15"/>
      <c r="X404" s="15"/>
    </row>
    <row r="405" spans="6:24" ht="30" customHeight="1"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W405" s="15"/>
      <c r="X405" s="15"/>
    </row>
    <row r="406" spans="6:24" ht="30" customHeight="1"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W406" s="15"/>
      <c r="X406" s="15"/>
    </row>
    <row r="407" spans="6:24" ht="30" customHeight="1"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W407" s="15"/>
      <c r="X407" s="15"/>
    </row>
    <row r="408" spans="6:24" ht="30" customHeight="1"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W408" s="15"/>
      <c r="X408" s="15"/>
    </row>
    <row r="409" spans="6:24" ht="30" customHeight="1"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W409" s="15"/>
      <c r="X409" s="15"/>
    </row>
    <row r="410" spans="6:24" ht="30" customHeight="1"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W410" s="15"/>
      <c r="X410" s="15"/>
    </row>
    <row r="411" spans="6:24" ht="30" customHeight="1"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W411" s="15"/>
      <c r="X411" s="15"/>
    </row>
    <row r="412" spans="6:24" ht="30" customHeight="1"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W412" s="15"/>
      <c r="X412" s="15"/>
    </row>
    <row r="413" spans="6:24" ht="30" customHeight="1"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W413" s="15"/>
      <c r="X413" s="15"/>
    </row>
    <row r="414" spans="6:24" ht="30" customHeight="1"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W414" s="15"/>
      <c r="X414" s="15"/>
    </row>
    <row r="415" spans="6:24" ht="30" customHeight="1"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W415" s="15"/>
      <c r="X415" s="15"/>
    </row>
    <row r="416" spans="6:24" ht="30" customHeight="1"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W416" s="15"/>
      <c r="X416" s="15"/>
    </row>
    <row r="417" spans="6:24" ht="30" customHeight="1"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W417" s="15"/>
      <c r="X417" s="15"/>
    </row>
    <row r="418" spans="6:24" ht="30" customHeight="1"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W418" s="15"/>
      <c r="X418" s="15"/>
    </row>
    <row r="419" spans="6:24" ht="30" customHeight="1"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W419" s="15"/>
      <c r="X419" s="15"/>
    </row>
    <row r="420" spans="6:24" ht="30" customHeight="1"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W420" s="15"/>
      <c r="X420" s="15"/>
    </row>
    <row r="421" spans="6:24" ht="30" customHeight="1"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W421" s="15"/>
      <c r="X421" s="15"/>
    </row>
    <row r="422" spans="6:24" ht="30" customHeight="1"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W422" s="15"/>
      <c r="X422" s="15"/>
    </row>
    <row r="423" spans="6:24" ht="30" customHeight="1"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W423" s="15"/>
      <c r="X423" s="15"/>
    </row>
    <row r="424" spans="6:24" ht="30" customHeight="1"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W424" s="15"/>
      <c r="X424" s="15"/>
    </row>
    <row r="425" spans="6:24" ht="30" customHeight="1"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W425" s="15"/>
      <c r="X425" s="15"/>
    </row>
    <row r="426" spans="6:24" ht="30" customHeight="1"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W426" s="15"/>
      <c r="X426" s="15"/>
    </row>
    <row r="427" spans="6:24" ht="30" customHeight="1"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W427" s="15"/>
      <c r="X427" s="15"/>
    </row>
    <row r="428" spans="6:24" ht="30" customHeight="1"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W428" s="15"/>
      <c r="X428" s="15"/>
    </row>
    <row r="429" spans="6:24" ht="30" customHeight="1"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W429" s="15"/>
      <c r="X429" s="15"/>
    </row>
    <row r="430" spans="6:24" ht="30" customHeight="1"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W430" s="15"/>
      <c r="X430" s="15"/>
    </row>
    <row r="431" spans="6:24" ht="30" customHeight="1"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W431" s="15"/>
      <c r="X431" s="15"/>
    </row>
    <row r="432" spans="6:24" ht="30" customHeight="1"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W432" s="15"/>
      <c r="X432" s="15"/>
    </row>
    <row r="433" spans="6:24" ht="30" customHeight="1"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W433" s="15"/>
      <c r="X433" s="15"/>
    </row>
    <row r="434" spans="6:24" ht="30" customHeight="1"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W434" s="15"/>
      <c r="X434" s="15"/>
    </row>
    <row r="435" spans="6:24" ht="30" customHeight="1"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W435" s="15"/>
      <c r="X435" s="15"/>
    </row>
    <row r="436" spans="6:24" ht="30" customHeight="1"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W436" s="15"/>
      <c r="X436" s="15"/>
    </row>
    <row r="437" spans="6:24" ht="30" customHeight="1"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W437" s="15"/>
      <c r="X437" s="15"/>
    </row>
    <row r="438" spans="6:24" ht="30" customHeight="1"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W438" s="15"/>
      <c r="X438" s="15"/>
    </row>
    <row r="439" spans="6:24" ht="30" customHeight="1"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W439" s="15"/>
      <c r="X439" s="15"/>
    </row>
    <row r="440" spans="6:24" ht="30" customHeight="1"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W440" s="15"/>
      <c r="X440" s="15"/>
    </row>
    <row r="441" spans="6:24" ht="30" customHeight="1"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W441" s="15"/>
      <c r="X441" s="15"/>
    </row>
    <row r="442" spans="6:24" ht="30" customHeight="1"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W442" s="15"/>
      <c r="X442" s="15"/>
    </row>
    <row r="443" spans="6:24" ht="30" customHeight="1"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W443" s="15"/>
      <c r="X443" s="15"/>
    </row>
    <row r="444" spans="6:24" ht="30" customHeight="1"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W444" s="15"/>
      <c r="X444" s="15"/>
    </row>
    <row r="445" spans="6:24" ht="30" customHeight="1"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W445" s="15"/>
      <c r="X445" s="15"/>
    </row>
    <row r="446" spans="6:24" ht="30" customHeight="1"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W446" s="15"/>
      <c r="X446" s="15"/>
    </row>
    <row r="447" spans="6:24" ht="30" customHeight="1"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W447" s="15"/>
      <c r="X447" s="15"/>
    </row>
    <row r="448" spans="6:24" ht="30" customHeight="1"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W448" s="15"/>
      <c r="X448" s="15"/>
    </row>
    <row r="449" spans="6:24" ht="30" customHeight="1"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W449" s="15"/>
      <c r="X449" s="15"/>
    </row>
    <row r="450" spans="6:24" ht="30" customHeight="1"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W450" s="15"/>
      <c r="X450" s="15"/>
    </row>
    <row r="451" spans="6:24" ht="30" customHeight="1"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W451" s="15"/>
      <c r="X451" s="15"/>
    </row>
    <row r="452" spans="6:24" ht="30" customHeight="1"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W452" s="15"/>
      <c r="X452" s="15"/>
    </row>
    <row r="453" spans="6:24" ht="30" customHeight="1"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W453" s="15"/>
      <c r="X453" s="15"/>
    </row>
    <row r="454" spans="6:24" ht="30" customHeight="1"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W454" s="15"/>
      <c r="X454" s="15"/>
    </row>
    <row r="455" spans="6:24" ht="30" customHeight="1"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W455" s="15"/>
      <c r="X455" s="15"/>
    </row>
    <row r="456" spans="6:24" ht="30" customHeight="1"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W456" s="15"/>
      <c r="X456" s="15"/>
    </row>
    <row r="457" spans="6:24" ht="30" customHeight="1"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W457" s="15"/>
      <c r="X457" s="15"/>
    </row>
    <row r="458" spans="6:24" ht="30" customHeight="1"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W458" s="15"/>
      <c r="X458" s="15"/>
    </row>
    <row r="459" spans="6:24" ht="30" customHeight="1"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W459" s="15"/>
      <c r="X459" s="15"/>
    </row>
    <row r="460" spans="6:24" ht="30" customHeight="1"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W460" s="15"/>
      <c r="X460" s="15"/>
    </row>
    <row r="461" spans="6:24" ht="30" customHeight="1"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W461" s="15"/>
      <c r="X461" s="15"/>
    </row>
    <row r="462" spans="6:24" ht="30" customHeight="1"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W462" s="15"/>
      <c r="X462" s="15"/>
    </row>
    <row r="463" spans="6:24" ht="30" customHeight="1"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W463" s="15"/>
      <c r="X463" s="15"/>
    </row>
    <row r="464" spans="6:24" ht="30" customHeight="1"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W464" s="15"/>
      <c r="X464" s="15"/>
    </row>
    <row r="465" spans="6:24" ht="30" customHeight="1"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W465" s="15"/>
      <c r="X465" s="15"/>
    </row>
    <row r="466" spans="6:24" ht="30" customHeight="1"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W466" s="15"/>
      <c r="X466" s="15"/>
    </row>
    <row r="467" spans="6:24" ht="30" customHeight="1"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W467" s="15"/>
      <c r="X467" s="15"/>
    </row>
    <row r="468" spans="6:24" ht="30" customHeight="1"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W468" s="15"/>
      <c r="X468" s="15"/>
    </row>
    <row r="469" spans="6:24" ht="30" customHeight="1"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W469" s="15"/>
      <c r="X469" s="15"/>
    </row>
    <row r="470" spans="6:24" ht="30" customHeight="1"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W470" s="15"/>
      <c r="X470" s="15"/>
    </row>
    <row r="471" spans="6:24" ht="30" customHeight="1"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W471" s="15"/>
      <c r="X471" s="15"/>
    </row>
    <row r="472" spans="6:24" ht="30" customHeight="1"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W472" s="15"/>
      <c r="X472" s="15"/>
    </row>
    <row r="473" spans="6:24" ht="30" customHeight="1"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W473" s="15"/>
      <c r="X473" s="15"/>
    </row>
    <row r="474" spans="6:24" ht="30" customHeight="1"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W474" s="15"/>
      <c r="X474" s="15"/>
    </row>
    <row r="475" spans="6:24" ht="30" customHeight="1"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W475" s="15"/>
      <c r="X475" s="15"/>
    </row>
    <row r="476" spans="6:24" ht="30" customHeight="1"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W476" s="15"/>
      <c r="X476" s="15"/>
    </row>
    <row r="477" spans="6:24" ht="30" customHeight="1"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W477" s="15"/>
      <c r="X477" s="15"/>
    </row>
    <row r="478" spans="6:24" ht="30" customHeight="1"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W478" s="15"/>
      <c r="X478" s="15"/>
    </row>
    <row r="479" spans="6:24" ht="30" customHeight="1"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W479" s="15"/>
      <c r="X479" s="15"/>
    </row>
    <row r="480" spans="6:24" ht="30" customHeight="1"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W480" s="15"/>
      <c r="X480" s="15"/>
    </row>
    <row r="481" spans="6:24" ht="30" customHeight="1"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W481" s="15"/>
      <c r="X481" s="15"/>
    </row>
    <row r="482" spans="6:24" ht="30" customHeight="1"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W482" s="15"/>
      <c r="X482" s="15"/>
    </row>
    <row r="483" spans="6:24" ht="30" customHeight="1"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W483" s="15"/>
      <c r="X483" s="15"/>
    </row>
    <row r="484" spans="6:24" ht="30" customHeight="1"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W484" s="15"/>
      <c r="X484" s="15"/>
    </row>
    <row r="485" spans="6:24" ht="30" customHeight="1"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W485" s="15"/>
      <c r="X485" s="15"/>
    </row>
    <row r="486" spans="6:24" ht="30" customHeight="1"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W486" s="15"/>
      <c r="X486" s="15"/>
    </row>
    <row r="487" spans="6:24" ht="30" customHeight="1"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W487" s="15"/>
      <c r="X487" s="15"/>
    </row>
    <row r="488" spans="6:24" ht="30" customHeight="1"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W488" s="15"/>
      <c r="X488" s="15"/>
    </row>
    <row r="489" spans="6:24" ht="30" customHeight="1"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W489" s="15"/>
      <c r="X489" s="15"/>
    </row>
    <row r="490" spans="6:24" ht="30" customHeight="1"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W490" s="15"/>
      <c r="X490" s="15"/>
    </row>
    <row r="491" spans="6:24" ht="30" customHeight="1"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W491" s="15"/>
      <c r="X491" s="15"/>
    </row>
    <row r="492" spans="6:24" ht="30" customHeight="1"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W492" s="15"/>
      <c r="X492" s="15"/>
    </row>
    <row r="493" spans="6:24" ht="30" customHeight="1"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W493" s="15"/>
      <c r="X493" s="15"/>
    </row>
    <row r="494" spans="6:24" ht="30" customHeight="1"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W494" s="15"/>
      <c r="X494" s="15"/>
    </row>
    <row r="495" spans="6:24" ht="30" customHeight="1"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W495" s="15"/>
      <c r="X495" s="15"/>
    </row>
    <row r="496" spans="6:24" ht="30" customHeight="1"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W496" s="15"/>
      <c r="X496" s="15"/>
    </row>
    <row r="497" spans="6:24" ht="30" customHeight="1"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W497" s="15"/>
      <c r="X497" s="15"/>
    </row>
    <row r="498" spans="6:24" ht="30" customHeight="1"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W498" s="15"/>
      <c r="X498" s="15"/>
    </row>
    <row r="499" spans="6:24" ht="30" customHeight="1"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W499" s="15"/>
      <c r="X499" s="15"/>
    </row>
    <row r="500" spans="6:24" ht="30" customHeight="1"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W500" s="15"/>
      <c r="X500" s="15"/>
    </row>
    <row r="501" spans="6:24" ht="30" customHeight="1"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W501" s="15"/>
      <c r="X501" s="15"/>
    </row>
    <row r="502" spans="6:24" ht="30" customHeight="1"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W502" s="15"/>
      <c r="X502" s="15"/>
    </row>
    <row r="503" spans="6:24" ht="30" customHeight="1"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W503" s="15"/>
      <c r="X503" s="15"/>
    </row>
    <row r="504" spans="6:24" ht="30" customHeight="1"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W504" s="15"/>
      <c r="X504" s="15"/>
    </row>
    <row r="505" spans="6:24" ht="30" customHeight="1"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W505" s="15"/>
      <c r="X505" s="15"/>
    </row>
    <row r="506" spans="6:24" ht="30" customHeight="1"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W506" s="15"/>
      <c r="X506" s="15"/>
    </row>
    <row r="507" spans="6:24" ht="30" customHeight="1"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W507" s="15"/>
      <c r="X507" s="15"/>
    </row>
    <row r="508" spans="6:24" ht="30" customHeight="1"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W508" s="15"/>
      <c r="X508" s="15"/>
    </row>
  </sheetData>
  <sheetProtection algorithmName="SHA-512" hashValue="nKJFGfaDaQwp1EpzTNpdNsdfUF/R71z+46xXDb1/eUD9gG78G21OLNoVJhZDlDyOUF7AV97+CGHS6cIo2f8mWQ==" saltValue="xY7RaOYsdIKHeDBP19MV4w==" spinCount="100000" sheet="1" objects="1" scenarios="1"/>
  <phoneticPr fontId="5" type="noConversion"/>
  <conditionalFormatting sqref="A2:W2">
    <cfRule type="containsBlanks" dxfId="50" priority="2">
      <formula>LEN(TRIM(A2))=0</formula>
    </cfRule>
  </conditionalFormatting>
  <pageMargins left="0.7" right="0.7" top="0.75" bottom="0.75" header="0.3" footer="0.3"/>
  <pageSetup paperSize="9" scale="45" fitToHeight="0" orientation="landscape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F33B-299B-45D4-8C0C-51CC95E191BE}">
  <sheetPr codeName="Sheet5"/>
  <dimension ref="A1:M26"/>
  <sheetViews>
    <sheetView workbookViewId="0">
      <selection activeCell="C19" sqref="C19"/>
    </sheetView>
  </sheetViews>
  <sheetFormatPr defaultRowHeight="15"/>
  <cols>
    <col min="1" max="1" width="22.7109375" bestFit="1" customWidth="1"/>
    <col min="2" max="2" width="25.28515625" bestFit="1" customWidth="1"/>
    <col min="3" max="3" width="16.28515625" bestFit="1" customWidth="1"/>
    <col min="4" max="4" width="14.5703125" bestFit="1" customWidth="1"/>
    <col min="5" max="5" width="52.7109375" bestFit="1" customWidth="1"/>
    <col min="9" max="9" width="16.28515625" bestFit="1" customWidth="1"/>
    <col min="10" max="10" width="16.28515625" customWidth="1"/>
    <col min="11" max="11" width="25.28515625" bestFit="1" customWidth="1"/>
    <col min="12" max="12" width="14.5703125" bestFit="1" customWidth="1"/>
    <col min="13" max="13" width="15" bestFit="1" customWidth="1"/>
    <col min="14" max="14" width="52.7109375" bestFit="1" customWidth="1"/>
  </cols>
  <sheetData>
    <row r="1" spans="1:13">
      <c r="A1" s="24" t="s">
        <v>106</v>
      </c>
      <c r="B1" s="26" t="s">
        <v>107</v>
      </c>
      <c r="C1" s="17" t="s">
        <v>108</v>
      </c>
      <c r="D1" s="17" t="s">
        <v>109</v>
      </c>
      <c r="E1" s="17" t="s">
        <v>110</v>
      </c>
      <c r="I1" s="17" t="s">
        <v>108</v>
      </c>
      <c r="J1" s="17" t="s">
        <v>111</v>
      </c>
      <c r="K1" s="26" t="s">
        <v>112</v>
      </c>
      <c r="L1" s="17" t="s">
        <v>113</v>
      </c>
      <c r="M1" s="17" t="s">
        <v>114</v>
      </c>
    </row>
    <row r="2" spans="1:13">
      <c r="A2" s="25" t="s">
        <v>2</v>
      </c>
      <c r="B2" s="24"/>
      <c r="C2" s="17"/>
      <c r="D2" s="17"/>
      <c r="E2" s="17"/>
      <c r="I2" s="17" t="s">
        <v>63</v>
      </c>
      <c r="J2" s="17" t="b">
        <v>1</v>
      </c>
      <c r="K2" s="24" t="s">
        <v>86</v>
      </c>
      <c r="L2" s="17" t="s">
        <v>115</v>
      </c>
      <c r="M2" s="17" t="s">
        <v>116</v>
      </c>
    </row>
    <row r="3" spans="1:13">
      <c r="A3" s="25" t="s">
        <v>3</v>
      </c>
      <c r="B3" s="24" t="s">
        <v>82</v>
      </c>
      <c r="C3" s="17"/>
      <c r="D3" s="17"/>
      <c r="E3" s="17"/>
      <c r="I3" s="17" t="s">
        <v>63</v>
      </c>
      <c r="J3" s="17" t="b">
        <v>0</v>
      </c>
      <c r="K3" s="24" t="s">
        <v>86</v>
      </c>
      <c r="L3" s="17" t="s">
        <v>117</v>
      </c>
      <c r="M3" s="17" t="s">
        <v>118</v>
      </c>
    </row>
    <row r="4" spans="1:13">
      <c r="A4" s="25" t="s">
        <v>5</v>
      </c>
      <c r="B4" s="24" t="s">
        <v>58</v>
      </c>
      <c r="C4" s="17"/>
      <c r="D4" s="17" t="s">
        <v>117</v>
      </c>
      <c r="E4" s="17"/>
      <c r="I4" s="17" t="s">
        <v>65</v>
      </c>
      <c r="J4" s="17" t="b">
        <v>1</v>
      </c>
      <c r="K4" s="24" t="s">
        <v>88</v>
      </c>
      <c r="L4" s="17" t="s">
        <v>117</v>
      </c>
      <c r="M4" s="17" t="s">
        <v>118</v>
      </c>
    </row>
    <row r="5" spans="1:13">
      <c r="A5" s="25" t="s">
        <v>7</v>
      </c>
      <c r="B5" s="24" t="s">
        <v>59</v>
      </c>
      <c r="C5" s="17"/>
      <c r="D5" s="17" t="s">
        <v>117</v>
      </c>
      <c r="E5" s="17"/>
      <c r="I5" s="17" t="s">
        <v>65</v>
      </c>
      <c r="J5" s="17" t="b">
        <v>0</v>
      </c>
      <c r="K5" s="24" t="s">
        <v>88</v>
      </c>
      <c r="L5" s="17" t="s">
        <v>115</v>
      </c>
      <c r="M5" s="17" t="s">
        <v>116</v>
      </c>
    </row>
    <row r="6" spans="1:13">
      <c r="A6" s="25" t="s">
        <v>119</v>
      </c>
      <c r="B6" s="24"/>
      <c r="C6" s="17"/>
      <c r="D6" s="17"/>
      <c r="E6" s="17"/>
      <c r="I6" s="17" t="s">
        <v>67</v>
      </c>
      <c r="J6" s="17" t="b">
        <v>1</v>
      </c>
      <c r="K6" s="24" t="s">
        <v>84</v>
      </c>
      <c r="L6" s="17" t="s">
        <v>117</v>
      </c>
      <c r="M6" s="17" t="s">
        <v>118</v>
      </c>
    </row>
    <row r="7" spans="1:13">
      <c r="A7" s="25" t="s">
        <v>9</v>
      </c>
      <c r="B7" s="24" t="s">
        <v>60</v>
      </c>
      <c r="C7" s="17"/>
      <c r="D7" s="17" t="s">
        <v>117</v>
      </c>
      <c r="E7" s="17"/>
      <c r="I7" s="17" t="s">
        <v>67</v>
      </c>
      <c r="J7" s="17" t="b">
        <v>0</v>
      </c>
      <c r="K7" s="24" t="s">
        <v>84</v>
      </c>
      <c r="L7" s="17" t="s">
        <v>115</v>
      </c>
      <c r="M7" s="17" t="s">
        <v>116</v>
      </c>
    </row>
    <row r="8" spans="1:13">
      <c r="A8" s="25" t="s">
        <v>91</v>
      </c>
      <c r="B8" s="24" t="s">
        <v>61</v>
      </c>
      <c r="C8" s="17"/>
      <c r="D8" s="17" t="s">
        <v>117</v>
      </c>
      <c r="E8" s="17"/>
      <c r="I8" s="17" t="s">
        <v>69</v>
      </c>
      <c r="J8" s="17" t="b">
        <v>1</v>
      </c>
      <c r="K8" s="24" t="s">
        <v>90</v>
      </c>
      <c r="L8" s="17" t="s">
        <v>117</v>
      </c>
      <c r="M8" s="17" t="s">
        <v>118</v>
      </c>
    </row>
    <row r="9" spans="1:13">
      <c r="A9" s="25" t="s">
        <v>92</v>
      </c>
      <c r="B9" s="24"/>
      <c r="C9" s="17" t="s">
        <v>63</v>
      </c>
      <c r="D9" s="17"/>
      <c r="E9" s="17"/>
      <c r="I9" s="17" t="s">
        <v>69</v>
      </c>
      <c r="J9" s="17" t="b">
        <v>0</v>
      </c>
      <c r="K9" s="24" t="s">
        <v>90</v>
      </c>
      <c r="L9" s="17" t="s">
        <v>115</v>
      </c>
      <c r="M9" s="17" t="s">
        <v>116</v>
      </c>
    </row>
    <row r="10" spans="1:13">
      <c r="A10" s="25" t="s">
        <v>85</v>
      </c>
      <c r="B10" s="24" t="s">
        <v>86</v>
      </c>
      <c r="C10" s="17"/>
      <c r="D10" s="17" t="s">
        <v>120</v>
      </c>
      <c r="E10" s="17" t="s">
        <v>121</v>
      </c>
    </row>
    <row r="11" spans="1:13">
      <c r="A11" s="25" t="s">
        <v>93</v>
      </c>
      <c r="B11" s="24"/>
      <c r="C11" s="17" t="s">
        <v>65</v>
      </c>
      <c r="D11" s="17"/>
      <c r="E11" s="17"/>
    </row>
    <row r="12" spans="1:13">
      <c r="A12" s="25" t="s">
        <v>87</v>
      </c>
      <c r="B12" s="24" t="s">
        <v>88</v>
      </c>
      <c r="C12" s="17"/>
      <c r="D12" s="17" t="s">
        <v>120</v>
      </c>
      <c r="E12" s="17" t="s">
        <v>122</v>
      </c>
      <c r="I12" t="s">
        <v>123</v>
      </c>
    </row>
    <row r="13" spans="1:13">
      <c r="A13" s="25" t="s">
        <v>94</v>
      </c>
      <c r="B13" s="24"/>
      <c r="C13" s="17"/>
      <c r="D13" s="17"/>
      <c r="E13" s="17"/>
    </row>
    <row r="14" spans="1:13">
      <c r="A14" s="25" t="s">
        <v>95</v>
      </c>
      <c r="B14" s="24" t="s">
        <v>79</v>
      </c>
      <c r="C14" s="17"/>
      <c r="D14" s="17"/>
      <c r="E14" s="17"/>
    </row>
    <row r="15" spans="1:13">
      <c r="A15" s="25" t="s">
        <v>96</v>
      </c>
      <c r="B15" s="24"/>
      <c r="C15" s="17" t="s">
        <v>67</v>
      </c>
      <c r="D15" s="17"/>
      <c r="E15" s="17"/>
    </row>
    <row r="16" spans="1:13">
      <c r="A16" s="25" t="s">
        <v>83</v>
      </c>
      <c r="B16" s="24" t="s">
        <v>84</v>
      </c>
      <c r="C16" s="17"/>
      <c r="D16" s="17" t="s">
        <v>120</v>
      </c>
      <c r="E16" s="17" t="s">
        <v>124</v>
      </c>
    </row>
    <row r="17" spans="1:5">
      <c r="A17" s="25" t="s">
        <v>97</v>
      </c>
      <c r="B17" s="24"/>
      <c r="C17" s="17" t="s">
        <v>69</v>
      </c>
      <c r="D17" s="17"/>
      <c r="E17" s="17"/>
    </row>
    <row r="18" spans="1:5">
      <c r="A18" s="25" t="s">
        <v>98</v>
      </c>
      <c r="B18" s="24" t="s">
        <v>90</v>
      </c>
      <c r="C18" s="17"/>
      <c r="D18" s="17" t="s">
        <v>120</v>
      </c>
      <c r="E18" s="17" t="s">
        <v>125</v>
      </c>
    </row>
    <row r="19" spans="1:5">
      <c r="A19" s="25" t="s">
        <v>99</v>
      </c>
      <c r="B19" s="24" t="s">
        <v>71</v>
      </c>
      <c r="C19" s="17"/>
      <c r="D19" s="17"/>
      <c r="E19" s="17"/>
    </row>
    <row r="20" spans="1:5">
      <c r="A20" s="25" t="s">
        <v>100</v>
      </c>
      <c r="B20" s="24" t="s">
        <v>73</v>
      </c>
      <c r="C20" s="17"/>
      <c r="D20" s="17"/>
      <c r="E20" s="17"/>
    </row>
    <row r="21" spans="1:5">
      <c r="A21" s="25" t="s">
        <v>16</v>
      </c>
      <c r="B21" s="24" t="s">
        <v>74</v>
      </c>
      <c r="C21" s="17"/>
      <c r="D21" s="17"/>
      <c r="E21" s="17"/>
    </row>
    <row r="22" spans="1:5">
      <c r="A22" s="25" t="s">
        <v>101</v>
      </c>
      <c r="B22" s="24" t="s">
        <v>126</v>
      </c>
      <c r="C22" s="17"/>
      <c r="D22" s="17"/>
      <c r="E22" s="17"/>
    </row>
    <row r="23" spans="1:5">
      <c r="A23" s="25" t="s">
        <v>102</v>
      </c>
      <c r="B23" s="24" t="s">
        <v>75</v>
      </c>
      <c r="C23" s="17"/>
      <c r="D23" s="17"/>
      <c r="E23" s="17"/>
    </row>
    <row r="24" spans="1:5">
      <c r="A24" s="25" t="s">
        <v>103</v>
      </c>
      <c r="B24" s="24" t="s">
        <v>127</v>
      </c>
      <c r="C24" s="17"/>
      <c r="D24" s="17"/>
      <c r="E24" s="17"/>
    </row>
    <row r="25" spans="1:5">
      <c r="A25" s="25" t="s">
        <v>104</v>
      </c>
      <c r="B25" s="24"/>
      <c r="C25" s="17"/>
      <c r="D25" s="17"/>
      <c r="E25" s="17"/>
    </row>
    <row r="26" spans="1:5">
      <c r="A26" s="25" t="s">
        <v>105</v>
      </c>
      <c r="B26" s="24" t="s">
        <v>128</v>
      </c>
      <c r="C26" s="17"/>
      <c r="D26" s="17"/>
      <c r="E26" s="17"/>
    </row>
  </sheetData>
  <sheetProtection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C6BA7-7170-4691-9AC8-6839C46FC111}">
  <sheetPr codeName="Sheet7"/>
  <dimension ref="A1:E9"/>
  <sheetViews>
    <sheetView topLeftCell="A9" workbookViewId="0">
      <selection activeCell="C19" sqref="C19"/>
    </sheetView>
  </sheetViews>
  <sheetFormatPr defaultRowHeight="15"/>
  <cols>
    <col min="1" max="1" width="39.85546875" customWidth="1"/>
    <col min="2" max="2" width="75.7109375" style="27" customWidth="1"/>
    <col min="4" max="4" width="12.85546875" bestFit="1" customWidth="1"/>
    <col min="5" max="5" width="37.7109375" bestFit="1" customWidth="1"/>
  </cols>
  <sheetData>
    <row r="1" spans="1:5">
      <c r="A1" s="31" t="s">
        <v>129</v>
      </c>
      <c r="B1" s="32" t="s">
        <v>130</v>
      </c>
      <c r="D1" s="33" t="s">
        <v>131</v>
      </c>
      <c r="E1" s="33" t="s">
        <v>111</v>
      </c>
    </row>
    <row r="2" spans="1:5" ht="165">
      <c r="A2" s="24" t="s">
        <v>132</v>
      </c>
      <c r="B2" s="30" t="s">
        <v>133</v>
      </c>
      <c r="D2" s="15" t="s">
        <v>134</v>
      </c>
      <c r="E2" s="34" t="s">
        <v>135</v>
      </c>
    </row>
    <row r="3" spans="1:5" ht="165">
      <c r="A3" s="24" t="s">
        <v>136</v>
      </c>
      <c r="B3" s="28" t="s">
        <v>137</v>
      </c>
      <c r="D3" s="15" t="s">
        <v>138</v>
      </c>
      <c r="E3" s="34" t="s">
        <v>139</v>
      </c>
    </row>
    <row r="4" spans="1:5" ht="126" customHeight="1">
      <c r="A4" s="24" t="s">
        <v>140</v>
      </c>
      <c r="B4" s="29" t="s">
        <v>141</v>
      </c>
      <c r="D4" s="15" t="s">
        <v>142</v>
      </c>
      <c r="E4" s="34" t="s">
        <v>143</v>
      </c>
    </row>
    <row r="5" spans="1:5" ht="150">
      <c r="A5" s="24" t="s">
        <v>144</v>
      </c>
      <c r="B5" s="28" t="s">
        <v>145</v>
      </c>
      <c r="D5" s="15" t="s">
        <v>146</v>
      </c>
      <c r="E5" s="34" t="s">
        <v>147</v>
      </c>
    </row>
    <row r="6" spans="1:5" ht="150">
      <c r="A6" s="24" t="s">
        <v>148</v>
      </c>
      <c r="B6" s="28" t="s">
        <v>149</v>
      </c>
      <c r="D6" s="15" t="s">
        <v>150</v>
      </c>
      <c r="E6" s="15" t="s">
        <v>151</v>
      </c>
    </row>
    <row r="7" spans="1:5" ht="126" customHeight="1">
      <c r="A7" s="24" t="s">
        <v>152</v>
      </c>
      <c r="B7" s="28" t="s">
        <v>153</v>
      </c>
    </row>
    <row r="8" spans="1:5" ht="150">
      <c r="A8" s="24" t="s">
        <v>154</v>
      </c>
      <c r="B8" s="28" t="s">
        <v>155</v>
      </c>
    </row>
    <row r="9" spans="1:5" ht="165">
      <c r="A9" s="24" t="s">
        <v>156</v>
      </c>
      <c r="B9" s="28" t="s">
        <v>157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AACA9-D853-4D19-8B56-FB3193D1A461}">
  <sheetPr codeName="Sheet1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bestFit="1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20595-6479-4375-8EC4-FB731BDDD0F8}">
  <sheetPr codeName="Sheet8"/>
  <dimension ref="A1:AH2805"/>
  <sheetViews>
    <sheetView workbookViewId="0">
      <selection activeCell="C19" sqref="C19"/>
    </sheetView>
  </sheetViews>
  <sheetFormatPr defaultRowHeight="15"/>
  <cols>
    <col min="1" max="1" width="24.7109375" bestFit="1" customWidth="1"/>
    <col min="2" max="2" width="56.42578125" bestFit="1" customWidth="1"/>
    <col min="3" max="3" width="30.28515625" bestFit="1" customWidth="1"/>
    <col min="4" max="4" width="45.7109375" bestFit="1" customWidth="1"/>
    <col min="5" max="5" width="62.42578125" bestFit="1" customWidth="1"/>
    <col min="6" max="6" width="33" bestFit="1" customWidth="1"/>
    <col min="7" max="7" width="16.28515625" bestFit="1" customWidth="1"/>
    <col min="8" max="8" width="66.28515625" bestFit="1" customWidth="1"/>
    <col min="9" max="9" width="62.42578125" bestFit="1" customWidth="1"/>
    <col min="10" max="10" width="30.85546875" bestFit="1" customWidth="1"/>
    <col min="11" max="11" width="81.140625" bestFit="1" customWidth="1"/>
    <col min="12" max="12" width="13.28515625" bestFit="1" customWidth="1"/>
    <col min="13" max="13" width="20.5703125" bestFit="1" customWidth="1"/>
    <col min="14" max="14" width="20.28515625" bestFit="1" customWidth="1"/>
    <col min="15" max="15" width="25.42578125" bestFit="1" customWidth="1"/>
    <col min="16" max="16" width="28.140625" bestFit="1" customWidth="1"/>
    <col min="17" max="17" width="29.28515625" bestFit="1" customWidth="1"/>
    <col min="18" max="18" width="22" bestFit="1" customWidth="1"/>
    <col min="19" max="19" width="20.5703125" bestFit="1" customWidth="1"/>
    <col min="20" max="20" width="45.7109375" bestFit="1" customWidth="1"/>
    <col min="21" max="21" width="62.42578125" bestFit="1" customWidth="1"/>
    <col min="22" max="22" width="17.7109375" bestFit="1" customWidth="1"/>
    <col min="23" max="23" width="34.42578125" bestFit="1" customWidth="1"/>
    <col min="24" max="24" width="20.5703125" bestFit="1" customWidth="1"/>
    <col min="25" max="25" width="19.7109375" bestFit="1" customWidth="1"/>
    <col min="26" max="26" width="62.42578125" bestFit="1" customWidth="1"/>
    <col min="27" max="27" width="40.140625" bestFit="1" customWidth="1"/>
    <col min="28" max="28" width="30.28515625" bestFit="1" customWidth="1"/>
    <col min="29" max="29" width="35.140625" bestFit="1" customWidth="1"/>
    <col min="30" max="30" width="21.5703125" bestFit="1" customWidth="1"/>
    <col min="31" max="31" width="33" bestFit="1" customWidth="1"/>
    <col min="32" max="32" width="24.7109375" bestFit="1" customWidth="1"/>
    <col min="33" max="33" width="13.140625" bestFit="1" customWidth="1"/>
    <col min="34" max="34" width="9.85546875" customWidth="1"/>
  </cols>
  <sheetData>
    <row r="1" spans="1:34">
      <c r="A1" t="s">
        <v>158</v>
      </c>
      <c r="B1" t="s">
        <v>159</v>
      </c>
      <c r="C1" t="s">
        <v>160</v>
      </c>
      <c r="D1" t="s">
        <v>161</v>
      </c>
      <c r="E1" t="s">
        <v>162</v>
      </c>
      <c r="F1" t="s">
        <v>163</v>
      </c>
      <c r="G1" t="s">
        <v>164</v>
      </c>
      <c r="H1" t="s">
        <v>165</v>
      </c>
      <c r="I1" t="s">
        <v>166</v>
      </c>
      <c r="J1" t="s">
        <v>167</v>
      </c>
      <c r="K1" t="s">
        <v>168</v>
      </c>
      <c r="L1" t="s">
        <v>169</v>
      </c>
      <c r="M1" t="s">
        <v>170</v>
      </c>
      <c r="N1" t="s">
        <v>171</v>
      </c>
      <c r="O1" t="s">
        <v>172</v>
      </c>
      <c r="P1" t="s">
        <v>173</v>
      </c>
      <c r="Q1" t="s">
        <v>174</v>
      </c>
      <c r="R1" t="s">
        <v>175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185</v>
      </c>
      <c r="AC1" t="s">
        <v>186</v>
      </c>
      <c r="AD1" t="s">
        <v>187</v>
      </c>
      <c r="AE1" t="s">
        <v>188</v>
      </c>
      <c r="AF1" t="s">
        <v>131</v>
      </c>
      <c r="AG1" t="s">
        <v>189</v>
      </c>
      <c r="AH1" t="s">
        <v>190</v>
      </c>
    </row>
    <row r="2" spans="1:34">
      <c r="A2" t="s">
        <v>191</v>
      </c>
      <c r="B2" t="s">
        <v>9</v>
      </c>
      <c r="AF2" t="s">
        <v>191</v>
      </c>
      <c r="AG2" t="s">
        <v>138</v>
      </c>
      <c r="AH2" t="b">
        <v>0</v>
      </c>
    </row>
    <row r="3" spans="1:34">
      <c r="A3" t="s">
        <v>191</v>
      </c>
      <c r="B3" t="s">
        <v>10</v>
      </c>
      <c r="AF3" t="s">
        <v>191</v>
      </c>
      <c r="AG3" t="s">
        <v>138</v>
      </c>
      <c r="AH3" t="b">
        <v>0</v>
      </c>
    </row>
    <row r="4" spans="1:34">
      <c r="A4" t="s">
        <v>191</v>
      </c>
      <c r="B4" t="s">
        <v>37</v>
      </c>
      <c r="AF4" t="s">
        <v>191</v>
      </c>
      <c r="AG4" t="s">
        <v>138</v>
      </c>
      <c r="AH4" t="b">
        <v>0</v>
      </c>
    </row>
    <row r="5" spans="1:34">
      <c r="A5" t="s">
        <v>191</v>
      </c>
      <c r="B5" t="s">
        <v>192</v>
      </c>
      <c r="AF5" t="s">
        <v>191</v>
      </c>
      <c r="AG5" t="s">
        <v>138</v>
      </c>
      <c r="AH5" t="b">
        <v>0</v>
      </c>
    </row>
    <row r="6" spans="1:34">
      <c r="A6" t="s">
        <v>191</v>
      </c>
      <c r="B6" t="s">
        <v>193</v>
      </c>
      <c r="AF6" t="s">
        <v>191</v>
      </c>
      <c r="AG6" t="s">
        <v>138</v>
      </c>
      <c r="AH6" t="b">
        <v>0</v>
      </c>
    </row>
    <row r="7" spans="1:34">
      <c r="A7" t="s">
        <v>191</v>
      </c>
      <c r="B7" t="s">
        <v>194</v>
      </c>
      <c r="AF7" t="s">
        <v>191</v>
      </c>
      <c r="AG7" t="s">
        <v>138</v>
      </c>
      <c r="AH7" t="b">
        <v>0</v>
      </c>
    </row>
    <row r="8" spans="1:34">
      <c r="A8" t="s">
        <v>195</v>
      </c>
      <c r="B8" t="s">
        <v>11</v>
      </c>
      <c r="AF8" t="s">
        <v>195</v>
      </c>
      <c r="AG8" t="s">
        <v>138</v>
      </c>
      <c r="AH8" t="b">
        <v>0</v>
      </c>
    </row>
    <row r="9" spans="1:34">
      <c r="A9" t="s">
        <v>195</v>
      </c>
      <c r="B9" t="s">
        <v>12</v>
      </c>
      <c r="AF9" t="s">
        <v>195</v>
      </c>
      <c r="AG9" t="s">
        <v>138</v>
      </c>
      <c r="AH9" t="b">
        <v>0</v>
      </c>
    </row>
    <row r="10" spans="1:34">
      <c r="A10" t="s">
        <v>195</v>
      </c>
      <c r="B10" t="s">
        <v>196</v>
      </c>
      <c r="AF10" t="s">
        <v>195</v>
      </c>
      <c r="AG10" t="s">
        <v>138</v>
      </c>
      <c r="AH10" t="b">
        <v>0</v>
      </c>
    </row>
    <row r="11" spans="1:34">
      <c r="A11" t="s">
        <v>195</v>
      </c>
      <c r="B11" t="s">
        <v>197</v>
      </c>
      <c r="AF11" t="s">
        <v>195</v>
      </c>
      <c r="AG11" t="s">
        <v>138</v>
      </c>
      <c r="AH11" t="b">
        <v>0</v>
      </c>
    </row>
    <row r="12" spans="1:34">
      <c r="A12" t="s">
        <v>195</v>
      </c>
      <c r="B12" t="s">
        <v>198</v>
      </c>
      <c r="AF12" t="s">
        <v>195</v>
      </c>
      <c r="AG12" t="s">
        <v>138</v>
      </c>
      <c r="AH12" t="b">
        <v>0</v>
      </c>
    </row>
    <row r="13" spans="1:34">
      <c r="A13" t="s">
        <v>199</v>
      </c>
      <c r="B13" t="s">
        <v>5</v>
      </c>
      <c r="AF13" t="s">
        <v>199</v>
      </c>
      <c r="AG13" t="s">
        <v>138</v>
      </c>
      <c r="AH13" t="b">
        <v>0</v>
      </c>
    </row>
    <row r="14" spans="1:34">
      <c r="A14" t="s">
        <v>199</v>
      </c>
      <c r="B14" t="s">
        <v>6</v>
      </c>
      <c r="AF14" t="s">
        <v>199</v>
      </c>
      <c r="AG14" t="s">
        <v>138</v>
      </c>
      <c r="AH14" t="b">
        <v>0</v>
      </c>
    </row>
    <row r="15" spans="1:34">
      <c r="A15" t="s">
        <v>199</v>
      </c>
      <c r="B15" t="s">
        <v>200</v>
      </c>
      <c r="AF15" t="s">
        <v>199</v>
      </c>
      <c r="AG15" t="s">
        <v>138</v>
      </c>
      <c r="AH15" t="b">
        <v>0</v>
      </c>
    </row>
    <row r="16" spans="1:34">
      <c r="A16" t="s">
        <v>201</v>
      </c>
      <c r="B16" t="s">
        <v>202</v>
      </c>
      <c r="C16" t="s">
        <v>203</v>
      </c>
      <c r="D16" t="s">
        <v>7</v>
      </c>
      <c r="AF16" t="s">
        <v>201</v>
      </c>
      <c r="AG16" t="s">
        <v>138</v>
      </c>
      <c r="AH16" t="b">
        <v>0</v>
      </c>
    </row>
    <row r="17" spans="1:34">
      <c r="A17" t="s">
        <v>201</v>
      </c>
      <c r="B17" t="s">
        <v>204</v>
      </c>
      <c r="C17" t="s">
        <v>205</v>
      </c>
      <c r="D17" t="s">
        <v>8</v>
      </c>
      <c r="AF17" t="s">
        <v>201</v>
      </c>
      <c r="AG17" t="s">
        <v>138</v>
      </c>
      <c r="AH17" t="b">
        <v>0</v>
      </c>
    </row>
    <row r="18" spans="1:34">
      <c r="A18" t="s">
        <v>201</v>
      </c>
      <c r="B18" t="s">
        <v>204</v>
      </c>
      <c r="C18" t="s">
        <v>206</v>
      </c>
      <c r="D18" t="s">
        <v>207</v>
      </c>
      <c r="AF18" t="s">
        <v>201</v>
      </c>
      <c r="AG18" t="s">
        <v>138</v>
      </c>
      <c r="AH18" t="b">
        <v>0</v>
      </c>
    </row>
    <row r="19" spans="1:34">
      <c r="A19" t="s">
        <v>201</v>
      </c>
      <c r="B19" t="s">
        <v>208</v>
      </c>
      <c r="C19" t="s">
        <v>209</v>
      </c>
      <c r="D19" t="s">
        <v>210</v>
      </c>
      <c r="AF19" t="s">
        <v>201</v>
      </c>
      <c r="AG19" t="s">
        <v>138</v>
      </c>
      <c r="AH19" t="b">
        <v>0</v>
      </c>
    </row>
    <row r="20" spans="1:34">
      <c r="A20" t="s">
        <v>201</v>
      </c>
      <c r="B20" t="s">
        <v>208</v>
      </c>
      <c r="C20" t="s">
        <v>211</v>
      </c>
      <c r="D20" t="s">
        <v>212</v>
      </c>
      <c r="AF20" t="s">
        <v>201</v>
      </c>
      <c r="AG20" t="s">
        <v>138</v>
      </c>
      <c r="AH20" t="b">
        <v>0</v>
      </c>
    </row>
    <row r="21" spans="1:34">
      <c r="A21" t="s">
        <v>201</v>
      </c>
      <c r="B21" t="s">
        <v>208</v>
      </c>
      <c r="C21" t="s">
        <v>206</v>
      </c>
      <c r="D21" t="s">
        <v>213</v>
      </c>
      <c r="AF21" t="s">
        <v>201</v>
      </c>
      <c r="AG21" t="s">
        <v>138</v>
      </c>
      <c r="AH21" t="b">
        <v>0</v>
      </c>
    </row>
    <row r="22" spans="1:34">
      <c r="A22" t="s">
        <v>201</v>
      </c>
      <c r="B22" t="s">
        <v>208</v>
      </c>
      <c r="C22" t="s">
        <v>214</v>
      </c>
      <c r="D22" t="s">
        <v>215</v>
      </c>
      <c r="AF22" t="s">
        <v>201</v>
      </c>
      <c r="AG22" t="s">
        <v>138</v>
      </c>
      <c r="AH22" t="b">
        <v>0</v>
      </c>
    </row>
    <row r="23" spans="1:34">
      <c r="A23" t="s">
        <v>216</v>
      </c>
      <c r="B23" t="s">
        <v>217</v>
      </c>
      <c r="C23" t="s">
        <v>70</v>
      </c>
      <c r="D23" t="s">
        <v>218</v>
      </c>
      <c r="E23" t="s">
        <v>219</v>
      </c>
      <c r="F23" t="s">
        <v>220</v>
      </c>
      <c r="G23" t="s">
        <v>221</v>
      </c>
      <c r="H23" t="s">
        <v>222</v>
      </c>
      <c r="I23" t="s">
        <v>223</v>
      </c>
      <c r="K23" t="s">
        <v>224</v>
      </c>
      <c r="AF23" t="s">
        <v>216</v>
      </c>
      <c r="AG23" t="s">
        <v>138</v>
      </c>
      <c r="AH23" t="b">
        <v>0</v>
      </c>
    </row>
    <row r="24" spans="1:34">
      <c r="A24" t="s">
        <v>216</v>
      </c>
      <c r="B24" t="s">
        <v>225</v>
      </c>
      <c r="C24" t="s">
        <v>226</v>
      </c>
      <c r="D24" t="s">
        <v>227</v>
      </c>
      <c r="E24" t="s">
        <v>228</v>
      </c>
      <c r="F24" t="s">
        <v>229</v>
      </c>
      <c r="G24" t="s">
        <v>230</v>
      </c>
      <c r="H24" t="s">
        <v>231</v>
      </c>
      <c r="I24" t="s">
        <v>232</v>
      </c>
      <c r="K24" t="s">
        <v>233</v>
      </c>
      <c r="AF24" t="s">
        <v>216</v>
      </c>
      <c r="AG24" t="s">
        <v>138</v>
      </c>
      <c r="AH24" t="b">
        <v>0</v>
      </c>
    </row>
    <row r="25" spans="1:34">
      <c r="A25" t="s">
        <v>216</v>
      </c>
      <c r="B25" t="s">
        <v>225</v>
      </c>
      <c r="C25" t="s">
        <v>234</v>
      </c>
      <c r="D25" t="s">
        <v>227</v>
      </c>
      <c r="E25" t="s">
        <v>235</v>
      </c>
      <c r="F25" t="s">
        <v>229</v>
      </c>
      <c r="G25" t="s">
        <v>230</v>
      </c>
      <c r="H25" t="s">
        <v>236</v>
      </c>
      <c r="I25" t="s">
        <v>237</v>
      </c>
      <c r="AF25" t="s">
        <v>216</v>
      </c>
      <c r="AG25" t="s">
        <v>138</v>
      </c>
      <c r="AH25" t="b">
        <v>0</v>
      </c>
    </row>
    <row r="26" spans="1:34">
      <c r="A26" t="s">
        <v>216</v>
      </c>
      <c r="B26" t="s">
        <v>225</v>
      </c>
      <c r="C26" t="s">
        <v>238</v>
      </c>
      <c r="D26" t="s">
        <v>227</v>
      </c>
      <c r="E26" t="s">
        <v>235</v>
      </c>
      <c r="F26" t="s">
        <v>234</v>
      </c>
      <c r="G26" t="s">
        <v>230</v>
      </c>
      <c r="H26" t="s">
        <v>239</v>
      </c>
      <c r="I26" t="s">
        <v>240</v>
      </c>
      <c r="AF26" t="s">
        <v>216</v>
      </c>
      <c r="AG26" t="s">
        <v>138</v>
      </c>
      <c r="AH26" t="b">
        <v>0</v>
      </c>
    </row>
    <row r="27" spans="1:34">
      <c r="A27" t="s">
        <v>216</v>
      </c>
      <c r="B27" t="s">
        <v>225</v>
      </c>
      <c r="C27" t="s">
        <v>241</v>
      </c>
      <c r="D27" t="s">
        <v>227</v>
      </c>
      <c r="E27" t="s">
        <v>235</v>
      </c>
      <c r="F27" t="s">
        <v>234</v>
      </c>
      <c r="G27" t="s">
        <v>230</v>
      </c>
      <c r="H27" t="s">
        <v>242</v>
      </c>
      <c r="I27" t="s">
        <v>243</v>
      </c>
      <c r="K27" t="s">
        <v>244</v>
      </c>
      <c r="AF27" t="s">
        <v>216</v>
      </c>
      <c r="AG27" t="s">
        <v>138</v>
      </c>
      <c r="AH27" t="b">
        <v>0</v>
      </c>
    </row>
    <row r="28" spans="1:34">
      <c r="A28" t="s">
        <v>216</v>
      </c>
      <c r="B28" t="s">
        <v>225</v>
      </c>
      <c r="C28" t="s">
        <v>245</v>
      </c>
      <c r="D28" t="s">
        <v>227</v>
      </c>
      <c r="E28" t="s">
        <v>246</v>
      </c>
      <c r="F28" t="s">
        <v>229</v>
      </c>
      <c r="G28" t="s">
        <v>230</v>
      </c>
      <c r="H28" t="s">
        <v>247</v>
      </c>
      <c r="I28" t="s">
        <v>248</v>
      </c>
      <c r="AF28" t="s">
        <v>216</v>
      </c>
      <c r="AG28" t="s">
        <v>138</v>
      </c>
      <c r="AH28" t="b">
        <v>0</v>
      </c>
    </row>
    <row r="29" spans="1:34">
      <c r="A29" t="s">
        <v>216</v>
      </c>
      <c r="B29" t="s">
        <v>225</v>
      </c>
      <c r="C29" t="s">
        <v>249</v>
      </c>
      <c r="D29" t="s">
        <v>227</v>
      </c>
      <c r="E29" t="s">
        <v>250</v>
      </c>
      <c r="F29" t="s">
        <v>229</v>
      </c>
      <c r="G29" t="s">
        <v>230</v>
      </c>
      <c r="H29" t="s">
        <v>251</v>
      </c>
      <c r="I29" t="s">
        <v>252</v>
      </c>
      <c r="AF29" t="s">
        <v>216</v>
      </c>
      <c r="AG29" t="s">
        <v>138</v>
      </c>
      <c r="AH29" t="b">
        <v>0</v>
      </c>
    </row>
    <row r="30" spans="1:34">
      <c r="A30" t="s">
        <v>216</v>
      </c>
      <c r="B30" t="s">
        <v>225</v>
      </c>
      <c r="C30" t="s">
        <v>253</v>
      </c>
      <c r="D30" t="s">
        <v>227</v>
      </c>
      <c r="E30" t="s">
        <v>254</v>
      </c>
      <c r="F30" t="s">
        <v>229</v>
      </c>
      <c r="G30" t="s">
        <v>230</v>
      </c>
      <c r="H30" t="s">
        <v>255</v>
      </c>
      <c r="I30" t="s">
        <v>256</v>
      </c>
      <c r="AF30" t="s">
        <v>216</v>
      </c>
      <c r="AG30" t="s">
        <v>138</v>
      </c>
      <c r="AH30" t="b">
        <v>0</v>
      </c>
    </row>
    <row r="31" spans="1:34">
      <c r="A31" t="s">
        <v>216</v>
      </c>
      <c r="B31" t="s">
        <v>225</v>
      </c>
      <c r="C31" t="s">
        <v>257</v>
      </c>
      <c r="D31" t="s">
        <v>227</v>
      </c>
      <c r="E31" t="s">
        <v>258</v>
      </c>
      <c r="F31" t="s">
        <v>229</v>
      </c>
      <c r="G31" t="s">
        <v>230</v>
      </c>
      <c r="H31" t="s">
        <v>259</v>
      </c>
      <c r="I31" t="s">
        <v>260</v>
      </c>
      <c r="AF31" t="s">
        <v>216</v>
      </c>
      <c r="AG31" t="s">
        <v>138</v>
      </c>
      <c r="AH31" t="b">
        <v>0</v>
      </c>
    </row>
    <row r="32" spans="1:34">
      <c r="A32" t="s">
        <v>216</v>
      </c>
      <c r="B32" t="s">
        <v>225</v>
      </c>
      <c r="C32" t="s">
        <v>261</v>
      </c>
      <c r="D32" t="s">
        <v>227</v>
      </c>
      <c r="E32" t="s">
        <v>262</v>
      </c>
      <c r="F32" t="s">
        <v>229</v>
      </c>
      <c r="G32" t="s">
        <v>230</v>
      </c>
      <c r="H32" t="s">
        <v>263</v>
      </c>
      <c r="I32" t="s">
        <v>264</v>
      </c>
      <c r="AF32" t="s">
        <v>216</v>
      </c>
      <c r="AG32" t="s">
        <v>138</v>
      </c>
      <c r="AH32" t="b">
        <v>0</v>
      </c>
    </row>
    <row r="33" spans="1:34">
      <c r="A33" t="s">
        <v>216</v>
      </c>
      <c r="B33" t="s">
        <v>225</v>
      </c>
      <c r="C33" t="s">
        <v>265</v>
      </c>
      <c r="D33" t="s">
        <v>227</v>
      </c>
      <c r="E33" t="s">
        <v>266</v>
      </c>
      <c r="F33" t="s">
        <v>267</v>
      </c>
      <c r="G33" t="s">
        <v>230</v>
      </c>
      <c r="H33" t="s">
        <v>268</v>
      </c>
      <c r="I33" t="s">
        <v>269</v>
      </c>
      <c r="AF33" t="s">
        <v>216</v>
      </c>
      <c r="AG33" t="s">
        <v>138</v>
      </c>
      <c r="AH33" t="b">
        <v>0</v>
      </c>
    </row>
    <row r="34" spans="1:34">
      <c r="A34" t="s">
        <v>216</v>
      </c>
      <c r="B34" t="s">
        <v>225</v>
      </c>
      <c r="C34" t="s">
        <v>270</v>
      </c>
      <c r="D34" t="s">
        <v>227</v>
      </c>
      <c r="E34" t="s">
        <v>271</v>
      </c>
      <c r="F34" t="s">
        <v>272</v>
      </c>
      <c r="G34" t="s">
        <v>230</v>
      </c>
      <c r="H34" t="s">
        <v>273</v>
      </c>
      <c r="I34" t="s">
        <v>274</v>
      </c>
      <c r="AF34" t="s">
        <v>216</v>
      </c>
      <c r="AG34" t="s">
        <v>138</v>
      </c>
      <c r="AH34" t="b">
        <v>0</v>
      </c>
    </row>
    <row r="35" spans="1:34">
      <c r="A35" t="s">
        <v>216</v>
      </c>
      <c r="B35" t="s">
        <v>225</v>
      </c>
      <c r="C35" t="s">
        <v>275</v>
      </c>
      <c r="D35" t="s">
        <v>227</v>
      </c>
      <c r="E35" t="s">
        <v>276</v>
      </c>
      <c r="F35" t="s">
        <v>272</v>
      </c>
      <c r="G35" t="s">
        <v>230</v>
      </c>
      <c r="H35" t="s">
        <v>247</v>
      </c>
      <c r="I35" t="s">
        <v>277</v>
      </c>
      <c r="AF35" t="s">
        <v>216</v>
      </c>
      <c r="AG35" t="s">
        <v>138</v>
      </c>
      <c r="AH35" t="b">
        <v>0</v>
      </c>
    </row>
    <row r="36" spans="1:34">
      <c r="A36" t="s">
        <v>216</v>
      </c>
      <c r="B36" t="s">
        <v>225</v>
      </c>
      <c r="C36" t="s">
        <v>278</v>
      </c>
      <c r="D36" t="s">
        <v>227</v>
      </c>
      <c r="E36" t="s">
        <v>279</v>
      </c>
      <c r="F36" t="s">
        <v>272</v>
      </c>
      <c r="G36" t="s">
        <v>230</v>
      </c>
      <c r="H36" t="s">
        <v>280</v>
      </c>
      <c r="I36" t="s">
        <v>281</v>
      </c>
      <c r="AF36" t="s">
        <v>216</v>
      </c>
      <c r="AG36" t="s">
        <v>138</v>
      </c>
      <c r="AH36" t="b">
        <v>0</v>
      </c>
    </row>
    <row r="37" spans="1:34">
      <c r="A37" t="s">
        <v>216</v>
      </c>
      <c r="B37" t="s">
        <v>225</v>
      </c>
      <c r="C37" t="s">
        <v>282</v>
      </c>
      <c r="D37" t="s">
        <v>227</v>
      </c>
      <c r="E37" t="s">
        <v>283</v>
      </c>
      <c r="F37" t="s">
        <v>272</v>
      </c>
      <c r="G37" t="s">
        <v>230</v>
      </c>
      <c r="H37" t="s">
        <v>284</v>
      </c>
      <c r="I37" t="s">
        <v>285</v>
      </c>
      <c r="AF37" t="s">
        <v>216</v>
      </c>
      <c r="AG37" t="s">
        <v>138</v>
      </c>
      <c r="AH37" t="b">
        <v>0</v>
      </c>
    </row>
    <row r="38" spans="1:34">
      <c r="A38" t="s">
        <v>216</v>
      </c>
      <c r="B38" t="s">
        <v>225</v>
      </c>
      <c r="C38" t="s">
        <v>286</v>
      </c>
      <c r="D38" t="s">
        <v>227</v>
      </c>
      <c r="E38" t="s">
        <v>287</v>
      </c>
      <c r="F38" t="s">
        <v>272</v>
      </c>
      <c r="G38" t="s">
        <v>230</v>
      </c>
      <c r="H38" t="s">
        <v>288</v>
      </c>
      <c r="I38" t="s">
        <v>289</v>
      </c>
      <c r="AF38" t="s">
        <v>216</v>
      </c>
      <c r="AG38" t="s">
        <v>138</v>
      </c>
      <c r="AH38" t="b">
        <v>0</v>
      </c>
    </row>
    <row r="39" spans="1:34">
      <c r="A39" t="s">
        <v>216</v>
      </c>
      <c r="B39" t="s">
        <v>225</v>
      </c>
      <c r="C39" t="s">
        <v>290</v>
      </c>
      <c r="D39" t="s">
        <v>227</v>
      </c>
      <c r="E39" t="s">
        <v>291</v>
      </c>
      <c r="F39" t="s">
        <v>272</v>
      </c>
      <c r="G39" t="s">
        <v>230</v>
      </c>
      <c r="H39" t="s">
        <v>292</v>
      </c>
      <c r="I39" t="s">
        <v>293</v>
      </c>
      <c r="AF39" t="s">
        <v>216</v>
      </c>
      <c r="AG39" t="s">
        <v>138</v>
      </c>
      <c r="AH39" t="b">
        <v>0</v>
      </c>
    </row>
    <row r="40" spans="1:34">
      <c r="A40" t="s">
        <v>216</v>
      </c>
      <c r="B40" t="s">
        <v>225</v>
      </c>
      <c r="C40" t="s">
        <v>294</v>
      </c>
      <c r="D40" t="s">
        <v>227</v>
      </c>
      <c r="E40" t="s">
        <v>295</v>
      </c>
      <c r="F40" t="s">
        <v>272</v>
      </c>
      <c r="G40" t="s">
        <v>230</v>
      </c>
      <c r="H40" t="s">
        <v>296</v>
      </c>
      <c r="I40" t="s">
        <v>297</v>
      </c>
      <c r="AF40" t="s">
        <v>216</v>
      </c>
      <c r="AG40" t="s">
        <v>138</v>
      </c>
      <c r="AH40" t="b">
        <v>0</v>
      </c>
    </row>
    <row r="41" spans="1:34">
      <c r="A41" t="s">
        <v>216</v>
      </c>
      <c r="B41" t="s">
        <v>225</v>
      </c>
      <c r="C41" t="s">
        <v>298</v>
      </c>
      <c r="D41" t="s">
        <v>227</v>
      </c>
      <c r="E41" t="s">
        <v>299</v>
      </c>
      <c r="F41" t="s">
        <v>272</v>
      </c>
      <c r="G41" t="s">
        <v>230</v>
      </c>
      <c r="H41" t="s">
        <v>300</v>
      </c>
      <c r="I41" t="s">
        <v>301</v>
      </c>
      <c r="AF41" t="s">
        <v>216</v>
      </c>
      <c r="AG41" t="s">
        <v>138</v>
      </c>
      <c r="AH41" t="b">
        <v>0</v>
      </c>
    </row>
    <row r="42" spans="1:34">
      <c r="A42" t="s">
        <v>216</v>
      </c>
      <c r="B42" t="s">
        <v>225</v>
      </c>
      <c r="C42" t="s">
        <v>302</v>
      </c>
      <c r="D42" t="s">
        <v>227</v>
      </c>
      <c r="E42" t="s">
        <v>303</v>
      </c>
      <c r="F42" t="s">
        <v>304</v>
      </c>
      <c r="G42" t="s">
        <v>230</v>
      </c>
      <c r="H42" t="s">
        <v>305</v>
      </c>
      <c r="I42" t="s">
        <v>306</v>
      </c>
      <c r="AF42" t="s">
        <v>216</v>
      </c>
      <c r="AG42" t="s">
        <v>138</v>
      </c>
      <c r="AH42" t="b">
        <v>0</v>
      </c>
    </row>
    <row r="43" spans="1:34">
      <c r="A43" t="s">
        <v>216</v>
      </c>
      <c r="B43" t="s">
        <v>225</v>
      </c>
      <c r="C43" t="s">
        <v>307</v>
      </c>
      <c r="D43" t="s">
        <v>227</v>
      </c>
      <c r="E43" t="s">
        <v>308</v>
      </c>
      <c r="F43" t="s">
        <v>304</v>
      </c>
      <c r="G43" t="s">
        <v>230</v>
      </c>
      <c r="H43" t="s">
        <v>309</v>
      </c>
      <c r="I43" t="s">
        <v>310</v>
      </c>
      <c r="AF43" t="s">
        <v>216</v>
      </c>
      <c r="AG43" t="s">
        <v>138</v>
      </c>
      <c r="AH43" t="b">
        <v>0</v>
      </c>
    </row>
    <row r="44" spans="1:34">
      <c r="A44" t="s">
        <v>216</v>
      </c>
      <c r="B44" t="s">
        <v>225</v>
      </c>
      <c r="C44" t="s">
        <v>311</v>
      </c>
      <c r="D44" t="s">
        <v>227</v>
      </c>
      <c r="E44" t="s">
        <v>312</v>
      </c>
      <c r="F44" t="s">
        <v>304</v>
      </c>
      <c r="G44" t="s">
        <v>230</v>
      </c>
      <c r="H44" t="s">
        <v>313</v>
      </c>
      <c r="I44" t="s">
        <v>314</v>
      </c>
      <c r="AF44" t="s">
        <v>216</v>
      </c>
      <c r="AG44" t="s">
        <v>138</v>
      </c>
      <c r="AH44" t="b">
        <v>0</v>
      </c>
    </row>
    <row r="45" spans="1:34">
      <c r="A45" t="s">
        <v>216</v>
      </c>
      <c r="B45" t="s">
        <v>225</v>
      </c>
      <c r="C45" t="s">
        <v>315</v>
      </c>
      <c r="D45" t="s">
        <v>227</v>
      </c>
      <c r="E45" t="s">
        <v>316</v>
      </c>
      <c r="F45" t="s">
        <v>311</v>
      </c>
      <c r="G45" t="s">
        <v>230</v>
      </c>
      <c r="H45" t="s">
        <v>317</v>
      </c>
      <c r="I45" t="s">
        <v>318</v>
      </c>
      <c r="AF45" t="s">
        <v>216</v>
      </c>
      <c r="AG45" t="s">
        <v>138</v>
      </c>
      <c r="AH45" t="b">
        <v>0</v>
      </c>
    </row>
    <row r="46" spans="1:34">
      <c r="A46" t="s">
        <v>216</v>
      </c>
      <c r="B46" t="s">
        <v>225</v>
      </c>
      <c r="C46" t="s">
        <v>319</v>
      </c>
      <c r="D46" t="s">
        <v>227</v>
      </c>
      <c r="E46" t="s">
        <v>320</v>
      </c>
      <c r="F46" t="s">
        <v>311</v>
      </c>
      <c r="G46" t="s">
        <v>230</v>
      </c>
      <c r="H46" t="s">
        <v>321</v>
      </c>
      <c r="I46" t="s">
        <v>322</v>
      </c>
      <c r="AF46" t="s">
        <v>216</v>
      </c>
      <c r="AG46" t="s">
        <v>138</v>
      </c>
      <c r="AH46" t="b">
        <v>0</v>
      </c>
    </row>
    <row r="47" spans="1:34">
      <c r="A47" t="s">
        <v>216</v>
      </c>
      <c r="B47" t="s">
        <v>225</v>
      </c>
      <c r="C47" t="s">
        <v>323</v>
      </c>
      <c r="D47" t="s">
        <v>227</v>
      </c>
      <c r="E47" t="s">
        <v>324</v>
      </c>
      <c r="F47" t="s">
        <v>304</v>
      </c>
      <c r="G47" t="s">
        <v>230</v>
      </c>
      <c r="H47" t="s">
        <v>325</v>
      </c>
      <c r="I47" t="s">
        <v>326</v>
      </c>
      <c r="AF47" t="s">
        <v>216</v>
      </c>
      <c r="AG47" t="s">
        <v>138</v>
      </c>
      <c r="AH47" t="b">
        <v>0</v>
      </c>
    </row>
    <row r="48" spans="1:34">
      <c r="A48" t="s">
        <v>216</v>
      </c>
      <c r="B48" t="s">
        <v>225</v>
      </c>
      <c r="C48" t="s">
        <v>327</v>
      </c>
      <c r="D48" t="s">
        <v>227</v>
      </c>
      <c r="E48" t="s">
        <v>328</v>
      </c>
      <c r="F48" t="s">
        <v>304</v>
      </c>
      <c r="G48" t="s">
        <v>230</v>
      </c>
      <c r="H48" t="s">
        <v>329</v>
      </c>
      <c r="I48" t="s">
        <v>330</v>
      </c>
      <c r="AF48" t="s">
        <v>216</v>
      </c>
      <c r="AG48" t="s">
        <v>138</v>
      </c>
      <c r="AH48" t="b">
        <v>0</v>
      </c>
    </row>
    <row r="49" spans="1:34">
      <c r="A49" t="s">
        <v>216</v>
      </c>
      <c r="B49" t="s">
        <v>225</v>
      </c>
      <c r="C49" t="s">
        <v>331</v>
      </c>
      <c r="D49" t="s">
        <v>227</v>
      </c>
      <c r="E49" t="s">
        <v>332</v>
      </c>
      <c r="F49" t="s">
        <v>304</v>
      </c>
      <c r="G49" t="s">
        <v>230</v>
      </c>
      <c r="H49" t="s">
        <v>280</v>
      </c>
      <c r="I49" t="s">
        <v>333</v>
      </c>
      <c r="AF49" t="s">
        <v>216</v>
      </c>
      <c r="AG49" t="s">
        <v>138</v>
      </c>
      <c r="AH49" t="b">
        <v>0</v>
      </c>
    </row>
    <row r="50" spans="1:34">
      <c r="A50" t="s">
        <v>216</v>
      </c>
      <c r="B50" t="s">
        <v>225</v>
      </c>
      <c r="C50" t="s">
        <v>334</v>
      </c>
      <c r="D50" t="s">
        <v>227</v>
      </c>
      <c r="E50" t="s">
        <v>335</v>
      </c>
      <c r="F50" t="s">
        <v>304</v>
      </c>
      <c r="G50" t="s">
        <v>230</v>
      </c>
      <c r="H50" t="s">
        <v>336</v>
      </c>
      <c r="I50" t="s">
        <v>337</v>
      </c>
      <c r="AF50" t="s">
        <v>216</v>
      </c>
      <c r="AG50" t="s">
        <v>138</v>
      </c>
      <c r="AH50" t="b">
        <v>0</v>
      </c>
    </row>
    <row r="51" spans="1:34">
      <c r="A51" t="s">
        <v>216</v>
      </c>
      <c r="B51" t="s">
        <v>225</v>
      </c>
      <c r="C51" t="s">
        <v>338</v>
      </c>
      <c r="D51" t="s">
        <v>227</v>
      </c>
      <c r="E51" t="s">
        <v>339</v>
      </c>
      <c r="F51" t="s">
        <v>304</v>
      </c>
      <c r="G51" t="s">
        <v>230</v>
      </c>
      <c r="H51" t="s">
        <v>340</v>
      </c>
      <c r="I51" t="s">
        <v>341</v>
      </c>
      <c r="AF51" t="s">
        <v>216</v>
      </c>
      <c r="AG51" t="s">
        <v>138</v>
      </c>
      <c r="AH51" t="b">
        <v>0</v>
      </c>
    </row>
    <row r="52" spans="1:34">
      <c r="A52" t="s">
        <v>216</v>
      </c>
      <c r="B52" t="s">
        <v>225</v>
      </c>
      <c r="C52" t="s">
        <v>342</v>
      </c>
      <c r="D52" t="s">
        <v>227</v>
      </c>
      <c r="E52" t="s">
        <v>343</v>
      </c>
      <c r="F52" t="s">
        <v>304</v>
      </c>
      <c r="G52" t="s">
        <v>230</v>
      </c>
      <c r="H52" t="s">
        <v>344</v>
      </c>
      <c r="I52" t="s">
        <v>345</v>
      </c>
      <c r="AF52" t="s">
        <v>216</v>
      </c>
      <c r="AG52" t="s">
        <v>138</v>
      </c>
      <c r="AH52" t="b">
        <v>0</v>
      </c>
    </row>
    <row r="53" spans="1:34">
      <c r="A53" t="s">
        <v>216</v>
      </c>
      <c r="B53" t="s">
        <v>225</v>
      </c>
      <c r="C53" t="s">
        <v>346</v>
      </c>
      <c r="D53" t="s">
        <v>227</v>
      </c>
      <c r="E53" t="s">
        <v>347</v>
      </c>
      <c r="F53" t="s">
        <v>342</v>
      </c>
      <c r="G53" t="s">
        <v>230</v>
      </c>
      <c r="H53" t="s">
        <v>231</v>
      </c>
      <c r="I53" t="s">
        <v>348</v>
      </c>
      <c r="AF53" t="s">
        <v>216</v>
      </c>
      <c r="AG53" t="s">
        <v>138</v>
      </c>
      <c r="AH53" t="b">
        <v>0</v>
      </c>
    </row>
    <row r="54" spans="1:34">
      <c r="A54" t="s">
        <v>216</v>
      </c>
      <c r="B54" t="s">
        <v>225</v>
      </c>
      <c r="C54" t="s">
        <v>349</v>
      </c>
      <c r="D54" t="s">
        <v>227</v>
      </c>
      <c r="E54" t="s">
        <v>350</v>
      </c>
      <c r="F54" t="s">
        <v>342</v>
      </c>
      <c r="G54" t="s">
        <v>230</v>
      </c>
      <c r="H54" t="s">
        <v>236</v>
      </c>
      <c r="I54" t="s">
        <v>351</v>
      </c>
      <c r="AF54" t="s">
        <v>216</v>
      </c>
      <c r="AG54" t="s">
        <v>138</v>
      </c>
      <c r="AH54" t="b">
        <v>0</v>
      </c>
    </row>
    <row r="55" spans="1:34">
      <c r="A55" t="s">
        <v>216</v>
      </c>
      <c r="B55" t="s">
        <v>225</v>
      </c>
      <c r="C55" t="s">
        <v>352</v>
      </c>
      <c r="D55" t="s">
        <v>227</v>
      </c>
      <c r="E55" t="s">
        <v>353</v>
      </c>
      <c r="F55" t="s">
        <v>342</v>
      </c>
      <c r="G55" t="s">
        <v>230</v>
      </c>
      <c r="H55" t="s">
        <v>242</v>
      </c>
      <c r="I55" t="s">
        <v>354</v>
      </c>
      <c r="AF55" t="s">
        <v>216</v>
      </c>
      <c r="AG55" t="s">
        <v>138</v>
      </c>
      <c r="AH55" t="b">
        <v>0</v>
      </c>
    </row>
    <row r="56" spans="1:34">
      <c r="A56" t="s">
        <v>216</v>
      </c>
      <c r="B56" t="s">
        <v>225</v>
      </c>
      <c r="C56" t="s">
        <v>355</v>
      </c>
      <c r="D56" t="s">
        <v>227</v>
      </c>
      <c r="E56" t="s">
        <v>356</v>
      </c>
      <c r="F56" t="s">
        <v>342</v>
      </c>
      <c r="G56" t="s">
        <v>230</v>
      </c>
      <c r="H56" t="s">
        <v>247</v>
      </c>
      <c r="I56" t="s">
        <v>357</v>
      </c>
      <c r="AF56" t="s">
        <v>216</v>
      </c>
      <c r="AG56" t="s">
        <v>138</v>
      </c>
      <c r="AH56" t="b">
        <v>0</v>
      </c>
    </row>
    <row r="57" spans="1:34">
      <c r="A57" t="s">
        <v>216</v>
      </c>
      <c r="B57" t="s">
        <v>225</v>
      </c>
      <c r="C57" t="s">
        <v>358</v>
      </c>
      <c r="D57" t="s">
        <v>227</v>
      </c>
      <c r="E57" t="s">
        <v>359</v>
      </c>
      <c r="F57" t="s">
        <v>342</v>
      </c>
      <c r="G57" t="s">
        <v>230</v>
      </c>
      <c r="H57" t="s">
        <v>360</v>
      </c>
      <c r="I57" t="s">
        <v>361</v>
      </c>
      <c r="AF57" t="s">
        <v>216</v>
      </c>
      <c r="AG57" t="s">
        <v>138</v>
      </c>
      <c r="AH57" t="b">
        <v>0</v>
      </c>
    </row>
    <row r="58" spans="1:34">
      <c r="A58" t="s">
        <v>216</v>
      </c>
      <c r="B58" t="s">
        <v>225</v>
      </c>
      <c r="C58" t="s">
        <v>362</v>
      </c>
      <c r="D58" t="s">
        <v>227</v>
      </c>
      <c r="E58" t="s">
        <v>363</v>
      </c>
      <c r="F58" t="s">
        <v>342</v>
      </c>
      <c r="G58" t="s">
        <v>230</v>
      </c>
      <c r="H58" t="s">
        <v>255</v>
      </c>
      <c r="I58" t="s">
        <v>364</v>
      </c>
      <c r="AF58" t="s">
        <v>216</v>
      </c>
      <c r="AG58" t="s">
        <v>138</v>
      </c>
      <c r="AH58" t="b">
        <v>0</v>
      </c>
    </row>
    <row r="59" spans="1:34">
      <c r="A59" t="s">
        <v>216</v>
      </c>
      <c r="B59" t="s">
        <v>225</v>
      </c>
      <c r="C59" t="s">
        <v>365</v>
      </c>
      <c r="D59" t="s">
        <v>227</v>
      </c>
      <c r="E59" t="s">
        <v>366</v>
      </c>
      <c r="F59" t="s">
        <v>342</v>
      </c>
      <c r="G59" t="s">
        <v>230</v>
      </c>
      <c r="H59" t="s">
        <v>259</v>
      </c>
      <c r="I59" t="s">
        <v>367</v>
      </c>
      <c r="AF59" t="s">
        <v>216</v>
      </c>
      <c r="AG59" t="s">
        <v>138</v>
      </c>
      <c r="AH59" t="b">
        <v>0</v>
      </c>
    </row>
    <row r="60" spans="1:34">
      <c r="A60" t="s">
        <v>216</v>
      </c>
      <c r="B60" t="s">
        <v>225</v>
      </c>
      <c r="C60" t="s">
        <v>368</v>
      </c>
      <c r="D60" t="s">
        <v>227</v>
      </c>
      <c r="E60" t="s">
        <v>369</v>
      </c>
      <c r="F60" t="s">
        <v>342</v>
      </c>
      <c r="G60" t="s">
        <v>230</v>
      </c>
      <c r="H60" t="s">
        <v>263</v>
      </c>
      <c r="I60" t="s">
        <v>370</v>
      </c>
      <c r="AF60" t="s">
        <v>216</v>
      </c>
      <c r="AG60" t="s">
        <v>138</v>
      </c>
      <c r="AH60" t="b">
        <v>0</v>
      </c>
    </row>
    <row r="61" spans="1:34">
      <c r="A61" t="s">
        <v>216</v>
      </c>
      <c r="B61" t="s">
        <v>225</v>
      </c>
      <c r="C61" t="s">
        <v>371</v>
      </c>
      <c r="D61" t="s">
        <v>227</v>
      </c>
      <c r="E61" t="s">
        <v>372</v>
      </c>
      <c r="F61" t="s">
        <v>342</v>
      </c>
      <c r="G61" t="s">
        <v>230</v>
      </c>
      <c r="H61" t="s">
        <v>373</v>
      </c>
      <c r="I61" t="s">
        <v>374</v>
      </c>
      <c r="AF61" t="s">
        <v>216</v>
      </c>
      <c r="AG61" t="s">
        <v>138</v>
      </c>
      <c r="AH61" t="b">
        <v>0</v>
      </c>
    </row>
    <row r="62" spans="1:34">
      <c r="A62" t="s">
        <v>216</v>
      </c>
      <c r="B62" t="s">
        <v>225</v>
      </c>
      <c r="C62" t="s">
        <v>375</v>
      </c>
      <c r="D62" t="s">
        <v>227</v>
      </c>
      <c r="E62" t="s">
        <v>376</v>
      </c>
      <c r="F62" t="s">
        <v>304</v>
      </c>
      <c r="G62" t="s">
        <v>230</v>
      </c>
      <c r="H62" t="s">
        <v>377</v>
      </c>
      <c r="I62" t="s">
        <v>378</v>
      </c>
      <c r="AF62" t="s">
        <v>216</v>
      </c>
      <c r="AG62" t="s">
        <v>138</v>
      </c>
      <c r="AH62" t="b">
        <v>0</v>
      </c>
    </row>
    <row r="63" spans="1:34">
      <c r="A63" t="s">
        <v>216</v>
      </c>
      <c r="B63" t="s">
        <v>225</v>
      </c>
      <c r="C63" t="s">
        <v>379</v>
      </c>
      <c r="D63" t="s">
        <v>227</v>
      </c>
      <c r="E63" t="s">
        <v>380</v>
      </c>
      <c r="F63" t="s">
        <v>304</v>
      </c>
      <c r="G63" t="s">
        <v>230</v>
      </c>
      <c r="H63" t="s">
        <v>381</v>
      </c>
      <c r="I63" t="s">
        <v>382</v>
      </c>
      <c r="AF63" t="s">
        <v>216</v>
      </c>
      <c r="AG63" t="s">
        <v>138</v>
      </c>
      <c r="AH63" t="b">
        <v>0</v>
      </c>
    </row>
    <row r="64" spans="1:34">
      <c r="A64" t="s">
        <v>216</v>
      </c>
      <c r="B64" t="s">
        <v>225</v>
      </c>
      <c r="C64" t="s">
        <v>383</v>
      </c>
      <c r="D64" t="s">
        <v>227</v>
      </c>
      <c r="E64" t="s">
        <v>384</v>
      </c>
      <c r="F64" t="s">
        <v>304</v>
      </c>
      <c r="G64" t="s">
        <v>230</v>
      </c>
      <c r="H64" t="s">
        <v>385</v>
      </c>
      <c r="I64" t="s">
        <v>386</v>
      </c>
      <c r="AF64" t="s">
        <v>216</v>
      </c>
      <c r="AG64" t="s">
        <v>138</v>
      </c>
      <c r="AH64" t="b">
        <v>0</v>
      </c>
    </row>
    <row r="65" spans="1:34">
      <c r="A65" t="s">
        <v>216</v>
      </c>
      <c r="B65" t="s">
        <v>225</v>
      </c>
      <c r="C65" t="s">
        <v>387</v>
      </c>
      <c r="D65" t="s">
        <v>227</v>
      </c>
      <c r="E65" t="s">
        <v>388</v>
      </c>
      <c r="F65" t="s">
        <v>304</v>
      </c>
      <c r="G65" t="s">
        <v>230</v>
      </c>
      <c r="H65" t="s">
        <v>373</v>
      </c>
      <c r="I65" t="s">
        <v>389</v>
      </c>
      <c r="AF65" t="s">
        <v>216</v>
      </c>
      <c r="AG65" t="s">
        <v>138</v>
      </c>
      <c r="AH65" t="b">
        <v>0</v>
      </c>
    </row>
    <row r="66" spans="1:34">
      <c r="A66" t="s">
        <v>216</v>
      </c>
      <c r="B66" t="s">
        <v>225</v>
      </c>
      <c r="C66" t="s">
        <v>390</v>
      </c>
      <c r="D66" t="s">
        <v>391</v>
      </c>
      <c r="E66" t="s">
        <v>392</v>
      </c>
      <c r="F66" t="s">
        <v>393</v>
      </c>
      <c r="G66" t="s">
        <v>230</v>
      </c>
      <c r="H66" t="s">
        <v>394</v>
      </c>
      <c r="I66" t="s">
        <v>395</v>
      </c>
      <c r="AF66" t="s">
        <v>216</v>
      </c>
      <c r="AG66" t="s">
        <v>138</v>
      </c>
      <c r="AH66" t="b">
        <v>0</v>
      </c>
    </row>
    <row r="67" spans="1:34">
      <c r="A67" t="s">
        <v>216</v>
      </c>
      <c r="B67" t="s">
        <v>225</v>
      </c>
      <c r="C67" t="s">
        <v>396</v>
      </c>
      <c r="D67" t="s">
        <v>397</v>
      </c>
      <c r="E67" t="s">
        <v>398</v>
      </c>
      <c r="F67" t="s">
        <v>393</v>
      </c>
      <c r="G67" t="s">
        <v>230</v>
      </c>
      <c r="I67" t="s">
        <v>399</v>
      </c>
      <c r="AF67" t="s">
        <v>216</v>
      </c>
      <c r="AG67" t="s">
        <v>138</v>
      </c>
      <c r="AH67" t="b">
        <v>0</v>
      </c>
    </row>
    <row r="68" spans="1:34">
      <c r="A68" t="s">
        <v>216</v>
      </c>
      <c r="B68" t="s">
        <v>225</v>
      </c>
      <c r="C68" t="s">
        <v>400</v>
      </c>
      <c r="D68" t="s">
        <v>401</v>
      </c>
      <c r="E68" t="s">
        <v>402</v>
      </c>
      <c r="F68" t="s">
        <v>393</v>
      </c>
      <c r="G68" t="s">
        <v>230</v>
      </c>
      <c r="H68" t="s">
        <v>403</v>
      </c>
      <c r="I68" t="s">
        <v>404</v>
      </c>
      <c r="AF68" t="s">
        <v>216</v>
      </c>
      <c r="AG68" t="s">
        <v>138</v>
      </c>
      <c r="AH68" t="b">
        <v>0</v>
      </c>
    </row>
    <row r="69" spans="1:34">
      <c r="A69" t="s">
        <v>216</v>
      </c>
      <c r="B69" t="s">
        <v>225</v>
      </c>
      <c r="C69" t="s">
        <v>405</v>
      </c>
      <c r="D69" t="s">
        <v>227</v>
      </c>
      <c r="E69" t="s">
        <v>406</v>
      </c>
      <c r="F69" t="s">
        <v>307</v>
      </c>
      <c r="G69" t="s">
        <v>230</v>
      </c>
      <c r="H69" t="s">
        <v>407</v>
      </c>
      <c r="I69" t="s">
        <v>408</v>
      </c>
      <c r="AF69" t="s">
        <v>216</v>
      </c>
      <c r="AG69" t="s">
        <v>138</v>
      </c>
      <c r="AH69" t="b">
        <v>0</v>
      </c>
    </row>
    <row r="70" spans="1:34">
      <c r="A70" t="s">
        <v>216</v>
      </c>
      <c r="B70" t="s">
        <v>225</v>
      </c>
      <c r="C70" t="s">
        <v>409</v>
      </c>
      <c r="D70" t="s">
        <v>227</v>
      </c>
      <c r="E70" t="s">
        <v>410</v>
      </c>
      <c r="F70" t="s">
        <v>411</v>
      </c>
      <c r="G70" t="s">
        <v>230</v>
      </c>
      <c r="H70" t="s">
        <v>412</v>
      </c>
      <c r="I70" t="s">
        <v>413</v>
      </c>
      <c r="AF70" t="s">
        <v>216</v>
      </c>
      <c r="AG70" t="s">
        <v>138</v>
      </c>
      <c r="AH70" t="b">
        <v>0</v>
      </c>
    </row>
    <row r="71" spans="1:34">
      <c r="A71" t="s">
        <v>216</v>
      </c>
      <c r="B71" t="s">
        <v>225</v>
      </c>
      <c r="C71" t="s">
        <v>414</v>
      </c>
      <c r="D71" t="s">
        <v>227</v>
      </c>
      <c r="E71" t="s">
        <v>415</v>
      </c>
      <c r="F71" t="s">
        <v>416</v>
      </c>
      <c r="G71" t="s">
        <v>230</v>
      </c>
      <c r="H71" t="s">
        <v>417</v>
      </c>
      <c r="I71" t="s">
        <v>418</v>
      </c>
      <c r="AF71" t="s">
        <v>216</v>
      </c>
      <c r="AG71" t="s">
        <v>138</v>
      </c>
      <c r="AH71" t="b">
        <v>0</v>
      </c>
    </row>
    <row r="72" spans="1:34">
      <c r="A72" t="s">
        <v>216</v>
      </c>
      <c r="B72" t="s">
        <v>225</v>
      </c>
      <c r="C72" t="s">
        <v>419</v>
      </c>
      <c r="D72" t="s">
        <v>227</v>
      </c>
      <c r="E72" t="s">
        <v>420</v>
      </c>
      <c r="F72" t="s">
        <v>421</v>
      </c>
      <c r="G72" t="s">
        <v>230</v>
      </c>
      <c r="H72" t="s">
        <v>422</v>
      </c>
      <c r="I72" t="s">
        <v>423</v>
      </c>
      <c r="AF72" t="s">
        <v>216</v>
      </c>
      <c r="AG72" t="s">
        <v>138</v>
      </c>
      <c r="AH72" t="b">
        <v>0</v>
      </c>
    </row>
    <row r="73" spans="1:34">
      <c r="A73" t="s">
        <v>216</v>
      </c>
      <c r="B73" t="s">
        <v>225</v>
      </c>
      <c r="C73" t="s">
        <v>424</v>
      </c>
      <c r="D73" t="s">
        <v>425</v>
      </c>
      <c r="E73" t="s">
        <v>426</v>
      </c>
      <c r="F73" t="s">
        <v>393</v>
      </c>
      <c r="G73" t="s">
        <v>230</v>
      </c>
      <c r="H73" t="s">
        <v>427</v>
      </c>
      <c r="I73" t="s">
        <v>428</v>
      </c>
      <c r="AF73" t="s">
        <v>216</v>
      </c>
      <c r="AG73" t="s">
        <v>138</v>
      </c>
      <c r="AH73" t="b">
        <v>0</v>
      </c>
    </row>
    <row r="74" spans="1:34">
      <c r="A74" t="s">
        <v>216</v>
      </c>
      <c r="B74" t="s">
        <v>225</v>
      </c>
      <c r="C74" t="s">
        <v>429</v>
      </c>
      <c r="D74" t="s">
        <v>227</v>
      </c>
      <c r="E74" t="s">
        <v>235</v>
      </c>
      <c r="F74" t="s">
        <v>234</v>
      </c>
      <c r="G74" t="s">
        <v>230</v>
      </c>
      <c r="H74" t="s">
        <v>430</v>
      </c>
      <c r="I74" t="s">
        <v>431</v>
      </c>
      <c r="AF74" t="s">
        <v>216</v>
      </c>
      <c r="AG74" t="s">
        <v>138</v>
      </c>
      <c r="AH74" t="b">
        <v>0</v>
      </c>
    </row>
    <row r="75" spans="1:34">
      <c r="A75" t="s">
        <v>216</v>
      </c>
      <c r="B75" t="s">
        <v>225</v>
      </c>
      <c r="C75" t="s">
        <v>432</v>
      </c>
      <c r="D75" t="s">
        <v>227</v>
      </c>
      <c r="E75" t="s">
        <v>235</v>
      </c>
      <c r="F75" t="s">
        <v>234</v>
      </c>
      <c r="G75" t="s">
        <v>230</v>
      </c>
      <c r="H75" t="s">
        <v>433</v>
      </c>
      <c r="I75" t="s">
        <v>434</v>
      </c>
      <c r="AF75" t="s">
        <v>216</v>
      </c>
      <c r="AG75" t="s">
        <v>138</v>
      </c>
      <c r="AH75" t="b">
        <v>0</v>
      </c>
    </row>
    <row r="76" spans="1:34">
      <c r="A76" t="s">
        <v>216</v>
      </c>
      <c r="B76" t="s">
        <v>225</v>
      </c>
      <c r="C76" t="s">
        <v>435</v>
      </c>
      <c r="D76" t="s">
        <v>227</v>
      </c>
      <c r="E76" t="s">
        <v>235</v>
      </c>
      <c r="F76" t="s">
        <v>234</v>
      </c>
      <c r="G76" t="s">
        <v>230</v>
      </c>
      <c r="H76" t="s">
        <v>436</v>
      </c>
      <c r="I76" t="s">
        <v>437</v>
      </c>
      <c r="AF76" t="s">
        <v>216</v>
      </c>
      <c r="AG76" t="s">
        <v>138</v>
      </c>
      <c r="AH76" t="b">
        <v>0</v>
      </c>
    </row>
    <row r="77" spans="1:34">
      <c r="A77" t="s">
        <v>216</v>
      </c>
      <c r="B77" t="s">
        <v>225</v>
      </c>
      <c r="C77" t="s">
        <v>438</v>
      </c>
      <c r="D77" t="s">
        <v>227</v>
      </c>
      <c r="E77" t="s">
        <v>439</v>
      </c>
      <c r="F77" t="s">
        <v>416</v>
      </c>
      <c r="G77" t="s">
        <v>230</v>
      </c>
      <c r="H77" t="s">
        <v>440</v>
      </c>
      <c r="I77" t="s">
        <v>441</v>
      </c>
      <c r="AF77" t="s">
        <v>216</v>
      </c>
      <c r="AG77" t="s">
        <v>138</v>
      </c>
      <c r="AH77" t="b">
        <v>0</v>
      </c>
    </row>
    <row r="78" spans="1:34">
      <c r="A78" t="s">
        <v>216</v>
      </c>
      <c r="B78" t="s">
        <v>225</v>
      </c>
      <c r="C78" t="s">
        <v>442</v>
      </c>
      <c r="D78" t="s">
        <v>227</v>
      </c>
      <c r="E78" t="s">
        <v>443</v>
      </c>
      <c r="F78" t="s">
        <v>229</v>
      </c>
      <c r="G78" t="s">
        <v>230</v>
      </c>
      <c r="H78" t="s">
        <v>373</v>
      </c>
      <c r="I78" t="s">
        <v>444</v>
      </c>
      <c r="AF78" t="s">
        <v>216</v>
      </c>
      <c r="AG78" t="s">
        <v>138</v>
      </c>
      <c r="AH78" t="b">
        <v>0</v>
      </c>
    </row>
    <row r="79" spans="1:34">
      <c r="A79" t="s">
        <v>216</v>
      </c>
      <c r="B79" t="s">
        <v>225</v>
      </c>
      <c r="C79" t="s">
        <v>445</v>
      </c>
      <c r="D79" t="s">
        <v>446</v>
      </c>
      <c r="E79" t="s">
        <v>447</v>
      </c>
      <c r="F79" t="s">
        <v>393</v>
      </c>
      <c r="G79" t="s">
        <v>230</v>
      </c>
      <c r="H79" t="s">
        <v>448</v>
      </c>
      <c r="I79" t="s">
        <v>449</v>
      </c>
      <c r="AF79" t="s">
        <v>216</v>
      </c>
      <c r="AG79" t="s">
        <v>138</v>
      </c>
      <c r="AH79" t="b">
        <v>0</v>
      </c>
    </row>
    <row r="80" spans="1:34">
      <c r="A80" t="s">
        <v>216</v>
      </c>
      <c r="B80" t="s">
        <v>225</v>
      </c>
      <c r="C80" t="s">
        <v>450</v>
      </c>
      <c r="D80" t="s">
        <v>227</v>
      </c>
      <c r="E80" t="s">
        <v>235</v>
      </c>
      <c r="F80" t="s">
        <v>234</v>
      </c>
      <c r="G80" t="s">
        <v>230</v>
      </c>
      <c r="H80" t="s">
        <v>451</v>
      </c>
      <c r="I80" t="s">
        <v>452</v>
      </c>
      <c r="AF80" t="s">
        <v>216</v>
      </c>
      <c r="AG80" t="s">
        <v>138</v>
      </c>
      <c r="AH80" t="b">
        <v>0</v>
      </c>
    </row>
    <row r="81" spans="1:34">
      <c r="A81" t="s">
        <v>216</v>
      </c>
      <c r="B81" t="s">
        <v>225</v>
      </c>
      <c r="C81" t="s">
        <v>453</v>
      </c>
      <c r="D81" t="s">
        <v>227</v>
      </c>
      <c r="E81" t="s">
        <v>235</v>
      </c>
      <c r="F81" t="s">
        <v>234</v>
      </c>
      <c r="G81" t="s">
        <v>230</v>
      </c>
      <c r="H81" t="s">
        <v>454</v>
      </c>
      <c r="I81" t="s">
        <v>455</v>
      </c>
      <c r="AF81" t="s">
        <v>216</v>
      </c>
      <c r="AG81" t="s">
        <v>138</v>
      </c>
      <c r="AH81" t="b">
        <v>0</v>
      </c>
    </row>
    <row r="82" spans="1:34">
      <c r="A82" t="s">
        <v>216</v>
      </c>
      <c r="B82" t="s">
        <v>225</v>
      </c>
      <c r="C82" t="s">
        <v>456</v>
      </c>
      <c r="D82" t="s">
        <v>457</v>
      </c>
      <c r="E82" t="s">
        <v>458</v>
      </c>
      <c r="F82" t="s">
        <v>393</v>
      </c>
      <c r="G82" t="s">
        <v>230</v>
      </c>
      <c r="H82" t="s">
        <v>459</v>
      </c>
      <c r="I82" t="s">
        <v>460</v>
      </c>
      <c r="AF82" t="s">
        <v>216</v>
      </c>
      <c r="AG82" t="s">
        <v>138</v>
      </c>
      <c r="AH82" t="b">
        <v>0</v>
      </c>
    </row>
    <row r="83" spans="1:34">
      <c r="A83" t="s">
        <v>216</v>
      </c>
      <c r="B83" t="s">
        <v>225</v>
      </c>
      <c r="C83" t="s">
        <v>461</v>
      </c>
      <c r="D83" t="s">
        <v>227</v>
      </c>
      <c r="E83" t="s">
        <v>462</v>
      </c>
      <c r="F83" t="s">
        <v>304</v>
      </c>
      <c r="G83" t="s">
        <v>230</v>
      </c>
      <c r="H83" t="s">
        <v>463</v>
      </c>
      <c r="I83" t="s">
        <v>464</v>
      </c>
      <c r="AF83" t="s">
        <v>216</v>
      </c>
      <c r="AG83" t="s">
        <v>138</v>
      </c>
      <c r="AH83" t="b">
        <v>0</v>
      </c>
    </row>
    <row r="84" spans="1:34">
      <c r="A84" t="s">
        <v>216</v>
      </c>
      <c r="B84" t="s">
        <v>225</v>
      </c>
      <c r="C84" t="s">
        <v>465</v>
      </c>
      <c r="D84" t="s">
        <v>227</v>
      </c>
      <c r="E84" t="s">
        <v>466</v>
      </c>
      <c r="F84" t="s">
        <v>272</v>
      </c>
      <c r="G84" t="s">
        <v>230</v>
      </c>
      <c r="H84" t="s">
        <v>467</v>
      </c>
      <c r="I84" t="s">
        <v>468</v>
      </c>
      <c r="AF84" t="s">
        <v>216</v>
      </c>
      <c r="AG84" t="s">
        <v>138</v>
      </c>
      <c r="AH84" t="b">
        <v>0</v>
      </c>
    </row>
    <row r="85" spans="1:34">
      <c r="A85" t="s">
        <v>216</v>
      </c>
      <c r="B85" t="s">
        <v>225</v>
      </c>
      <c r="C85" t="s">
        <v>469</v>
      </c>
      <c r="D85" t="s">
        <v>227</v>
      </c>
      <c r="E85" t="s">
        <v>470</v>
      </c>
      <c r="F85" t="s">
        <v>267</v>
      </c>
      <c r="G85" t="s">
        <v>230</v>
      </c>
      <c r="H85" t="s">
        <v>471</v>
      </c>
      <c r="I85" t="s">
        <v>472</v>
      </c>
      <c r="AF85" t="s">
        <v>216</v>
      </c>
      <c r="AG85" t="s">
        <v>138</v>
      </c>
      <c r="AH85" t="b">
        <v>0</v>
      </c>
    </row>
    <row r="86" spans="1:34">
      <c r="A86" t="s">
        <v>216</v>
      </c>
      <c r="B86" t="s">
        <v>225</v>
      </c>
      <c r="C86" t="s">
        <v>473</v>
      </c>
      <c r="D86" t="s">
        <v>227</v>
      </c>
      <c r="E86" t="s">
        <v>474</v>
      </c>
      <c r="F86" t="s">
        <v>475</v>
      </c>
      <c r="G86" t="s">
        <v>230</v>
      </c>
      <c r="H86" t="s">
        <v>476</v>
      </c>
      <c r="I86" t="s">
        <v>477</v>
      </c>
      <c r="AF86" t="s">
        <v>216</v>
      </c>
      <c r="AG86" t="s">
        <v>138</v>
      </c>
      <c r="AH86" t="b">
        <v>0</v>
      </c>
    </row>
    <row r="87" spans="1:34">
      <c r="A87" t="s">
        <v>216</v>
      </c>
      <c r="B87" t="s">
        <v>225</v>
      </c>
      <c r="C87" t="s">
        <v>478</v>
      </c>
      <c r="D87" t="s">
        <v>227</v>
      </c>
      <c r="E87" t="s">
        <v>479</v>
      </c>
      <c r="F87" t="s">
        <v>475</v>
      </c>
      <c r="G87" t="s">
        <v>230</v>
      </c>
      <c r="H87" t="s">
        <v>480</v>
      </c>
      <c r="I87" t="s">
        <v>481</v>
      </c>
      <c r="AF87" t="s">
        <v>216</v>
      </c>
      <c r="AG87" t="s">
        <v>138</v>
      </c>
      <c r="AH87" t="b">
        <v>0</v>
      </c>
    </row>
    <row r="88" spans="1:34">
      <c r="A88" t="s">
        <v>216</v>
      </c>
      <c r="B88" t="s">
        <v>225</v>
      </c>
      <c r="C88" t="s">
        <v>482</v>
      </c>
      <c r="D88" t="s">
        <v>227</v>
      </c>
      <c r="E88" t="s">
        <v>483</v>
      </c>
      <c r="F88" t="s">
        <v>349</v>
      </c>
      <c r="G88" t="s">
        <v>230</v>
      </c>
      <c r="H88" t="s">
        <v>430</v>
      </c>
      <c r="I88" t="s">
        <v>484</v>
      </c>
      <c r="AF88" t="s">
        <v>216</v>
      </c>
      <c r="AG88" t="s">
        <v>138</v>
      </c>
      <c r="AH88" t="b">
        <v>0</v>
      </c>
    </row>
    <row r="89" spans="1:34">
      <c r="A89" t="s">
        <v>216</v>
      </c>
      <c r="B89" t="s">
        <v>225</v>
      </c>
      <c r="C89" t="s">
        <v>485</v>
      </c>
      <c r="D89" t="s">
        <v>227</v>
      </c>
      <c r="E89" t="s">
        <v>486</v>
      </c>
      <c r="F89" t="s">
        <v>349</v>
      </c>
      <c r="G89" t="s">
        <v>230</v>
      </c>
      <c r="H89" t="s">
        <v>433</v>
      </c>
      <c r="I89" t="s">
        <v>487</v>
      </c>
      <c r="AF89" t="s">
        <v>216</v>
      </c>
      <c r="AG89" t="s">
        <v>138</v>
      </c>
      <c r="AH89" t="b">
        <v>0</v>
      </c>
    </row>
    <row r="90" spans="1:34">
      <c r="A90" t="s">
        <v>216</v>
      </c>
      <c r="B90" t="s">
        <v>225</v>
      </c>
      <c r="C90" t="s">
        <v>488</v>
      </c>
      <c r="D90" t="s">
        <v>227</v>
      </c>
      <c r="E90" t="s">
        <v>489</v>
      </c>
      <c r="F90" t="s">
        <v>349</v>
      </c>
      <c r="G90" t="s">
        <v>230</v>
      </c>
      <c r="H90" t="s">
        <v>490</v>
      </c>
      <c r="I90" t="s">
        <v>491</v>
      </c>
      <c r="AF90" t="s">
        <v>216</v>
      </c>
      <c r="AG90" t="s">
        <v>138</v>
      </c>
      <c r="AH90" t="b">
        <v>0</v>
      </c>
    </row>
    <row r="91" spans="1:34">
      <c r="A91" t="s">
        <v>216</v>
      </c>
      <c r="B91" t="s">
        <v>225</v>
      </c>
      <c r="C91" t="s">
        <v>492</v>
      </c>
      <c r="D91" t="s">
        <v>227</v>
      </c>
      <c r="E91" t="s">
        <v>493</v>
      </c>
      <c r="F91" t="s">
        <v>349</v>
      </c>
      <c r="G91" t="s">
        <v>230</v>
      </c>
      <c r="H91" t="s">
        <v>494</v>
      </c>
      <c r="I91" t="s">
        <v>495</v>
      </c>
      <c r="AF91" t="s">
        <v>216</v>
      </c>
      <c r="AG91" t="s">
        <v>138</v>
      </c>
      <c r="AH91" t="b">
        <v>0</v>
      </c>
    </row>
    <row r="92" spans="1:34">
      <c r="A92" t="s">
        <v>216</v>
      </c>
      <c r="B92" t="s">
        <v>225</v>
      </c>
      <c r="C92" t="s">
        <v>496</v>
      </c>
      <c r="D92" t="s">
        <v>227</v>
      </c>
      <c r="E92" t="s">
        <v>497</v>
      </c>
      <c r="F92" t="s">
        <v>349</v>
      </c>
      <c r="G92" t="s">
        <v>230</v>
      </c>
      <c r="H92" t="s">
        <v>436</v>
      </c>
      <c r="I92" t="s">
        <v>498</v>
      </c>
      <c r="AF92" t="s">
        <v>216</v>
      </c>
      <c r="AG92" t="s">
        <v>138</v>
      </c>
      <c r="AH92" t="b">
        <v>0</v>
      </c>
    </row>
    <row r="93" spans="1:34">
      <c r="A93" t="s">
        <v>216</v>
      </c>
      <c r="B93" t="s">
        <v>225</v>
      </c>
      <c r="C93" t="s">
        <v>499</v>
      </c>
      <c r="D93" t="s">
        <v>227</v>
      </c>
      <c r="E93" t="s">
        <v>500</v>
      </c>
      <c r="F93" t="s">
        <v>349</v>
      </c>
      <c r="G93" t="s">
        <v>230</v>
      </c>
      <c r="H93" t="s">
        <v>451</v>
      </c>
      <c r="I93" t="s">
        <v>501</v>
      </c>
      <c r="AF93" t="s">
        <v>216</v>
      </c>
      <c r="AG93" t="s">
        <v>138</v>
      </c>
      <c r="AH93" t="b">
        <v>0</v>
      </c>
    </row>
    <row r="94" spans="1:34">
      <c r="A94" t="s">
        <v>216</v>
      </c>
      <c r="B94" t="s">
        <v>225</v>
      </c>
      <c r="C94" t="s">
        <v>502</v>
      </c>
      <c r="D94" t="s">
        <v>227</v>
      </c>
      <c r="E94" t="s">
        <v>503</v>
      </c>
      <c r="F94" t="s">
        <v>349</v>
      </c>
      <c r="G94" t="s">
        <v>230</v>
      </c>
      <c r="H94" t="s">
        <v>504</v>
      </c>
      <c r="I94" t="s">
        <v>505</v>
      </c>
      <c r="AF94" t="s">
        <v>216</v>
      </c>
      <c r="AG94" t="s">
        <v>138</v>
      </c>
      <c r="AH94" t="b">
        <v>0</v>
      </c>
    </row>
    <row r="95" spans="1:34">
      <c r="A95" t="s">
        <v>216</v>
      </c>
      <c r="B95" t="s">
        <v>225</v>
      </c>
      <c r="C95" t="s">
        <v>506</v>
      </c>
      <c r="D95" t="s">
        <v>227</v>
      </c>
      <c r="E95" t="s">
        <v>507</v>
      </c>
      <c r="F95" t="s">
        <v>508</v>
      </c>
      <c r="G95" t="s">
        <v>230</v>
      </c>
      <c r="H95" t="s">
        <v>509</v>
      </c>
      <c r="I95" t="s">
        <v>510</v>
      </c>
      <c r="AF95" t="s">
        <v>216</v>
      </c>
      <c r="AG95" t="s">
        <v>138</v>
      </c>
      <c r="AH95" t="b">
        <v>0</v>
      </c>
    </row>
    <row r="96" spans="1:34">
      <c r="A96" t="s">
        <v>216</v>
      </c>
      <c r="B96" t="s">
        <v>225</v>
      </c>
      <c r="C96" t="s">
        <v>511</v>
      </c>
      <c r="D96" t="s">
        <v>227</v>
      </c>
      <c r="E96" t="s">
        <v>512</v>
      </c>
      <c r="F96" t="s">
        <v>508</v>
      </c>
      <c r="G96" t="s">
        <v>230</v>
      </c>
      <c r="H96" t="s">
        <v>513</v>
      </c>
      <c r="I96" t="s">
        <v>514</v>
      </c>
      <c r="AF96" t="s">
        <v>216</v>
      </c>
      <c r="AG96" t="s">
        <v>138</v>
      </c>
      <c r="AH96" t="b">
        <v>0</v>
      </c>
    </row>
    <row r="97" spans="1:34">
      <c r="A97" t="s">
        <v>216</v>
      </c>
      <c r="B97" t="s">
        <v>225</v>
      </c>
      <c r="C97" t="s">
        <v>515</v>
      </c>
      <c r="D97" t="s">
        <v>516</v>
      </c>
      <c r="E97" t="s">
        <v>517</v>
      </c>
      <c r="F97" t="s">
        <v>393</v>
      </c>
      <c r="G97" t="s">
        <v>230</v>
      </c>
      <c r="H97" t="s">
        <v>518</v>
      </c>
      <c r="I97" t="s">
        <v>519</v>
      </c>
      <c r="AF97" t="s">
        <v>216</v>
      </c>
      <c r="AG97" t="s">
        <v>138</v>
      </c>
      <c r="AH97" t="b">
        <v>0</v>
      </c>
    </row>
    <row r="98" spans="1:34">
      <c r="A98" t="s">
        <v>216</v>
      </c>
      <c r="B98" t="s">
        <v>225</v>
      </c>
      <c r="C98" t="s">
        <v>520</v>
      </c>
      <c r="D98" t="s">
        <v>227</v>
      </c>
      <c r="E98" t="s">
        <v>521</v>
      </c>
      <c r="F98" t="s">
        <v>393</v>
      </c>
      <c r="G98" t="s">
        <v>230</v>
      </c>
      <c r="H98" t="s">
        <v>520</v>
      </c>
      <c r="I98" t="s">
        <v>522</v>
      </c>
      <c r="AF98" t="s">
        <v>216</v>
      </c>
      <c r="AG98" t="s">
        <v>138</v>
      </c>
      <c r="AH98" t="b">
        <v>0</v>
      </c>
    </row>
    <row r="99" spans="1:34">
      <c r="A99" t="s">
        <v>216</v>
      </c>
      <c r="B99" t="s">
        <v>225</v>
      </c>
      <c r="C99" t="s">
        <v>523</v>
      </c>
      <c r="D99" t="s">
        <v>227</v>
      </c>
      <c r="E99" t="s">
        <v>524</v>
      </c>
      <c r="F99" t="s">
        <v>520</v>
      </c>
      <c r="G99" t="s">
        <v>230</v>
      </c>
      <c r="H99" t="s">
        <v>525</v>
      </c>
      <c r="I99" t="s">
        <v>526</v>
      </c>
      <c r="AF99" t="s">
        <v>216</v>
      </c>
      <c r="AG99" t="s">
        <v>138</v>
      </c>
      <c r="AH99" t="b">
        <v>0</v>
      </c>
    </row>
    <row r="100" spans="1:34">
      <c r="A100" t="s">
        <v>216</v>
      </c>
      <c r="B100" t="s">
        <v>225</v>
      </c>
      <c r="C100" t="s">
        <v>527</v>
      </c>
      <c r="D100" t="s">
        <v>227</v>
      </c>
      <c r="E100" t="s">
        <v>528</v>
      </c>
      <c r="F100" t="s">
        <v>520</v>
      </c>
      <c r="G100" t="s">
        <v>230</v>
      </c>
      <c r="H100" t="s">
        <v>273</v>
      </c>
      <c r="I100" t="s">
        <v>529</v>
      </c>
      <c r="AF100" t="s">
        <v>216</v>
      </c>
      <c r="AG100" t="s">
        <v>138</v>
      </c>
      <c r="AH100" t="b">
        <v>0</v>
      </c>
    </row>
    <row r="101" spans="1:34">
      <c r="A101" t="s">
        <v>216</v>
      </c>
      <c r="B101" t="s">
        <v>225</v>
      </c>
      <c r="C101" t="s">
        <v>530</v>
      </c>
      <c r="D101" t="s">
        <v>227</v>
      </c>
      <c r="E101" t="s">
        <v>531</v>
      </c>
      <c r="F101" t="s">
        <v>520</v>
      </c>
      <c r="G101" t="s">
        <v>230</v>
      </c>
      <c r="H101" t="s">
        <v>247</v>
      </c>
      <c r="I101" t="s">
        <v>532</v>
      </c>
      <c r="AF101" t="s">
        <v>216</v>
      </c>
      <c r="AG101" t="s">
        <v>138</v>
      </c>
      <c r="AH101" t="b">
        <v>0</v>
      </c>
    </row>
    <row r="102" spans="1:34">
      <c r="A102" t="s">
        <v>216</v>
      </c>
      <c r="B102" t="s">
        <v>225</v>
      </c>
      <c r="C102" t="s">
        <v>533</v>
      </c>
      <c r="D102" t="s">
        <v>227</v>
      </c>
      <c r="E102" t="s">
        <v>534</v>
      </c>
      <c r="F102" t="s">
        <v>520</v>
      </c>
      <c r="G102" t="s">
        <v>230</v>
      </c>
      <c r="H102" t="s">
        <v>535</v>
      </c>
      <c r="I102" t="s">
        <v>536</v>
      </c>
      <c r="AF102" t="s">
        <v>216</v>
      </c>
      <c r="AG102" t="s">
        <v>138</v>
      </c>
      <c r="AH102" t="b">
        <v>0</v>
      </c>
    </row>
    <row r="103" spans="1:34">
      <c r="A103" t="s">
        <v>216</v>
      </c>
      <c r="B103" t="s">
        <v>225</v>
      </c>
      <c r="C103" t="s">
        <v>537</v>
      </c>
      <c r="D103" t="s">
        <v>227</v>
      </c>
      <c r="E103" t="s">
        <v>538</v>
      </c>
      <c r="F103" t="s">
        <v>520</v>
      </c>
      <c r="G103" t="s">
        <v>230</v>
      </c>
      <c r="H103" t="s">
        <v>280</v>
      </c>
      <c r="I103" t="s">
        <v>539</v>
      </c>
      <c r="AF103" t="s">
        <v>216</v>
      </c>
      <c r="AG103" t="s">
        <v>138</v>
      </c>
      <c r="AH103" t="b">
        <v>0</v>
      </c>
    </row>
    <row r="104" spans="1:34">
      <c r="A104" t="s">
        <v>216</v>
      </c>
      <c r="B104" t="s">
        <v>225</v>
      </c>
      <c r="C104" t="s">
        <v>540</v>
      </c>
      <c r="D104" t="s">
        <v>227</v>
      </c>
      <c r="E104" t="s">
        <v>541</v>
      </c>
      <c r="F104" t="s">
        <v>520</v>
      </c>
      <c r="G104" t="s">
        <v>230</v>
      </c>
      <c r="H104" t="s">
        <v>284</v>
      </c>
      <c r="I104" t="s">
        <v>542</v>
      </c>
      <c r="AF104" t="s">
        <v>216</v>
      </c>
      <c r="AG104" t="s">
        <v>138</v>
      </c>
      <c r="AH104" t="b">
        <v>0</v>
      </c>
    </row>
    <row r="105" spans="1:34">
      <c r="A105" t="s">
        <v>216</v>
      </c>
      <c r="B105" t="s">
        <v>225</v>
      </c>
      <c r="C105" t="s">
        <v>543</v>
      </c>
      <c r="D105" t="s">
        <v>227</v>
      </c>
      <c r="E105" t="s">
        <v>544</v>
      </c>
      <c r="F105" t="s">
        <v>520</v>
      </c>
      <c r="G105" t="s">
        <v>230</v>
      </c>
      <c r="H105" t="s">
        <v>288</v>
      </c>
      <c r="I105" t="s">
        <v>545</v>
      </c>
      <c r="AF105" t="s">
        <v>216</v>
      </c>
      <c r="AG105" t="s">
        <v>138</v>
      </c>
      <c r="AH105" t="b">
        <v>0</v>
      </c>
    </row>
    <row r="106" spans="1:34">
      <c r="A106" t="s">
        <v>216</v>
      </c>
      <c r="B106" t="s">
        <v>225</v>
      </c>
      <c r="C106" t="s">
        <v>546</v>
      </c>
      <c r="D106" t="s">
        <v>227</v>
      </c>
      <c r="E106" t="s">
        <v>547</v>
      </c>
      <c r="F106" t="s">
        <v>520</v>
      </c>
      <c r="G106" t="s">
        <v>230</v>
      </c>
      <c r="H106" t="s">
        <v>381</v>
      </c>
      <c r="I106" t="s">
        <v>548</v>
      </c>
      <c r="AF106" t="s">
        <v>216</v>
      </c>
      <c r="AG106" t="s">
        <v>138</v>
      </c>
      <c r="AH106" t="b">
        <v>0</v>
      </c>
    </row>
    <row r="107" spans="1:34">
      <c r="A107" t="s">
        <v>216</v>
      </c>
      <c r="B107" t="s">
        <v>225</v>
      </c>
      <c r="C107" t="s">
        <v>549</v>
      </c>
      <c r="D107" t="s">
        <v>227</v>
      </c>
      <c r="E107" t="s">
        <v>550</v>
      </c>
      <c r="F107" t="s">
        <v>520</v>
      </c>
      <c r="G107" t="s">
        <v>230</v>
      </c>
      <c r="H107" t="s">
        <v>296</v>
      </c>
      <c r="I107" t="s">
        <v>551</v>
      </c>
      <c r="AF107" t="s">
        <v>216</v>
      </c>
      <c r="AG107" t="s">
        <v>138</v>
      </c>
      <c r="AH107" t="b">
        <v>0</v>
      </c>
    </row>
    <row r="108" spans="1:34">
      <c r="A108" t="s">
        <v>216</v>
      </c>
      <c r="B108" t="s">
        <v>225</v>
      </c>
      <c r="C108" t="s">
        <v>552</v>
      </c>
      <c r="D108" t="s">
        <v>227</v>
      </c>
      <c r="E108" t="s">
        <v>553</v>
      </c>
      <c r="F108" t="s">
        <v>520</v>
      </c>
      <c r="G108" t="s">
        <v>230</v>
      </c>
      <c r="H108" t="s">
        <v>300</v>
      </c>
      <c r="I108" t="s">
        <v>554</v>
      </c>
      <c r="AF108" t="s">
        <v>216</v>
      </c>
      <c r="AG108" t="s">
        <v>138</v>
      </c>
      <c r="AH108" t="b">
        <v>0</v>
      </c>
    </row>
    <row r="109" spans="1:34">
      <c r="A109" t="s">
        <v>216</v>
      </c>
      <c r="B109" t="s">
        <v>225</v>
      </c>
      <c r="C109" t="s">
        <v>555</v>
      </c>
      <c r="D109" t="s">
        <v>227</v>
      </c>
      <c r="E109" t="s">
        <v>556</v>
      </c>
      <c r="F109" t="s">
        <v>520</v>
      </c>
      <c r="G109" t="s">
        <v>230</v>
      </c>
      <c r="H109" t="s">
        <v>557</v>
      </c>
      <c r="I109" t="s">
        <v>558</v>
      </c>
      <c r="AF109" t="s">
        <v>216</v>
      </c>
      <c r="AG109" t="s">
        <v>138</v>
      </c>
      <c r="AH109" t="b">
        <v>0</v>
      </c>
    </row>
    <row r="110" spans="1:34">
      <c r="A110" t="s">
        <v>216</v>
      </c>
      <c r="B110" t="s">
        <v>225</v>
      </c>
      <c r="C110" t="s">
        <v>559</v>
      </c>
      <c r="D110" t="s">
        <v>227</v>
      </c>
      <c r="E110" t="s">
        <v>560</v>
      </c>
      <c r="F110" t="s">
        <v>520</v>
      </c>
      <c r="G110" t="s">
        <v>230</v>
      </c>
      <c r="H110" t="s">
        <v>561</v>
      </c>
      <c r="I110" t="s">
        <v>562</v>
      </c>
      <c r="AF110" t="s">
        <v>216</v>
      </c>
      <c r="AG110" t="s">
        <v>138</v>
      </c>
      <c r="AH110" t="b">
        <v>0</v>
      </c>
    </row>
    <row r="111" spans="1:34">
      <c r="A111" t="s">
        <v>216</v>
      </c>
      <c r="B111" t="s">
        <v>225</v>
      </c>
      <c r="C111" t="s">
        <v>563</v>
      </c>
      <c r="D111" t="s">
        <v>227</v>
      </c>
      <c r="E111" t="s">
        <v>564</v>
      </c>
      <c r="F111" t="s">
        <v>559</v>
      </c>
      <c r="G111" t="s">
        <v>230</v>
      </c>
      <c r="H111" t="s">
        <v>231</v>
      </c>
      <c r="I111" t="s">
        <v>565</v>
      </c>
      <c r="AF111" t="s">
        <v>216</v>
      </c>
      <c r="AG111" t="s">
        <v>138</v>
      </c>
      <c r="AH111" t="b">
        <v>0</v>
      </c>
    </row>
    <row r="112" spans="1:34">
      <c r="A112" t="s">
        <v>216</v>
      </c>
      <c r="B112" t="s">
        <v>225</v>
      </c>
      <c r="C112" t="s">
        <v>566</v>
      </c>
      <c r="D112" t="s">
        <v>227</v>
      </c>
      <c r="E112" t="s">
        <v>567</v>
      </c>
      <c r="F112" t="s">
        <v>559</v>
      </c>
      <c r="G112" t="s">
        <v>230</v>
      </c>
      <c r="H112" t="s">
        <v>236</v>
      </c>
      <c r="I112" t="s">
        <v>568</v>
      </c>
      <c r="AF112" t="s">
        <v>216</v>
      </c>
      <c r="AG112" t="s">
        <v>138</v>
      </c>
      <c r="AH112" t="b">
        <v>0</v>
      </c>
    </row>
    <row r="113" spans="1:34">
      <c r="A113" t="s">
        <v>216</v>
      </c>
      <c r="B113" t="s">
        <v>225</v>
      </c>
      <c r="C113" t="s">
        <v>569</v>
      </c>
      <c r="D113" t="s">
        <v>227</v>
      </c>
      <c r="E113" t="s">
        <v>570</v>
      </c>
      <c r="F113" t="s">
        <v>566</v>
      </c>
      <c r="G113" t="s">
        <v>230</v>
      </c>
      <c r="H113" t="s">
        <v>239</v>
      </c>
      <c r="I113" t="s">
        <v>571</v>
      </c>
      <c r="AF113" t="s">
        <v>216</v>
      </c>
      <c r="AG113" t="s">
        <v>138</v>
      </c>
      <c r="AH113" t="b">
        <v>0</v>
      </c>
    </row>
    <row r="114" spans="1:34">
      <c r="A114" t="s">
        <v>216</v>
      </c>
      <c r="B114" t="s">
        <v>225</v>
      </c>
      <c r="C114" t="s">
        <v>572</v>
      </c>
      <c r="D114" t="s">
        <v>227</v>
      </c>
      <c r="E114" t="s">
        <v>573</v>
      </c>
      <c r="F114" t="s">
        <v>566</v>
      </c>
      <c r="G114" t="s">
        <v>230</v>
      </c>
      <c r="H114" t="s">
        <v>242</v>
      </c>
      <c r="I114" t="s">
        <v>574</v>
      </c>
      <c r="AF114" t="s">
        <v>216</v>
      </c>
      <c r="AG114" t="s">
        <v>138</v>
      </c>
      <c r="AH114" t="b">
        <v>0</v>
      </c>
    </row>
    <row r="115" spans="1:34">
      <c r="A115" t="s">
        <v>216</v>
      </c>
      <c r="B115" t="s">
        <v>225</v>
      </c>
      <c r="C115" t="s">
        <v>575</v>
      </c>
      <c r="D115" t="s">
        <v>227</v>
      </c>
      <c r="E115" t="s">
        <v>576</v>
      </c>
      <c r="F115" t="s">
        <v>566</v>
      </c>
      <c r="G115" t="s">
        <v>230</v>
      </c>
      <c r="H115" t="s">
        <v>430</v>
      </c>
      <c r="I115" t="s">
        <v>577</v>
      </c>
      <c r="AF115" t="s">
        <v>216</v>
      </c>
      <c r="AG115" t="s">
        <v>138</v>
      </c>
      <c r="AH115" t="b">
        <v>0</v>
      </c>
    </row>
    <row r="116" spans="1:34">
      <c r="A116" t="s">
        <v>216</v>
      </c>
      <c r="B116" t="s">
        <v>225</v>
      </c>
      <c r="C116" t="s">
        <v>578</v>
      </c>
      <c r="D116" t="s">
        <v>227</v>
      </c>
      <c r="E116" t="s">
        <v>579</v>
      </c>
      <c r="F116" t="s">
        <v>566</v>
      </c>
      <c r="G116" t="s">
        <v>230</v>
      </c>
      <c r="H116" t="s">
        <v>433</v>
      </c>
      <c r="I116" t="s">
        <v>580</v>
      </c>
      <c r="AF116" t="s">
        <v>216</v>
      </c>
      <c r="AG116" t="s">
        <v>138</v>
      </c>
      <c r="AH116" t="b">
        <v>0</v>
      </c>
    </row>
    <row r="117" spans="1:34">
      <c r="A117" t="s">
        <v>216</v>
      </c>
      <c r="B117" t="s">
        <v>225</v>
      </c>
      <c r="C117" t="s">
        <v>581</v>
      </c>
      <c r="D117" t="s">
        <v>227</v>
      </c>
      <c r="E117" t="s">
        <v>582</v>
      </c>
      <c r="F117" t="s">
        <v>566</v>
      </c>
      <c r="G117" t="s">
        <v>230</v>
      </c>
      <c r="H117" t="s">
        <v>490</v>
      </c>
      <c r="I117" t="s">
        <v>583</v>
      </c>
      <c r="AF117" t="s">
        <v>216</v>
      </c>
      <c r="AG117" t="s">
        <v>138</v>
      </c>
      <c r="AH117" t="b">
        <v>0</v>
      </c>
    </row>
    <row r="118" spans="1:34">
      <c r="A118" t="s">
        <v>216</v>
      </c>
      <c r="B118" t="s">
        <v>225</v>
      </c>
      <c r="C118" t="s">
        <v>584</v>
      </c>
      <c r="D118" t="s">
        <v>227</v>
      </c>
      <c r="E118" t="s">
        <v>585</v>
      </c>
      <c r="F118" t="s">
        <v>566</v>
      </c>
      <c r="G118" t="s">
        <v>230</v>
      </c>
      <c r="H118" t="s">
        <v>494</v>
      </c>
      <c r="I118" t="s">
        <v>586</v>
      </c>
      <c r="AF118" t="s">
        <v>216</v>
      </c>
      <c r="AG118" t="s">
        <v>138</v>
      </c>
      <c r="AH118" t="b">
        <v>0</v>
      </c>
    </row>
    <row r="119" spans="1:34">
      <c r="A119" t="s">
        <v>216</v>
      </c>
      <c r="B119" t="s">
        <v>225</v>
      </c>
      <c r="C119" t="s">
        <v>587</v>
      </c>
      <c r="D119" t="s">
        <v>227</v>
      </c>
      <c r="E119" t="s">
        <v>588</v>
      </c>
      <c r="F119" t="s">
        <v>566</v>
      </c>
      <c r="G119" t="s">
        <v>230</v>
      </c>
      <c r="H119" t="s">
        <v>436</v>
      </c>
      <c r="I119" t="s">
        <v>589</v>
      </c>
      <c r="AF119" t="s">
        <v>216</v>
      </c>
      <c r="AG119" t="s">
        <v>138</v>
      </c>
      <c r="AH119" t="b">
        <v>0</v>
      </c>
    </row>
    <row r="120" spans="1:34">
      <c r="A120" t="s">
        <v>216</v>
      </c>
      <c r="B120" t="s">
        <v>225</v>
      </c>
      <c r="C120" t="s">
        <v>590</v>
      </c>
      <c r="D120" t="s">
        <v>227</v>
      </c>
      <c r="E120" t="s">
        <v>591</v>
      </c>
      <c r="F120" t="s">
        <v>566</v>
      </c>
      <c r="G120" t="s">
        <v>230</v>
      </c>
      <c r="H120" t="s">
        <v>451</v>
      </c>
      <c r="I120" t="s">
        <v>592</v>
      </c>
      <c r="AF120" t="s">
        <v>216</v>
      </c>
      <c r="AG120" t="s">
        <v>138</v>
      </c>
      <c r="AH120" t="b">
        <v>0</v>
      </c>
    </row>
    <row r="121" spans="1:34">
      <c r="A121" t="s">
        <v>216</v>
      </c>
      <c r="B121" t="s">
        <v>225</v>
      </c>
      <c r="C121" t="s">
        <v>593</v>
      </c>
      <c r="D121" t="s">
        <v>227</v>
      </c>
      <c r="E121" t="s">
        <v>594</v>
      </c>
      <c r="F121" t="s">
        <v>566</v>
      </c>
      <c r="G121" t="s">
        <v>230</v>
      </c>
      <c r="H121" t="s">
        <v>595</v>
      </c>
      <c r="I121" t="s">
        <v>596</v>
      </c>
      <c r="AF121" t="s">
        <v>216</v>
      </c>
      <c r="AG121" t="s">
        <v>138</v>
      </c>
      <c r="AH121" t="b">
        <v>0</v>
      </c>
    </row>
    <row r="122" spans="1:34">
      <c r="A122" t="s">
        <v>216</v>
      </c>
      <c r="B122" t="s">
        <v>225</v>
      </c>
      <c r="C122" t="s">
        <v>597</v>
      </c>
      <c r="D122" t="s">
        <v>227</v>
      </c>
      <c r="E122" t="s">
        <v>598</v>
      </c>
      <c r="F122" t="s">
        <v>559</v>
      </c>
      <c r="G122" t="s">
        <v>230</v>
      </c>
      <c r="H122" t="s">
        <v>247</v>
      </c>
      <c r="I122" t="s">
        <v>599</v>
      </c>
      <c r="AF122" t="s">
        <v>216</v>
      </c>
      <c r="AG122" t="s">
        <v>138</v>
      </c>
      <c r="AH122" t="b">
        <v>0</v>
      </c>
    </row>
    <row r="123" spans="1:34">
      <c r="A123" t="s">
        <v>216</v>
      </c>
      <c r="B123" t="s">
        <v>225</v>
      </c>
      <c r="C123" t="s">
        <v>600</v>
      </c>
      <c r="D123" t="s">
        <v>227</v>
      </c>
      <c r="E123" t="s">
        <v>601</v>
      </c>
      <c r="F123" t="s">
        <v>559</v>
      </c>
      <c r="G123" t="s">
        <v>230</v>
      </c>
      <c r="H123" t="s">
        <v>251</v>
      </c>
      <c r="I123" t="s">
        <v>602</v>
      </c>
      <c r="AF123" t="s">
        <v>216</v>
      </c>
      <c r="AG123" t="s">
        <v>138</v>
      </c>
      <c r="AH123" t="b">
        <v>0</v>
      </c>
    </row>
    <row r="124" spans="1:34">
      <c r="A124" t="s">
        <v>216</v>
      </c>
      <c r="B124" t="s">
        <v>225</v>
      </c>
      <c r="C124" t="s">
        <v>603</v>
      </c>
      <c r="D124" t="s">
        <v>227</v>
      </c>
      <c r="E124" t="s">
        <v>604</v>
      </c>
      <c r="F124" t="s">
        <v>559</v>
      </c>
      <c r="G124" t="s">
        <v>230</v>
      </c>
      <c r="H124" t="s">
        <v>255</v>
      </c>
      <c r="I124" t="s">
        <v>605</v>
      </c>
      <c r="AF124" t="s">
        <v>216</v>
      </c>
      <c r="AG124" t="s">
        <v>138</v>
      </c>
      <c r="AH124" t="b">
        <v>0</v>
      </c>
    </row>
    <row r="125" spans="1:34">
      <c r="A125" t="s">
        <v>216</v>
      </c>
      <c r="B125" t="s">
        <v>225</v>
      </c>
      <c r="C125" t="s">
        <v>606</v>
      </c>
      <c r="D125" t="s">
        <v>227</v>
      </c>
      <c r="E125" t="s">
        <v>607</v>
      </c>
      <c r="F125" t="s">
        <v>559</v>
      </c>
      <c r="G125" t="s">
        <v>230</v>
      </c>
      <c r="H125" t="s">
        <v>608</v>
      </c>
      <c r="I125" t="s">
        <v>609</v>
      </c>
      <c r="AF125" t="s">
        <v>216</v>
      </c>
      <c r="AG125" t="s">
        <v>138</v>
      </c>
      <c r="AH125" t="b">
        <v>0</v>
      </c>
    </row>
    <row r="126" spans="1:34">
      <c r="A126" t="s">
        <v>216</v>
      </c>
      <c r="B126" t="s">
        <v>225</v>
      </c>
      <c r="C126" t="s">
        <v>610</v>
      </c>
      <c r="D126" t="s">
        <v>227</v>
      </c>
      <c r="E126" t="s">
        <v>611</v>
      </c>
      <c r="F126" t="s">
        <v>559</v>
      </c>
      <c r="G126" t="s">
        <v>230</v>
      </c>
      <c r="H126" t="s">
        <v>612</v>
      </c>
      <c r="I126" t="s">
        <v>613</v>
      </c>
      <c r="AF126" t="s">
        <v>216</v>
      </c>
      <c r="AG126" t="s">
        <v>138</v>
      </c>
      <c r="AH126" t="b">
        <v>0</v>
      </c>
    </row>
    <row r="127" spans="1:34">
      <c r="A127" t="s">
        <v>216</v>
      </c>
      <c r="B127" t="s">
        <v>225</v>
      </c>
      <c r="C127" t="s">
        <v>614</v>
      </c>
      <c r="D127" t="s">
        <v>227</v>
      </c>
      <c r="E127" t="s">
        <v>615</v>
      </c>
      <c r="F127" t="s">
        <v>559</v>
      </c>
      <c r="G127" t="s">
        <v>230</v>
      </c>
      <c r="H127" t="s">
        <v>373</v>
      </c>
      <c r="I127" t="s">
        <v>616</v>
      </c>
      <c r="AF127" t="s">
        <v>216</v>
      </c>
      <c r="AG127" t="s">
        <v>138</v>
      </c>
      <c r="AH127" t="b">
        <v>0</v>
      </c>
    </row>
    <row r="128" spans="1:34">
      <c r="A128" t="s">
        <v>216</v>
      </c>
      <c r="B128" t="s">
        <v>225</v>
      </c>
      <c r="C128" t="s">
        <v>617</v>
      </c>
      <c r="D128" t="s">
        <v>227</v>
      </c>
      <c r="E128" t="s">
        <v>618</v>
      </c>
      <c r="F128" t="s">
        <v>393</v>
      </c>
      <c r="G128" t="s">
        <v>230</v>
      </c>
      <c r="H128" t="s">
        <v>619</v>
      </c>
      <c r="I128" t="s">
        <v>620</v>
      </c>
      <c r="AF128" t="s">
        <v>216</v>
      </c>
      <c r="AG128" t="s">
        <v>138</v>
      </c>
      <c r="AH128" t="b">
        <v>0</v>
      </c>
    </row>
    <row r="129" spans="1:34">
      <c r="A129" t="s">
        <v>216</v>
      </c>
      <c r="B129" t="s">
        <v>225</v>
      </c>
      <c r="C129" t="s">
        <v>621</v>
      </c>
      <c r="D129" t="s">
        <v>622</v>
      </c>
      <c r="E129" t="s">
        <v>623</v>
      </c>
      <c r="F129" t="s">
        <v>393</v>
      </c>
      <c r="G129" t="s">
        <v>230</v>
      </c>
      <c r="H129" t="s">
        <v>624</v>
      </c>
      <c r="I129" t="s">
        <v>625</v>
      </c>
      <c r="AF129" t="s">
        <v>216</v>
      </c>
      <c r="AG129" t="s">
        <v>138</v>
      </c>
      <c r="AH129" t="b">
        <v>0</v>
      </c>
    </row>
    <row r="130" spans="1:34">
      <c r="A130" t="s">
        <v>216</v>
      </c>
      <c r="B130" t="s">
        <v>225</v>
      </c>
      <c r="C130" t="s">
        <v>626</v>
      </c>
      <c r="D130" t="s">
        <v>627</v>
      </c>
      <c r="E130" t="s">
        <v>628</v>
      </c>
      <c r="F130" t="s">
        <v>393</v>
      </c>
      <c r="G130" t="s">
        <v>230</v>
      </c>
      <c r="H130" t="s">
        <v>629</v>
      </c>
      <c r="I130" t="s">
        <v>630</v>
      </c>
      <c r="AF130" t="s">
        <v>216</v>
      </c>
      <c r="AG130" t="s">
        <v>138</v>
      </c>
      <c r="AH130" t="b">
        <v>0</v>
      </c>
    </row>
    <row r="131" spans="1:34">
      <c r="A131" t="s">
        <v>216</v>
      </c>
      <c r="B131" t="s">
        <v>225</v>
      </c>
      <c r="C131" t="s">
        <v>631</v>
      </c>
      <c r="D131" t="s">
        <v>632</v>
      </c>
      <c r="E131" t="s">
        <v>633</v>
      </c>
      <c r="F131" t="s">
        <v>393</v>
      </c>
      <c r="G131" t="s">
        <v>230</v>
      </c>
      <c r="H131" t="s">
        <v>634</v>
      </c>
      <c r="I131" t="s">
        <v>635</v>
      </c>
      <c r="AF131" t="s">
        <v>216</v>
      </c>
      <c r="AG131" t="s">
        <v>138</v>
      </c>
      <c r="AH131" t="b">
        <v>0</v>
      </c>
    </row>
    <row r="132" spans="1:34">
      <c r="A132" t="s">
        <v>216</v>
      </c>
      <c r="B132" t="s">
        <v>225</v>
      </c>
      <c r="C132" t="s">
        <v>636</v>
      </c>
      <c r="D132" t="s">
        <v>637</v>
      </c>
      <c r="E132" t="s">
        <v>638</v>
      </c>
      <c r="F132" t="s">
        <v>393</v>
      </c>
      <c r="G132" t="s">
        <v>230</v>
      </c>
      <c r="H132" t="s">
        <v>639</v>
      </c>
      <c r="I132" t="s">
        <v>640</v>
      </c>
      <c r="AF132" t="s">
        <v>216</v>
      </c>
      <c r="AG132" t="s">
        <v>138</v>
      </c>
      <c r="AH132" t="b">
        <v>0</v>
      </c>
    </row>
    <row r="133" spans="1:34">
      <c r="A133" t="s">
        <v>216</v>
      </c>
      <c r="B133" t="s">
        <v>225</v>
      </c>
      <c r="C133" t="s">
        <v>641</v>
      </c>
      <c r="D133" t="s">
        <v>642</v>
      </c>
      <c r="E133" t="s">
        <v>643</v>
      </c>
      <c r="F133" t="s">
        <v>393</v>
      </c>
      <c r="G133" t="s">
        <v>230</v>
      </c>
      <c r="H133" t="s">
        <v>644</v>
      </c>
      <c r="I133" t="s">
        <v>645</v>
      </c>
      <c r="AF133" t="s">
        <v>216</v>
      </c>
      <c r="AG133" t="s">
        <v>138</v>
      </c>
      <c r="AH133" t="b">
        <v>0</v>
      </c>
    </row>
    <row r="134" spans="1:34">
      <c r="A134" t="s">
        <v>216</v>
      </c>
      <c r="B134" t="s">
        <v>225</v>
      </c>
      <c r="C134" t="s">
        <v>646</v>
      </c>
      <c r="D134" t="s">
        <v>647</v>
      </c>
      <c r="E134" t="s">
        <v>648</v>
      </c>
      <c r="F134" t="s">
        <v>393</v>
      </c>
      <c r="G134" t="s">
        <v>230</v>
      </c>
      <c r="H134" t="s">
        <v>649</v>
      </c>
      <c r="I134" t="s">
        <v>650</v>
      </c>
      <c r="AF134" t="s">
        <v>216</v>
      </c>
      <c r="AG134" t="s">
        <v>138</v>
      </c>
      <c r="AH134" t="b">
        <v>0</v>
      </c>
    </row>
    <row r="135" spans="1:34">
      <c r="A135" t="s">
        <v>216</v>
      </c>
      <c r="B135" t="s">
        <v>225</v>
      </c>
      <c r="C135" t="s">
        <v>651</v>
      </c>
      <c r="D135" t="s">
        <v>652</v>
      </c>
      <c r="E135" t="s">
        <v>653</v>
      </c>
      <c r="F135" t="s">
        <v>393</v>
      </c>
      <c r="G135" t="s">
        <v>230</v>
      </c>
      <c r="H135" t="s">
        <v>654</v>
      </c>
      <c r="I135" t="s">
        <v>655</v>
      </c>
      <c r="AF135" t="s">
        <v>216</v>
      </c>
      <c r="AG135" t="s">
        <v>138</v>
      </c>
      <c r="AH135" t="b">
        <v>0</v>
      </c>
    </row>
    <row r="136" spans="1:34">
      <c r="A136" t="s">
        <v>216</v>
      </c>
      <c r="B136" t="s">
        <v>225</v>
      </c>
      <c r="C136" t="s">
        <v>656</v>
      </c>
      <c r="D136" t="s">
        <v>227</v>
      </c>
      <c r="E136" t="s">
        <v>657</v>
      </c>
      <c r="F136" t="s">
        <v>307</v>
      </c>
      <c r="G136" t="s">
        <v>230</v>
      </c>
      <c r="H136" t="s">
        <v>658</v>
      </c>
      <c r="I136" t="s">
        <v>659</v>
      </c>
      <c r="AF136" t="s">
        <v>216</v>
      </c>
      <c r="AG136" t="s">
        <v>138</v>
      </c>
      <c r="AH136" t="b">
        <v>0</v>
      </c>
    </row>
    <row r="137" spans="1:34">
      <c r="A137" t="s">
        <v>216</v>
      </c>
      <c r="B137" t="s">
        <v>225</v>
      </c>
      <c r="C137" t="s">
        <v>660</v>
      </c>
      <c r="D137" t="s">
        <v>227</v>
      </c>
      <c r="E137" t="s">
        <v>661</v>
      </c>
      <c r="F137" t="s">
        <v>393</v>
      </c>
      <c r="G137" t="s">
        <v>230</v>
      </c>
      <c r="H137" t="s">
        <v>662</v>
      </c>
      <c r="I137" t="s">
        <v>663</v>
      </c>
      <c r="AF137" t="s">
        <v>216</v>
      </c>
      <c r="AG137" t="s">
        <v>138</v>
      </c>
      <c r="AH137" t="b">
        <v>0</v>
      </c>
    </row>
    <row r="138" spans="1:34">
      <c r="A138" t="s">
        <v>216</v>
      </c>
      <c r="B138" t="s">
        <v>225</v>
      </c>
      <c r="C138" t="s">
        <v>664</v>
      </c>
      <c r="D138" t="s">
        <v>665</v>
      </c>
      <c r="E138" t="s">
        <v>666</v>
      </c>
      <c r="F138" t="s">
        <v>393</v>
      </c>
      <c r="G138" t="s">
        <v>230</v>
      </c>
      <c r="H138" t="s">
        <v>667</v>
      </c>
      <c r="I138" t="s">
        <v>668</v>
      </c>
      <c r="AF138" t="s">
        <v>216</v>
      </c>
      <c r="AG138" t="s">
        <v>138</v>
      </c>
      <c r="AH138" t="b">
        <v>0</v>
      </c>
    </row>
    <row r="139" spans="1:34">
      <c r="A139" t="s">
        <v>216</v>
      </c>
      <c r="B139" t="s">
        <v>225</v>
      </c>
      <c r="C139" t="s">
        <v>669</v>
      </c>
      <c r="D139" t="s">
        <v>670</v>
      </c>
      <c r="E139" t="s">
        <v>671</v>
      </c>
      <c r="F139" t="s">
        <v>393</v>
      </c>
      <c r="G139" t="s">
        <v>230</v>
      </c>
      <c r="H139" t="s">
        <v>672</v>
      </c>
      <c r="I139" t="s">
        <v>673</v>
      </c>
      <c r="AF139" t="s">
        <v>216</v>
      </c>
      <c r="AG139" t="s">
        <v>138</v>
      </c>
      <c r="AH139" t="b">
        <v>0</v>
      </c>
    </row>
    <row r="140" spans="1:34">
      <c r="A140" t="s">
        <v>216</v>
      </c>
      <c r="B140" t="s">
        <v>225</v>
      </c>
      <c r="C140" t="s">
        <v>674</v>
      </c>
      <c r="D140" t="s">
        <v>227</v>
      </c>
      <c r="E140" t="s">
        <v>675</v>
      </c>
      <c r="F140" t="s">
        <v>393</v>
      </c>
      <c r="G140" t="s">
        <v>230</v>
      </c>
      <c r="H140" t="s">
        <v>676</v>
      </c>
      <c r="I140" t="s">
        <v>677</v>
      </c>
      <c r="AF140" t="s">
        <v>216</v>
      </c>
      <c r="AG140" t="s">
        <v>138</v>
      </c>
      <c r="AH140" t="b">
        <v>0</v>
      </c>
    </row>
    <row r="141" spans="1:34">
      <c r="A141" t="s">
        <v>216</v>
      </c>
      <c r="B141" t="s">
        <v>225</v>
      </c>
      <c r="C141" t="s">
        <v>678</v>
      </c>
      <c r="D141" t="s">
        <v>227</v>
      </c>
      <c r="E141" t="s">
        <v>679</v>
      </c>
      <c r="F141" t="s">
        <v>393</v>
      </c>
      <c r="G141" t="s">
        <v>230</v>
      </c>
      <c r="H141" t="s">
        <v>680</v>
      </c>
      <c r="I141" t="s">
        <v>681</v>
      </c>
      <c r="AF141" t="s">
        <v>216</v>
      </c>
      <c r="AG141" t="s">
        <v>138</v>
      </c>
      <c r="AH141" t="b">
        <v>0</v>
      </c>
    </row>
    <row r="142" spans="1:34">
      <c r="A142" t="s">
        <v>216</v>
      </c>
      <c r="B142" t="s">
        <v>225</v>
      </c>
      <c r="C142" t="s">
        <v>682</v>
      </c>
      <c r="D142" t="s">
        <v>227</v>
      </c>
      <c r="E142" t="s">
        <v>683</v>
      </c>
      <c r="F142" t="s">
        <v>393</v>
      </c>
      <c r="G142" t="s">
        <v>230</v>
      </c>
      <c r="H142" t="s">
        <v>684</v>
      </c>
      <c r="I142" t="s">
        <v>685</v>
      </c>
      <c r="AF142" t="s">
        <v>216</v>
      </c>
      <c r="AG142" t="s">
        <v>138</v>
      </c>
      <c r="AH142" t="b">
        <v>0</v>
      </c>
    </row>
    <row r="143" spans="1:34">
      <c r="A143" t="s">
        <v>216</v>
      </c>
      <c r="B143" t="s">
        <v>225</v>
      </c>
      <c r="C143" t="s">
        <v>686</v>
      </c>
      <c r="D143" t="s">
        <v>227</v>
      </c>
      <c r="E143" t="s">
        <v>687</v>
      </c>
      <c r="F143" t="s">
        <v>393</v>
      </c>
      <c r="G143" t="s">
        <v>230</v>
      </c>
      <c r="H143" t="s">
        <v>688</v>
      </c>
      <c r="I143" t="s">
        <v>689</v>
      </c>
      <c r="AF143" t="s">
        <v>216</v>
      </c>
      <c r="AG143" t="s">
        <v>138</v>
      </c>
      <c r="AH143" t="b">
        <v>0</v>
      </c>
    </row>
    <row r="144" spans="1:34">
      <c r="A144" t="s">
        <v>216</v>
      </c>
      <c r="B144" t="s">
        <v>225</v>
      </c>
      <c r="C144" t="s">
        <v>690</v>
      </c>
      <c r="D144" t="s">
        <v>691</v>
      </c>
      <c r="E144" t="s">
        <v>692</v>
      </c>
      <c r="F144" t="s">
        <v>393</v>
      </c>
      <c r="G144" t="s">
        <v>230</v>
      </c>
      <c r="H144" t="s">
        <v>693</v>
      </c>
      <c r="I144" t="s">
        <v>694</v>
      </c>
      <c r="AF144" t="s">
        <v>216</v>
      </c>
      <c r="AG144" t="s">
        <v>138</v>
      </c>
      <c r="AH144" t="b">
        <v>0</v>
      </c>
    </row>
    <row r="145" spans="1:34">
      <c r="A145" t="s">
        <v>216</v>
      </c>
      <c r="B145" t="s">
        <v>225</v>
      </c>
      <c r="C145" t="s">
        <v>695</v>
      </c>
      <c r="D145" t="s">
        <v>696</v>
      </c>
      <c r="E145" t="s">
        <v>697</v>
      </c>
      <c r="F145" t="s">
        <v>393</v>
      </c>
      <c r="G145" t="s">
        <v>230</v>
      </c>
      <c r="H145" t="s">
        <v>698</v>
      </c>
      <c r="I145" t="s">
        <v>699</v>
      </c>
      <c r="AF145" t="s">
        <v>216</v>
      </c>
      <c r="AG145" t="s">
        <v>138</v>
      </c>
      <c r="AH145" t="b">
        <v>0</v>
      </c>
    </row>
    <row r="146" spans="1:34">
      <c r="A146" t="s">
        <v>216</v>
      </c>
      <c r="B146" t="s">
        <v>225</v>
      </c>
      <c r="C146" t="s">
        <v>700</v>
      </c>
      <c r="D146" t="s">
        <v>701</v>
      </c>
      <c r="E146" t="s">
        <v>702</v>
      </c>
      <c r="F146" t="s">
        <v>393</v>
      </c>
      <c r="G146" t="s">
        <v>230</v>
      </c>
      <c r="H146" t="s">
        <v>703</v>
      </c>
      <c r="I146" t="s">
        <v>704</v>
      </c>
      <c r="AF146" t="s">
        <v>216</v>
      </c>
      <c r="AG146" t="s">
        <v>138</v>
      </c>
      <c r="AH146" t="b">
        <v>0</v>
      </c>
    </row>
    <row r="147" spans="1:34">
      <c r="A147" t="s">
        <v>216</v>
      </c>
      <c r="B147" t="s">
        <v>225</v>
      </c>
      <c r="C147" t="s">
        <v>705</v>
      </c>
      <c r="D147" t="s">
        <v>706</v>
      </c>
      <c r="E147" t="s">
        <v>707</v>
      </c>
      <c r="F147" t="s">
        <v>393</v>
      </c>
      <c r="G147" t="s">
        <v>230</v>
      </c>
      <c r="H147" t="s">
        <v>708</v>
      </c>
      <c r="I147" t="s">
        <v>709</v>
      </c>
      <c r="AF147" t="s">
        <v>216</v>
      </c>
      <c r="AG147" t="s">
        <v>138</v>
      </c>
      <c r="AH147" t="b">
        <v>0</v>
      </c>
    </row>
    <row r="148" spans="1:34">
      <c r="A148" t="s">
        <v>216</v>
      </c>
      <c r="B148" t="s">
        <v>225</v>
      </c>
      <c r="C148" t="s">
        <v>710</v>
      </c>
      <c r="D148" t="s">
        <v>711</v>
      </c>
      <c r="E148" t="s">
        <v>712</v>
      </c>
      <c r="F148" t="s">
        <v>393</v>
      </c>
      <c r="G148" t="s">
        <v>230</v>
      </c>
      <c r="H148" t="s">
        <v>713</v>
      </c>
      <c r="I148" t="s">
        <v>714</v>
      </c>
      <c r="AF148" t="s">
        <v>216</v>
      </c>
      <c r="AG148" t="s">
        <v>138</v>
      </c>
      <c r="AH148" t="b">
        <v>0</v>
      </c>
    </row>
    <row r="149" spans="1:34">
      <c r="A149" t="s">
        <v>216</v>
      </c>
      <c r="B149" t="s">
        <v>225</v>
      </c>
      <c r="C149" t="s">
        <v>715</v>
      </c>
      <c r="D149" t="s">
        <v>716</v>
      </c>
      <c r="E149" t="s">
        <v>717</v>
      </c>
      <c r="F149" t="s">
        <v>393</v>
      </c>
      <c r="G149" t="s">
        <v>230</v>
      </c>
      <c r="H149" t="s">
        <v>718</v>
      </c>
      <c r="I149" t="s">
        <v>719</v>
      </c>
      <c r="AF149" t="s">
        <v>216</v>
      </c>
      <c r="AG149" t="s">
        <v>138</v>
      </c>
      <c r="AH149" t="b">
        <v>0</v>
      </c>
    </row>
    <row r="150" spans="1:34">
      <c r="A150" t="s">
        <v>216</v>
      </c>
      <c r="B150" t="s">
        <v>225</v>
      </c>
      <c r="C150" t="s">
        <v>720</v>
      </c>
      <c r="D150" t="s">
        <v>721</v>
      </c>
      <c r="E150" t="s">
        <v>722</v>
      </c>
      <c r="F150" t="s">
        <v>393</v>
      </c>
      <c r="G150" t="s">
        <v>230</v>
      </c>
      <c r="H150" t="s">
        <v>723</v>
      </c>
      <c r="I150" t="s">
        <v>724</v>
      </c>
      <c r="AF150" t="s">
        <v>216</v>
      </c>
      <c r="AG150" t="s">
        <v>138</v>
      </c>
      <c r="AH150" t="b">
        <v>0</v>
      </c>
    </row>
    <row r="151" spans="1:34">
      <c r="A151" t="s">
        <v>216</v>
      </c>
      <c r="B151" t="s">
        <v>225</v>
      </c>
      <c r="C151" t="s">
        <v>725</v>
      </c>
      <c r="D151" t="s">
        <v>726</v>
      </c>
      <c r="E151" t="s">
        <v>727</v>
      </c>
      <c r="F151" t="s">
        <v>393</v>
      </c>
      <c r="G151" t="s">
        <v>230</v>
      </c>
      <c r="H151" t="s">
        <v>728</v>
      </c>
      <c r="I151" t="s">
        <v>729</v>
      </c>
      <c r="AF151" t="s">
        <v>216</v>
      </c>
      <c r="AG151" t="s">
        <v>138</v>
      </c>
      <c r="AH151" t="b">
        <v>0</v>
      </c>
    </row>
    <row r="152" spans="1:34">
      <c r="A152" t="s">
        <v>216</v>
      </c>
      <c r="B152" t="s">
        <v>225</v>
      </c>
      <c r="C152" t="s">
        <v>730</v>
      </c>
      <c r="D152" t="s">
        <v>731</v>
      </c>
      <c r="E152" t="s">
        <v>732</v>
      </c>
      <c r="F152" t="s">
        <v>393</v>
      </c>
      <c r="G152" t="s">
        <v>230</v>
      </c>
      <c r="H152" t="s">
        <v>733</v>
      </c>
      <c r="I152" t="s">
        <v>734</v>
      </c>
      <c r="AF152" t="s">
        <v>216</v>
      </c>
      <c r="AG152" t="s">
        <v>138</v>
      </c>
      <c r="AH152" t="b">
        <v>0</v>
      </c>
    </row>
    <row r="153" spans="1:34">
      <c r="A153" t="s">
        <v>216</v>
      </c>
      <c r="B153" t="s">
        <v>225</v>
      </c>
      <c r="C153" t="s">
        <v>735</v>
      </c>
      <c r="D153" t="s">
        <v>736</v>
      </c>
      <c r="E153" t="s">
        <v>737</v>
      </c>
      <c r="F153" t="s">
        <v>393</v>
      </c>
      <c r="G153" t="s">
        <v>230</v>
      </c>
      <c r="H153" t="s">
        <v>738</v>
      </c>
      <c r="I153" t="s">
        <v>739</v>
      </c>
      <c r="AF153" t="s">
        <v>216</v>
      </c>
      <c r="AG153" t="s">
        <v>138</v>
      </c>
      <c r="AH153" t="b">
        <v>0</v>
      </c>
    </row>
    <row r="154" spans="1:34">
      <c r="A154" t="s">
        <v>216</v>
      </c>
      <c r="B154" t="s">
        <v>225</v>
      </c>
      <c r="C154" t="s">
        <v>740</v>
      </c>
      <c r="D154" t="s">
        <v>741</v>
      </c>
      <c r="E154" t="s">
        <v>742</v>
      </c>
      <c r="F154" t="s">
        <v>393</v>
      </c>
      <c r="G154" t="s">
        <v>230</v>
      </c>
      <c r="H154" t="s">
        <v>743</v>
      </c>
      <c r="I154" t="s">
        <v>744</v>
      </c>
      <c r="AF154" t="s">
        <v>216</v>
      </c>
      <c r="AG154" t="s">
        <v>138</v>
      </c>
      <c r="AH154" t="b">
        <v>0</v>
      </c>
    </row>
    <row r="155" spans="1:34">
      <c r="A155" t="s">
        <v>216</v>
      </c>
      <c r="B155" t="s">
        <v>225</v>
      </c>
      <c r="C155" t="s">
        <v>745</v>
      </c>
      <c r="D155" t="s">
        <v>746</v>
      </c>
      <c r="E155" t="s">
        <v>747</v>
      </c>
      <c r="F155" t="s">
        <v>393</v>
      </c>
      <c r="G155" t="s">
        <v>230</v>
      </c>
      <c r="H155" t="s">
        <v>748</v>
      </c>
      <c r="I155" t="s">
        <v>749</v>
      </c>
      <c r="AF155" t="s">
        <v>216</v>
      </c>
      <c r="AG155" t="s">
        <v>138</v>
      </c>
      <c r="AH155" t="b">
        <v>0</v>
      </c>
    </row>
    <row r="156" spans="1:34">
      <c r="A156" t="s">
        <v>216</v>
      </c>
      <c r="B156" t="s">
        <v>225</v>
      </c>
      <c r="C156" t="s">
        <v>750</v>
      </c>
      <c r="D156" t="s">
        <v>227</v>
      </c>
      <c r="E156" t="s">
        <v>751</v>
      </c>
      <c r="F156" t="s">
        <v>267</v>
      </c>
      <c r="G156" t="s">
        <v>230</v>
      </c>
      <c r="H156" t="s">
        <v>752</v>
      </c>
      <c r="I156" t="s">
        <v>753</v>
      </c>
      <c r="AF156" t="s">
        <v>216</v>
      </c>
      <c r="AG156" t="s">
        <v>138</v>
      </c>
      <c r="AH156" t="b">
        <v>0</v>
      </c>
    </row>
    <row r="157" spans="1:34">
      <c r="A157" t="s">
        <v>216</v>
      </c>
      <c r="B157" t="s">
        <v>225</v>
      </c>
      <c r="C157" t="s">
        <v>754</v>
      </c>
      <c r="D157" t="s">
        <v>227</v>
      </c>
      <c r="E157" t="s">
        <v>755</v>
      </c>
      <c r="F157" t="s">
        <v>393</v>
      </c>
      <c r="G157" t="s">
        <v>230</v>
      </c>
      <c r="H157" t="s">
        <v>754</v>
      </c>
      <c r="I157" t="s">
        <v>756</v>
      </c>
      <c r="AF157" t="s">
        <v>216</v>
      </c>
      <c r="AG157" t="s">
        <v>138</v>
      </c>
      <c r="AH157" t="b">
        <v>0</v>
      </c>
    </row>
    <row r="158" spans="1:34">
      <c r="A158" t="s">
        <v>216</v>
      </c>
      <c r="B158" t="s">
        <v>225</v>
      </c>
      <c r="C158" t="s">
        <v>757</v>
      </c>
      <c r="D158" t="s">
        <v>227</v>
      </c>
      <c r="E158" t="s">
        <v>758</v>
      </c>
      <c r="F158" t="s">
        <v>754</v>
      </c>
      <c r="G158" t="s">
        <v>230</v>
      </c>
      <c r="H158" t="s">
        <v>525</v>
      </c>
      <c r="I158" t="s">
        <v>759</v>
      </c>
      <c r="AF158" t="s">
        <v>216</v>
      </c>
      <c r="AG158" t="s">
        <v>138</v>
      </c>
      <c r="AH158" t="b">
        <v>0</v>
      </c>
    </row>
    <row r="159" spans="1:34">
      <c r="A159" t="s">
        <v>216</v>
      </c>
      <c r="B159" t="s">
        <v>225</v>
      </c>
      <c r="C159" t="s">
        <v>760</v>
      </c>
      <c r="D159" t="s">
        <v>227</v>
      </c>
      <c r="E159" t="s">
        <v>761</v>
      </c>
      <c r="F159" t="s">
        <v>754</v>
      </c>
      <c r="G159" t="s">
        <v>230</v>
      </c>
      <c r="H159" t="s">
        <v>273</v>
      </c>
      <c r="I159" t="s">
        <v>762</v>
      </c>
      <c r="AF159" t="s">
        <v>216</v>
      </c>
      <c r="AG159" t="s">
        <v>138</v>
      </c>
      <c r="AH159" t="b">
        <v>0</v>
      </c>
    </row>
    <row r="160" spans="1:34">
      <c r="A160" t="s">
        <v>216</v>
      </c>
      <c r="B160" t="s">
        <v>225</v>
      </c>
      <c r="C160" t="s">
        <v>763</v>
      </c>
      <c r="D160" t="s">
        <v>227</v>
      </c>
      <c r="E160" t="s">
        <v>764</v>
      </c>
      <c r="F160" t="s">
        <v>754</v>
      </c>
      <c r="G160" t="s">
        <v>230</v>
      </c>
      <c r="H160" t="s">
        <v>247</v>
      </c>
      <c r="I160" t="s">
        <v>765</v>
      </c>
      <c r="AF160" t="s">
        <v>216</v>
      </c>
      <c r="AG160" t="s">
        <v>138</v>
      </c>
      <c r="AH160" t="b">
        <v>0</v>
      </c>
    </row>
    <row r="161" spans="1:34">
      <c r="A161" t="s">
        <v>216</v>
      </c>
      <c r="B161" t="s">
        <v>225</v>
      </c>
      <c r="C161" t="s">
        <v>766</v>
      </c>
      <c r="D161" t="s">
        <v>227</v>
      </c>
      <c r="E161" t="s">
        <v>767</v>
      </c>
      <c r="F161" t="s">
        <v>754</v>
      </c>
      <c r="G161" t="s">
        <v>230</v>
      </c>
      <c r="H161" t="s">
        <v>535</v>
      </c>
      <c r="I161" t="s">
        <v>768</v>
      </c>
      <c r="AF161" t="s">
        <v>216</v>
      </c>
      <c r="AG161" t="s">
        <v>138</v>
      </c>
      <c r="AH161" t="b">
        <v>0</v>
      </c>
    </row>
    <row r="162" spans="1:34">
      <c r="A162" t="s">
        <v>216</v>
      </c>
      <c r="B162" t="s">
        <v>225</v>
      </c>
      <c r="C162" t="s">
        <v>769</v>
      </c>
      <c r="D162" t="s">
        <v>227</v>
      </c>
      <c r="E162" t="s">
        <v>770</v>
      </c>
      <c r="F162" t="s">
        <v>754</v>
      </c>
      <c r="G162" t="s">
        <v>230</v>
      </c>
      <c r="H162" t="s">
        <v>280</v>
      </c>
      <c r="I162" t="s">
        <v>771</v>
      </c>
      <c r="AF162" t="s">
        <v>216</v>
      </c>
      <c r="AG162" t="s">
        <v>138</v>
      </c>
      <c r="AH162" t="b">
        <v>0</v>
      </c>
    </row>
    <row r="163" spans="1:34">
      <c r="A163" t="s">
        <v>216</v>
      </c>
      <c r="B163" t="s">
        <v>225</v>
      </c>
      <c r="C163" t="s">
        <v>772</v>
      </c>
      <c r="D163" t="s">
        <v>227</v>
      </c>
      <c r="E163" t="s">
        <v>773</v>
      </c>
      <c r="F163" t="s">
        <v>754</v>
      </c>
      <c r="G163" t="s">
        <v>230</v>
      </c>
      <c r="H163" t="s">
        <v>284</v>
      </c>
      <c r="I163" t="s">
        <v>774</v>
      </c>
      <c r="AF163" t="s">
        <v>216</v>
      </c>
      <c r="AG163" t="s">
        <v>138</v>
      </c>
      <c r="AH163" t="b">
        <v>0</v>
      </c>
    </row>
    <row r="164" spans="1:34">
      <c r="A164" t="s">
        <v>216</v>
      </c>
      <c r="B164" t="s">
        <v>225</v>
      </c>
      <c r="C164" t="s">
        <v>775</v>
      </c>
      <c r="D164" t="s">
        <v>227</v>
      </c>
      <c r="E164" t="s">
        <v>776</v>
      </c>
      <c r="F164" t="s">
        <v>754</v>
      </c>
      <c r="G164" t="s">
        <v>230</v>
      </c>
      <c r="H164" t="s">
        <v>288</v>
      </c>
      <c r="I164" t="s">
        <v>777</v>
      </c>
      <c r="AF164" t="s">
        <v>216</v>
      </c>
      <c r="AG164" t="s">
        <v>138</v>
      </c>
      <c r="AH164" t="b">
        <v>0</v>
      </c>
    </row>
    <row r="165" spans="1:34">
      <c r="A165" t="s">
        <v>216</v>
      </c>
      <c r="B165" t="s">
        <v>225</v>
      </c>
      <c r="C165" t="s">
        <v>778</v>
      </c>
      <c r="D165" t="s">
        <v>227</v>
      </c>
      <c r="E165" t="s">
        <v>779</v>
      </c>
      <c r="F165" t="s">
        <v>754</v>
      </c>
      <c r="G165" t="s">
        <v>230</v>
      </c>
      <c r="H165" t="s">
        <v>381</v>
      </c>
      <c r="I165" t="s">
        <v>780</v>
      </c>
      <c r="AF165" t="s">
        <v>216</v>
      </c>
      <c r="AG165" t="s">
        <v>138</v>
      </c>
      <c r="AH165" t="b">
        <v>0</v>
      </c>
    </row>
    <row r="166" spans="1:34">
      <c r="A166" t="s">
        <v>216</v>
      </c>
      <c r="B166" t="s">
        <v>225</v>
      </c>
      <c r="C166" t="s">
        <v>781</v>
      </c>
      <c r="D166" t="s">
        <v>227</v>
      </c>
      <c r="E166" t="s">
        <v>782</v>
      </c>
      <c r="F166" t="s">
        <v>754</v>
      </c>
      <c r="G166" t="s">
        <v>230</v>
      </c>
      <c r="H166" t="s">
        <v>296</v>
      </c>
      <c r="I166" t="s">
        <v>783</v>
      </c>
      <c r="AF166" t="s">
        <v>216</v>
      </c>
      <c r="AG166" t="s">
        <v>138</v>
      </c>
      <c r="AH166" t="b">
        <v>0</v>
      </c>
    </row>
    <row r="167" spans="1:34">
      <c r="A167" t="s">
        <v>216</v>
      </c>
      <c r="B167" t="s">
        <v>225</v>
      </c>
      <c r="C167" t="s">
        <v>784</v>
      </c>
      <c r="D167" t="s">
        <v>227</v>
      </c>
      <c r="E167" t="s">
        <v>785</v>
      </c>
      <c r="F167" t="s">
        <v>754</v>
      </c>
      <c r="G167" t="s">
        <v>230</v>
      </c>
      <c r="H167" t="s">
        <v>300</v>
      </c>
      <c r="I167" t="s">
        <v>786</v>
      </c>
      <c r="AF167" t="s">
        <v>216</v>
      </c>
      <c r="AG167" t="s">
        <v>138</v>
      </c>
      <c r="AH167" t="b">
        <v>0</v>
      </c>
    </row>
    <row r="168" spans="1:34">
      <c r="A168" t="s">
        <v>216</v>
      </c>
      <c r="B168" t="s">
        <v>225</v>
      </c>
      <c r="C168" t="s">
        <v>787</v>
      </c>
      <c r="D168" t="s">
        <v>227</v>
      </c>
      <c r="E168" t="s">
        <v>788</v>
      </c>
      <c r="F168" t="s">
        <v>754</v>
      </c>
      <c r="G168" t="s">
        <v>230</v>
      </c>
      <c r="H168" t="s">
        <v>557</v>
      </c>
      <c r="I168" t="s">
        <v>789</v>
      </c>
      <c r="AF168" t="s">
        <v>216</v>
      </c>
      <c r="AG168" t="s">
        <v>138</v>
      </c>
      <c r="AH168" t="b">
        <v>0</v>
      </c>
    </row>
    <row r="169" spans="1:34">
      <c r="A169" t="s">
        <v>216</v>
      </c>
      <c r="B169" t="s">
        <v>225</v>
      </c>
      <c r="C169" t="s">
        <v>790</v>
      </c>
      <c r="D169" t="s">
        <v>227</v>
      </c>
      <c r="E169" t="s">
        <v>791</v>
      </c>
      <c r="F169" t="s">
        <v>754</v>
      </c>
      <c r="G169" t="s">
        <v>230</v>
      </c>
      <c r="H169" t="s">
        <v>561</v>
      </c>
      <c r="I169" t="s">
        <v>792</v>
      </c>
      <c r="AF169" t="s">
        <v>216</v>
      </c>
      <c r="AG169" t="s">
        <v>138</v>
      </c>
      <c r="AH169" t="b">
        <v>0</v>
      </c>
    </row>
    <row r="170" spans="1:34">
      <c r="A170" t="s">
        <v>216</v>
      </c>
      <c r="B170" t="s">
        <v>225</v>
      </c>
      <c r="C170" t="s">
        <v>793</v>
      </c>
      <c r="D170" t="s">
        <v>227</v>
      </c>
      <c r="E170" t="s">
        <v>794</v>
      </c>
      <c r="F170" t="s">
        <v>790</v>
      </c>
      <c r="G170" t="s">
        <v>230</v>
      </c>
      <c r="H170" t="s">
        <v>231</v>
      </c>
      <c r="I170" t="s">
        <v>795</v>
      </c>
      <c r="AF170" t="s">
        <v>216</v>
      </c>
      <c r="AG170" t="s">
        <v>138</v>
      </c>
      <c r="AH170" t="b">
        <v>0</v>
      </c>
    </row>
    <row r="171" spans="1:34">
      <c r="A171" t="s">
        <v>216</v>
      </c>
      <c r="B171" t="s">
        <v>225</v>
      </c>
      <c r="C171" t="s">
        <v>796</v>
      </c>
      <c r="D171" t="s">
        <v>227</v>
      </c>
      <c r="E171" t="s">
        <v>797</v>
      </c>
      <c r="F171" t="s">
        <v>790</v>
      </c>
      <c r="G171" t="s">
        <v>230</v>
      </c>
      <c r="H171" t="s">
        <v>236</v>
      </c>
      <c r="I171" t="s">
        <v>798</v>
      </c>
      <c r="AF171" t="s">
        <v>216</v>
      </c>
      <c r="AG171" t="s">
        <v>138</v>
      </c>
      <c r="AH171" t="b">
        <v>0</v>
      </c>
    </row>
    <row r="172" spans="1:34">
      <c r="A172" t="s">
        <v>216</v>
      </c>
      <c r="B172" t="s">
        <v>225</v>
      </c>
      <c r="C172" t="s">
        <v>799</v>
      </c>
      <c r="D172" t="s">
        <v>227</v>
      </c>
      <c r="E172" t="s">
        <v>800</v>
      </c>
      <c r="F172" t="s">
        <v>790</v>
      </c>
      <c r="G172" t="s">
        <v>230</v>
      </c>
      <c r="H172" t="s">
        <v>247</v>
      </c>
      <c r="I172" t="s">
        <v>801</v>
      </c>
      <c r="AF172" t="s">
        <v>216</v>
      </c>
      <c r="AG172" t="s">
        <v>138</v>
      </c>
      <c r="AH172" t="b">
        <v>0</v>
      </c>
    </row>
    <row r="173" spans="1:34">
      <c r="A173" t="s">
        <v>216</v>
      </c>
      <c r="B173" t="s">
        <v>225</v>
      </c>
      <c r="C173" t="s">
        <v>802</v>
      </c>
      <c r="D173" t="s">
        <v>227</v>
      </c>
      <c r="E173" t="s">
        <v>803</v>
      </c>
      <c r="F173" t="s">
        <v>790</v>
      </c>
      <c r="G173" t="s">
        <v>230</v>
      </c>
      <c r="H173" t="s">
        <v>251</v>
      </c>
      <c r="I173" t="s">
        <v>804</v>
      </c>
      <c r="AF173" t="s">
        <v>216</v>
      </c>
      <c r="AG173" t="s">
        <v>138</v>
      </c>
      <c r="AH173" t="b">
        <v>0</v>
      </c>
    </row>
    <row r="174" spans="1:34">
      <c r="A174" t="s">
        <v>216</v>
      </c>
      <c r="B174" t="s">
        <v>225</v>
      </c>
      <c r="C174" t="s">
        <v>805</v>
      </c>
      <c r="D174" t="s">
        <v>227</v>
      </c>
      <c r="E174" t="s">
        <v>806</v>
      </c>
      <c r="F174" t="s">
        <v>790</v>
      </c>
      <c r="G174" t="s">
        <v>230</v>
      </c>
      <c r="H174" t="s">
        <v>255</v>
      </c>
      <c r="I174" t="s">
        <v>807</v>
      </c>
      <c r="AF174" t="s">
        <v>216</v>
      </c>
      <c r="AG174" t="s">
        <v>138</v>
      </c>
      <c r="AH174" t="b">
        <v>0</v>
      </c>
    </row>
    <row r="175" spans="1:34">
      <c r="A175" t="s">
        <v>216</v>
      </c>
      <c r="B175" t="s">
        <v>225</v>
      </c>
      <c r="C175" t="s">
        <v>808</v>
      </c>
      <c r="D175" t="s">
        <v>227</v>
      </c>
      <c r="E175" t="s">
        <v>809</v>
      </c>
      <c r="F175" t="s">
        <v>790</v>
      </c>
      <c r="G175" t="s">
        <v>230</v>
      </c>
      <c r="H175" t="s">
        <v>608</v>
      </c>
      <c r="I175" t="s">
        <v>810</v>
      </c>
      <c r="AF175" t="s">
        <v>216</v>
      </c>
      <c r="AG175" t="s">
        <v>138</v>
      </c>
      <c r="AH175" t="b">
        <v>0</v>
      </c>
    </row>
    <row r="176" spans="1:34">
      <c r="A176" t="s">
        <v>216</v>
      </c>
      <c r="B176" t="s">
        <v>225</v>
      </c>
      <c r="C176" t="s">
        <v>811</v>
      </c>
      <c r="D176" t="s">
        <v>227</v>
      </c>
      <c r="E176" t="s">
        <v>812</v>
      </c>
      <c r="F176" t="s">
        <v>790</v>
      </c>
      <c r="G176" t="s">
        <v>230</v>
      </c>
      <c r="H176" t="s">
        <v>612</v>
      </c>
      <c r="I176" t="s">
        <v>813</v>
      </c>
      <c r="AF176" t="s">
        <v>216</v>
      </c>
      <c r="AG176" t="s">
        <v>138</v>
      </c>
      <c r="AH176" t="b">
        <v>0</v>
      </c>
    </row>
    <row r="177" spans="1:34">
      <c r="A177" t="s">
        <v>216</v>
      </c>
      <c r="B177" t="s">
        <v>225</v>
      </c>
      <c r="C177" t="s">
        <v>814</v>
      </c>
      <c r="D177" t="s">
        <v>227</v>
      </c>
      <c r="E177" t="s">
        <v>815</v>
      </c>
      <c r="F177" t="s">
        <v>790</v>
      </c>
      <c r="G177" t="s">
        <v>230</v>
      </c>
      <c r="H177" t="s">
        <v>373</v>
      </c>
      <c r="I177" t="s">
        <v>816</v>
      </c>
      <c r="AF177" t="s">
        <v>216</v>
      </c>
      <c r="AG177" t="s">
        <v>138</v>
      </c>
      <c r="AH177" t="b">
        <v>0</v>
      </c>
    </row>
    <row r="178" spans="1:34">
      <c r="A178" t="s">
        <v>216</v>
      </c>
      <c r="B178" t="s">
        <v>225</v>
      </c>
      <c r="C178" t="s">
        <v>817</v>
      </c>
      <c r="D178" t="s">
        <v>227</v>
      </c>
      <c r="E178" t="s">
        <v>818</v>
      </c>
      <c r="F178" t="s">
        <v>796</v>
      </c>
      <c r="G178" t="s">
        <v>230</v>
      </c>
      <c r="H178" t="s">
        <v>239</v>
      </c>
      <c r="I178" t="s">
        <v>819</v>
      </c>
      <c r="AF178" t="s">
        <v>216</v>
      </c>
      <c r="AG178" t="s">
        <v>138</v>
      </c>
      <c r="AH178" t="b">
        <v>0</v>
      </c>
    </row>
    <row r="179" spans="1:34">
      <c r="A179" t="s">
        <v>216</v>
      </c>
      <c r="B179" t="s">
        <v>225</v>
      </c>
      <c r="C179" t="s">
        <v>820</v>
      </c>
      <c r="D179" t="s">
        <v>227</v>
      </c>
      <c r="E179" t="s">
        <v>821</v>
      </c>
      <c r="F179" t="s">
        <v>796</v>
      </c>
      <c r="G179" t="s">
        <v>230</v>
      </c>
      <c r="H179" t="s">
        <v>242</v>
      </c>
      <c r="I179" t="s">
        <v>822</v>
      </c>
      <c r="AF179" t="s">
        <v>216</v>
      </c>
      <c r="AG179" t="s">
        <v>138</v>
      </c>
      <c r="AH179" t="b">
        <v>0</v>
      </c>
    </row>
    <row r="180" spans="1:34">
      <c r="A180" t="s">
        <v>216</v>
      </c>
      <c r="B180" t="s">
        <v>225</v>
      </c>
      <c r="C180" t="s">
        <v>823</v>
      </c>
      <c r="D180" t="s">
        <v>227</v>
      </c>
      <c r="E180" t="s">
        <v>824</v>
      </c>
      <c r="F180" t="s">
        <v>796</v>
      </c>
      <c r="G180" t="s">
        <v>230</v>
      </c>
      <c r="H180" t="s">
        <v>430</v>
      </c>
      <c r="I180" t="s">
        <v>825</v>
      </c>
      <c r="AF180" t="s">
        <v>216</v>
      </c>
      <c r="AG180" t="s">
        <v>138</v>
      </c>
      <c r="AH180" t="b">
        <v>0</v>
      </c>
    </row>
    <row r="181" spans="1:34">
      <c r="A181" t="s">
        <v>216</v>
      </c>
      <c r="B181" t="s">
        <v>225</v>
      </c>
      <c r="C181" t="s">
        <v>826</v>
      </c>
      <c r="D181" t="s">
        <v>227</v>
      </c>
      <c r="E181" t="s">
        <v>827</v>
      </c>
      <c r="F181" t="s">
        <v>796</v>
      </c>
      <c r="G181" t="s">
        <v>230</v>
      </c>
      <c r="H181" t="s">
        <v>433</v>
      </c>
      <c r="I181" t="s">
        <v>828</v>
      </c>
      <c r="AF181" t="s">
        <v>216</v>
      </c>
      <c r="AG181" t="s">
        <v>138</v>
      </c>
      <c r="AH181" t="b">
        <v>0</v>
      </c>
    </row>
    <row r="182" spans="1:34">
      <c r="A182" t="s">
        <v>216</v>
      </c>
      <c r="B182" t="s">
        <v>225</v>
      </c>
      <c r="C182" t="s">
        <v>829</v>
      </c>
      <c r="D182" t="s">
        <v>227</v>
      </c>
      <c r="E182" t="s">
        <v>830</v>
      </c>
      <c r="F182" t="s">
        <v>796</v>
      </c>
      <c r="G182" t="s">
        <v>230</v>
      </c>
      <c r="H182" t="s">
        <v>490</v>
      </c>
      <c r="I182" t="s">
        <v>831</v>
      </c>
      <c r="AF182" t="s">
        <v>216</v>
      </c>
      <c r="AG182" t="s">
        <v>138</v>
      </c>
      <c r="AH182" t="b">
        <v>0</v>
      </c>
    </row>
    <row r="183" spans="1:34">
      <c r="A183" t="s">
        <v>216</v>
      </c>
      <c r="B183" t="s">
        <v>225</v>
      </c>
      <c r="C183" t="s">
        <v>832</v>
      </c>
      <c r="D183" t="s">
        <v>227</v>
      </c>
      <c r="E183" t="s">
        <v>833</v>
      </c>
      <c r="F183" t="s">
        <v>796</v>
      </c>
      <c r="G183" t="s">
        <v>230</v>
      </c>
      <c r="H183" t="s">
        <v>494</v>
      </c>
      <c r="I183" t="s">
        <v>834</v>
      </c>
      <c r="AF183" t="s">
        <v>216</v>
      </c>
      <c r="AG183" t="s">
        <v>138</v>
      </c>
      <c r="AH183" t="b">
        <v>0</v>
      </c>
    </row>
    <row r="184" spans="1:34">
      <c r="A184" t="s">
        <v>216</v>
      </c>
      <c r="B184" t="s">
        <v>225</v>
      </c>
      <c r="C184" t="s">
        <v>835</v>
      </c>
      <c r="D184" t="s">
        <v>227</v>
      </c>
      <c r="E184" t="s">
        <v>836</v>
      </c>
      <c r="F184" t="s">
        <v>796</v>
      </c>
      <c r="G184" t="s">
        <v>230</v>
      </c>
      <c r="H184" t="s">
        <v>436</v>
      </c>
      <c r="I184" t="s">
        <v>837</v>
      </c>
      <c r="AF184" t="s">
        <v>216</v>
      </c>
      <c r="AG184" t="s">
        <v>138</v>
      </c>
      <c r="AH184" t="b">
        <v>0</v>
      </c>
    </row>
    <row r="185" spans="1:34">
      <c r="A185" t="s">
        <v>216</v>
      </c>
      <c r="B185" t="s">
        <v>225</v>
      </c>
      <c r="C185" t="s">
        <v>838</v>
      </c>
      <c r="D185" t="s">
        <v>227</v>
      </c>
      <c r="E185" t="s">
        <v>839</v>
      </c>
      <c r="F185" t="s">
        <v>796</v>
      </c>
      <c r="G185" t="s">
        <v>230</v>
      </c>
      <c r="H185" t="s">
        <v>451</v>
      </c>
      <c r="I185" t="s">
        <v>840</v>
      </c>
      <c r="AF185" t="s">
        <v>216</v>
      </c>
      <c r="AG185" t="s">
        <v>138</v>
      </c>
      <c r="AH185" t="b">
        <v>0</v>
      </c>
    </row>
    <row r="186" spans="1:34">
      <c r="A186" t="s">
        <v>216</v>
      </c>
      <c r="B186" t="s">
        <v>225</v>
      </c>
      <c r="C186" t="s">
        <v>841</v>
      </c>
      <c r="D186" t="s">
        <v>227</v>
      </c>
      <c r="E186" t="s">
        <v>842</v>
      </c>
      <c r="F186" t="s">
        <v>796</v>
      </c>
      <c r="G186" t="s">
        <v>230</v>
      </c>
      <c r="H186" t="s">
        <v>595</v>
      </c>
      <c r="I186" t="s">
        <v>843</v>
      </c>
      <c r="AF186" t="s">
        <v>216</v>
      </c>
      <c r="AG186" t="s">
        <v>138</v>
      </c>
      <c r="AH186" t="b">
        <v>0</v>
      </c>
    </row>
    <row r="187" spans="1:34">
      <c r="A187" t="s">
        <v>216</v>
      </c>
      <c r="B187" t="s">
        <v>225</v>
      </c>
      <c r="C187" t="s">
        <v>844</v>
      </c>
      <c r="D187" t="s">
        <v>845</v>
      </c>
      <c r="E187" t="s">
        <v>846</v>
      </c>
      <c r="F187" t="s">
        <v>393</v>
      </c>
      <c r="G187" t="s">
        <v>230</v>
      </c>
      <c r="H187" t="s">
        <v>847</v>
      </c>
      <c r="I187" t="s">
        <v>848</v>
      </c>
      <c r="AF187" t="s">
        <v>216</v>
      </c>
      <c r="AG187" t="s">
        <v>138</v>
      </c>
      <c r="AH187" t="b">
        <v>0</v>
      </c>
    </row>
    <row r="188" spans="1:34">
      <c r="A188" t="s">
        <v>216</v>
      </c>
      <c r="B188" t="s">
        <v>225</v>
      </c>
      <c r="C188" t="s">
        <v>849</v>
      </c>
      <c r="D188" t="s">
        <v>850</v>
      </c>
      <c r="E188" t="s">
        <v>851</v>
      </c>
      <c r="F188" t="s">
        <v>393</v>
      </c>
      <c r="G188" t="s">
        <v>230</v>
      </c>
      <c r="H188" t="s">
        <v>852</v>
      </c>
      <c r="I188" t="s">
        <v>853</v>
      </c>
      <c r="AF188" t="s">
        <v>216</v>
      </c>
      <c r="AG188" t="s">
        <v>138</v>
      </c>
      <c r="AH188" t="b">
        <v>0</v>
      </c>
    </row>
    <row r="189" spans="1:34">
      <c r="A189" t="s">
        <v>216</v>
      </c>
      <c r="B189" t="s">
        <v>225</v>
      </c>
      <c r="C189" t="s">
        <v>854</v>
      </c>
      <c r="D189" t="s">
        <v>855</v>
      </c>
      <c r="E189" t="s">
        <v>856</v>
      </c>
      <c r="F189" t="s">
        <v>393</v>
      </c>
      <c r="G189" t="s">
        <v>230</v>
      </c>
      <c r="H189" t="s">
        <v>857</v>
      </c>
      <c r="I189" t="s">
        <v>858</v>
      </c>
      <c r="AF189" t="s">
        <v>216</v>
      </c>
      <c r="AG189" t="s">
        <v>138</v>
      </c>
      <c r="AH189" t="b">
        <v>0</v>
      </c>
    </row>
    <row r="190" spans="1:34">
      <c r="A190" t="s">
        <v>216</v>
      </c>
      <c r="B190" t="s">
        <v>225</v>
      </c>
      <c r="C190" t="s">
        <v>859</v>
      </c>
      <c r="D190" t="s">
        <v>860</v>
      </c>
      <c r="E190" t="s">
        <v>861</v>
      </c>
      <c r="F190" t="s">
        <v>393</v>
      </c>
      <c r="G190" t="s">
        <v>230</v>
      </c>
      <c r="H190" t="s">
        <v>862</v>
      </c>
      <c r="I190" t="s">
        <v>863</v>
      </c>
      <c r="AF190" t="s">
        <v>216</v>
      </c>
      <c r="AG190" t="s">
        <v>138</v>
      </c>
      <c r="AH190" t="b">
        <v>0</v>
      </c>
    </row>
    <row r="191" spans="1:34">
      <c r="A191" t="s">
        <v>216</v>
      </c>
      <c r="B191" t="s">
        <v>225</v>
      </c>
      <c r="C191" t="s">
        <v>864</v>
      </c>
      <c r="D191" t="s">
        <v>865</v>
      </c>
      <c r="E191" t="s">
        <v>866</v>
      </c>
      <c r="F191" t="s">
        <v>393</v>
      </c>
      <c r="G191" t="s">
        <v>230</v>
      </c>
      <c r="H191" t="s">
        <v>867</v>
      </c>
      <c r="I191" t="s">
        <v>868</v>
      </c>
      <c r="AF191" t="s">
        <v>216</v>
      </c>
      <c r="AG191" t="s">
        <v>138</v>
      </c>
      <c r="AH191" t="b">
        <v>0</v>
      </c>
    </row>
    <row r="192" spans="1:34">
      <c r="A192" t="s">
        <v>216</v>
      </c>
      <c r="B192" t="s">
        <v>225</v>
      </c>
      <c r="C192" t="s">
        <v>869</v>
      </c>
      <c r="D192" t="s">
        <v>227</v>
      </c>
      <c r="E192" t="s">
        <v>870</v>
      </c>
      <c r="F192" t="s">
        <v>393</v>
      </c>
      <c r="G192" t="s">
        <v>230</v>
      </c>
      <c r="H192" t="s">
        <v>871</v>
      </c>
      <c r="I192" t="s">
        <v>872</v>
      </c>
      <c r="AF192" t="s">
        <v>216</v>
      </c>
      <c r="AG192" t="s">
        <v>138</v>
      </c>
      <c r="AH192" t="b">
        <v>0</v>
      </c>
    </row>
    <row r="193" spans="1:34">
      <c r="A193" t="s">
        <v>216</v>
      </c>
      <c r="B193" t="s">
        <v>225</v>
      </c>
      <c r="C193" t="s">
        <v>873</v>
      </c>
      <c r="D193" t="s">
        <v>227</v>
      </c>
      <c r="E193" t="s">
        <v>874</v>
      </c>
      <c r="F193" t="s">
        <v>393</v>
      </c>
      <c r="G193" t="s">
        <v>230</v>
      </c>
      <c r="H193" t="s">
        <v>875</v>
      </c>
      <c r="I193" t="s">
        <v>876</v>
      </c>
      <c r="AF193" t="s">
        <v>216</v>
      </c>
      <c r="AG193" t="s">
        <v>138</v>
      </c>
      <c r="AH193" t="b">
        <v>0</v>
      </c>
    </row>
    <row r="194" spans="1:34">
      <c r="A194" t="s">
        <v>216</v>
      </c>
      <c r="B194" t="s">
        <v>225</v>
      </c>
      <c r="C194" t="s">
        <v>877</v>
      </c>
      <c r="D194" t="s">
        <v>878</v>
      </c>
      <c r="E194" t="s">
        <v>879</v>
      </c>
      <c r="F194" t="s">
        <v>393</v>
      </c>
      <c r="G194" t="s">
        <v>230</v>
      </c>
      <c r="H194" t="s">
        <v>880</v>
      </c>
      <c r="I194" t="s">
        <v>881</v>
      </c>
      <c r="AF194" t="s">
        <v>216</v>
      </c>
      <c r="AG194" t="s">
        <v>138</v>
      </c>
      <c r="AH194" t="b">
        <v>0</v>
      </c>
    </row>
    <row r="195" spans="1:34">
      <c r="A195" t="s">
        <v>216</v>
      </c>
      <c r="B195" t="s">
        <v>225</v>
      </c>
      <c r="C195" t="s">
        <v>882</v>
      </c>
      <c r="D195" t="s">
        <v>883</v>
      </c>
      <c r="E195" t="s">
        <v>884</v>
      </c>
      <c r="F195" t="s">
        <v>393</v>
      </c>
      <c r="G195" t="s">
        <v>230</v>
      </c>
      <c r="H195" t="s">
        <v>885</v>
      </c>
      <c r="I195" t="s">
        <v>886</v>
      </c>
      <c r="AF195" t="s">
        <v>216</v>
      </c>
      <c r="AG195" t="s">
        <v>138</v>
      </c>
      <c r="AH195" t="b">
        <v>0</v>
      </c>
    </row>
    <row r="196" spans="1:34">
      <c r="A196" t="s">
        <v>216</v>
      </c>
      <c r="B196" t="s">
        <v>225</v>
      </c>
      <c r="C196" t="s">
        <v>887</v>
      </c>
      <c r="D196" t="s">
        <v>888</v>
      </c>
      <c r="E196" t="s">
        <v>889</v>
      </c>
      <c r="F196" t="s">
        <v>393</v>
      </c>
      <c r="G196" t="s">
        <v>230</v>
      </c>
      <c r="H196" t="s">
        <v>890</v>
      </c>
      <c r="I196" t="s">
        <v>891</v>
      </c>
      <c r="AF196" t="s">
        <v>216</v>
      </c>
      <c r="AG196" t="s">
        <v>138</v>
      </c>
      <c r="AH196" t="b">
        <v>0</v>
      </c>
    </row>
    <row r="197" spans="1:34">
      <c r="A197" t="s">
        <v>216</v>
      </c>
      <c r="B197" t="s">
        <v>225</v>
      </c>
      <c r="C197" t="s">
        <v>892</v>
      </c>
      <c r="D197" t="s">
        <v>893</v>
      </c>
      <c r="E197" t="s">
        <v>894</v>
      </c>
      <c r="F197" t="s">
        <v>393</v>
      </c>
      <c r="G197" t="s">
        <v>230</v>
      </c>
      <c r="H197" t="s">
        <v>895</v>
      </c>
      <c r="I197" t="s">
        <v>896</v>
      </c>
      <c r="AF197" t="s">
        <v>216</v>
      </c>
      <c r="AG197" t="s">
        <v>138</v>
      </c>
      <c r="AH197" t="b">
        <v>0</v>
      </c>
    </row>
    <row r="198" spans="1:34">
      <c r="A198" t="s">
        <v>216</v>
      </c>
      <c r="B198" t="s">
        <v>225</v>
      </c>
      <c r="C198" t="s">
        <v>897</v>
      </c>
      <c r="D198" t="s">
        <v>227</v>
      </c>
      <c r="E198" t="s">
        <v>898</v>
      </c>
      <c r="F198" t="s">
        <v>520</v>
      </c>
      <c r="G198" t="s">
        <v>230</v>
      </c>
      <c r="H198" t="s">
        <v>899</v>
      </c>
      <c r="I198" t="s">
        <v>900</v>
      </c>
      <c r="AF198" t="s">
        <v>216</v>
      </c>
      <c r="AG198" t="s">
        <v>138</v>
      </c>
      <c r="AH198" t="b">
        <v>0</v>
      </c>
    </row>
    <row r="199" spans="1:34">
      <c r="A199" t="s">
        <v>216</v>
      </c>
      <c r="B199" t="s">
        <v>225</v>
      </c>
      <c r="C199" t="s">
        <v>901</v>
      </c>
      <c r="D199" t="s">
        <v>902</v>
      </c>
      <c r="E199" t="s">
        <v>903</v>
      </c>
      <c r="F199" t="s">
        <v>393</v>
      </c>
      <c r="G199" t="s">
        <v>230</v>
      </c>
      <c r="H199" t="s">
        <v>904</v>
      </c>
      <c r="I199" t="s">
        <v>905</v>
      </c>
      <c r="AF199" t="s">
        <v>216</v>
      </c>
      <c r="AG199" t="s">
        <v>138</v>
      </c>
      <c r="AH199" t="b">
        <v>0</v>
      </c>
    </row>
    <row r="200" spans="1:34">
      <c r="A200" t="s">
        <v>216</v>
      </c>
      <c r="B200" t="s">
        <v>225</v>
      </c>
      <c r="C200" t="s">
        <v>906</v>
      </c>
      <c r="D200" t="s">
        <v>907</v>
      </c>
      <c r="E200" t="s">
        <v>908</v>
      </c>
      <c r="F200" t="s">
        <v>393</v>
      </c>
      <c r="G200" t="s">
        <v>230</v>
      </c>
      <c r="H200" t="s">
        <v>909</v>
      </c>
      <c r="I200" t="s">
        <v>910</v>
      </c>
      <c r="AF200" t="s">
        <v>216</v>
      </c>
      <c r="AG200" t="s">
        <v>138</v>
      </c>
      <c r="AH200" t="b">
        <v>0</v>
      </c>
    </row>
    <row r="201" spans="1:34">
      <c r="A201" t="s">
        <v>216</v>
      </c>
      <c r="B201" t="s">
        <v>225</v>
      </c>
      <c r="C201" t="s">
        <v>911</v>
      </c>
      <c r="D201" t="s">
        <v>912</v>
      </c>
      <c r="E201" t="s">
        <v>913</v>
      </c>
      <c r="F201" t="s">
        <v>393</v>
      </c>
      <c r="G201" t="s">
        <v>230</v>
      </c>
      <c r="H201" t="s">
        <v>914</v>
      </c>
      <c r="I201" t="s">
        <v>915</v>
      </c>
      <c r="AF201" t="s">
        <v>216</v>
      </c>
      <c r="AG201" t="s">
        <v>138</v>
      </c>
      <c r="AH201" t="b">
        <v>0</v>
      </c>
    </row>
    <row r="202" spans="1:34">
      <c r="A202" t="s">
        <v>216</v>
      </c>
      <c r="B202" t="s">
        <v>225</v>
      </c>
      <c r="C202" t="s">
        <v>916</v>
      </c>
      <c r="D202" t="s">
        <v>917</v>
      </c>
      <c r="E202" t="s">
        <v>918</v>
      </c>
      <c r="F202" t="s">
        <v>393</v>
      </c>
      <c r="G202" t="s">
        <v>230</v>
      </c>
      <c r="H202" t="s">
        <v>919</v>
      </c>
      <c r="I202" t="s">
        <v>920</v>
      </c>
      <c r="AF202" t="s">
        <v>216</v>
      </c>
      <c r="AG202" t="s">
        <v>138</v>
      </c>
      <c r="AH202" t="b">
        <v>0</v>
      </c>
    </row>
    <row r="203" spans="1:34">
      <c r="A203" t="s">
        <v>216</v>
      </c>
      <c r="B203" t="s">
        <v>225</v>
      </c>
      <c r="C203" t="s">
        <v>921</v>
      </c>
      <c r="D203" t="s">
        <v>922</v>
      </c>
      <c r="E203" t="s">
        <v>923</v>
      </c>
      <c r="F203" t="s">
        <v>393</v>
      </c>
      <c r="G203" t="s">
        <v>230</v>
      </c>
      <c r="H203" t="s">
        <v>924</v>
      </c>
      <c r="I203" t="s">
        <v>925</v>
      </c>
      <c r="AF203" t="s">
        <v>216</v>
      </c>
      <c r="AG203" t="s">
        <v>138</v>
      </c>
      <c r="AH203" t="b">
        <v>0</v>
      </c>
    </row>
    <row r="204" spans="1:34">
      <c r="A204" t="s">
        <v>216</v>
      </c>
      <c r="B204" t="s">
        <v>225</v>
      </c>
      <c r="C204" t="s">
        <v>926</v>
      </c>
      <c r="D204" t="s">
        <v>927</v>
      </c>
      <c r="E204" t="s">
        <v>928</v>
      </c>
      <c r="F204" t="s">
        <v>393</v>
      </c>
      <c r="G204" t="s">
        <v>230</v>
      </c>
      <c r="H204" t="s">
        <v>929</v>
      </c>
      <c r="I204" t="s">
        <v>930</v>
      </c>
      <c r="AF204" t="s">
        <v>216</v>
      </c>
      <c r="AG204" t="s">
        <v>138</v>
      </c>
      <c r="AH204" t="b">
        <v>0</v>
      </c>
    </row>
    <row r="205" spans="1:34">
      <c r="A205" t="s">
        <v>216</v>
      </c>
      <c r="B205" t="s">
        <v>225</v>
      </c>
      <c r="C205" t="s">
        <v>931</v>
      </c>
      <c r="D205" t="s">
        <v>932</v>
      </c>
      <c r="E205" t="s">
        <v>933</v>
      </c>
      <c r="F205" t="s">
        <v>393</v>
      </c>
      <c r="G205" t="s">
        <v>230</v>
      </c>
      <c r="H205" t="s">
        <v>934</v>
      </c>
      <c r="I205" t="s">
        <v>935</v>
      </c>
      <c r="AF205" t="s">
        <v>216</v>
      </c>
      <c r="AG205" t="s">
        <v>138</v>
      </c>
      <c r="AH205" t="b">
        <v>0</v>
      </c>
    </row>
    <row r="206" spans="1:34">
      <c r="A206" t="s">
        <v>216</v>
      </c>
      <c r="B206" t="s">
        <v>225</v>
      </c>
      <c r="C206" t="s">
        <v>936</v>
      </c>
      <c r="D206" t="s">
        <v>937</v>
      </c>
      <c r="E206" t="s">
        <v>938</v>
      </c>
      <c r="F206" t="s">
        <v>393</v>
      </c>
      <c r="G206" t="s">
        <v>230</v>
      </c>
      <c r="H206" t="s">
        <v>939</v>
      </c>
      <c r="I206" t="s">
        <v>940</v>
      </c>
      <c r="AF206" t="s">
        <v>216</v>
      </c>
      <c r="AG206" t="s">
        <v>138</v>
      </c>
      <c r="AH206" t="b">
        <v>0</v>
      </c>
    </row>
    <row r="207" spans="1:34">
      <c r="A207" t="s">
        <v>216</v>
      </c>
      <c r="B207" t="s">
        <v>225</v>
      </c>
      <c r="C207" t="s">
        <v>941</v>
      </c>
      <c r="D207" t="s">
        <v>942</v>
      </c>
      <c r="E207" t="s">
        <v>943</v>
      </c>
      <c r="F207" t="s">
        <v>393</v>
      </c>
      <c r="G207" t="s">
        <v>230</v>
      </c>
      <c r="H207" t="s">
        <v>944</v>
      </c>
      <c r="I207" t="s">
        <v>945</v>
      </c>
      <c r="AF207" t="s">
        <v>216</v>
      </c>
      <c r="AG207" t="s">
        <v>138</v>
      </c>
      <c r="AH207" t="b">
        <v>0</v>
      </c>
    </row>
    <row r="208" spans="1:34">
      <c r="A208" t="s">
        <v>216</v>
      </c>
      <c r="B208" t="s">
        <v>225</v>
      </c>
      <c r="C208" t="s">
        <v>946</v>
      </c>
      <c r="D208" t="s">
        <v>947</v>
      </c>
      <c r="E208" t="s">
        <v>948</v>
      </c>
      <c r="F208" t="s">
        <v>393</v>
      </c>
      <c r="G208" t="s">
        <v>230</v>
      </c>
      <c r="H208" t="s">
        <v>949</v>
      </c>
      <c r="I208" t="s">
        <v>950</v>
      </c>
      <c r="AF208" t="s">
        <v>216</v>
      </c>
      <c r="AG208" t="s">
        <v>138</v>
      </c>
      <c r="AH208" t="b">
        <v>0</v>
      </c>
    </row>
    <row r="209" spans="1:34">
      <c r="A209" t="s">
        <v>216</v>
      </c>
      <c r="B209" t="s">
        <v>225</v>
      </c>
      <c r="C209" t="s">
        <v>951</v>
      </c>
      <c r="D209" t="s">
        <v>952</v>
      </c>
      <c r="E209" t="s">
        <v>953</v>
      </c>
      <c r="F209" t="s">
        <v>393</v>
      </c>
      <c r="G209" t="s">
        <v>230</v>
      </c>
      <c r="H209" t="s">
        <v>954</v>
      </c>
      <c r="I209" t="s">
        <v>955</v>
      </c>
      <c r="AF209" t="s">
        <v>216</v>
      </c>
      <c r="AG209" t="s">
        <v>138</v>
      </c>
      <c r="AH209" t="b">
        <v>0</v>
      </c>
    </row>
    <row r="210" spans="1:34">
      <c r="A210" t="s">
        <v>216</v>
      </c>
      <c r="B210" t="s">
        <v>225</v>
      </c>
      <c r="C210" t="s">
        <v>956</v>
      </c>
      <c r="D210" t="s">
        <v>957</v>
      </c>
      <c r="E210" t="s">
        <v>958</v>
      </c>
      <c r="F210" t="s">
        <v>393</v>
      </c>
      <c r="G210" t="s">
        <v>230</v>
      </c>
      <c r="H210" t="s">
        <v>959</v>
      </c>
      <c r="I210" t="s">
        <v>960</v>
      </c>
      <c r="AF210" t="s">
        <v>216</v>
      </c>
      <c r="AG210" t="s">
        <v>138</v>
      </c>
      <c r="AH210" t="b">
        <v>0</v>
      </c>
    </row>
    <row r="211" spans="1:34">
      <c r="A211" t="s">
        <v>216</v>
      </c>
      <c r="B211" t="s">
        <v>225</v>
      </c>
      <c r="C211" t="s">
        <v>961</v>
      </c>
      <c r="D211" t="s">
        <v>962</v>
      </c>
      <c r="E211" t="s">
        <v>963</v>
      </c>
      <c r="F211" t="s">
        <v>393</v>
      </c>
      <c r="G211" t="s">
        <v>230</v>
      </c>
      <c r="H211" t="s">
        <v>964</v>
      </c>
      <c r="I211" t="s">
        <v>965</v>
      </c>
      <c r="AF211" t="s">
        <v>216</v>
      </c>
      <c r="AG211" t="s">
        <v>138</v>
      </c>
      <c r="AH211" t="b">
        <v>0</v>
      </c>
    </row>
    <row r="212" spans="1:34">
      <c r="A212" t="s">
        <v>216</v>
      </c>
      <c r="B212" t="s">
        <v>225</v>
      </c>
      <c r="C212" t="s">
        <v>966</v>
      </c>
      <c r="D212" t="s">
        <v>967</v>
      </c>
      <c r="E212" t="s">
        <v>968</v>
      </c>
      <c r="F212" t="s">
        <v>393</v>
      </c>
      <c r="G212" t="s">
        <v>230</v>
      </c>
      <c r="H212" t="s">
        <v>969</v>
      </c>
      <c r="I212" t="s">
        <v>970</v>
      </c>
      <c r="AF212" t="s">
        <v>216</v>
      </c>
      <c r="AG212" t="s">
        <v>138</v>
      </c>
      <c r="AH212" t="b">
        <v>0</v>
      </c>
    </row>
    <row r="213" spans="1:34">
      <c r="A213" t="s">
        <v>216</v>
      </c>
      <c r="B213" t="s">
        <v>225</v>
      </c>
      <c r="C213" t="s">
        <v>971</v>
      </c>
      <c r="D213" t="s">
        <v>972</v>
      </c>
      <c r="E213" t="s">
        <v>973</v>
      </c>
      <c r="F213" t="s">
        <v>393</v>
      </c>
      <c r="G213" t="s">
        <v>230</v>
      </c>
      <c r="H213" t="s">
        <v>974</v>
      </c>
      <c r="I213" t="s">
        <v>975</v>
      </c>
      <c r="AF213" t="s">
        <v>216</v>
      </c>
      <c r="AG213" t="s">
        <v>138</v>
      </c>
      <c r="AH213" t="b">
        <v>0</v>
      </c>
    </row>
    <row r="214" spans="1:34">
      <c r="A214" t="s">
        <v>216</v>
      </c>
      <c r="B214" t="s">
        <v>225</v>
      </c>
      <c r="C214" t="s">
        <v>976</v>
      </c>
      <c r="D214" t="s">
        <v>977</v>
      </c>
      <c r="E214" t="s">
        <v>978</v>
      </c>
      <c r="F214" t="s">
        <v>393</v>
      </c>
      <c r="G214" t="s">
        <v>230</v>
      </c>
      <c r="H214" t="s">
        <v>979</v>
      </c>
      <c r="I214" t="s">
        <v>980</v>
      </c>
      <c r="AF214" t="s">
        <v>216</v>
      </c>
      <c r="AG214" t="s">
        <v>138</v>
      </c>
      <c r="AH214" t="b">
        <v>0</v>
      </c>
    </row>
    <row r="215" spans="1:34">
      <c r="A215" t="s">
        <v>216</v>
      </c>
      <c r="B215" t="s">
        <v>225</v>
      </c>
      <c r="C215" t="s">
        <v>981</v>
      </c>
      <c r="D215" t="s">
        <v>982</v>
      </c>
      <c r="E215" t="s">
        <v>983</v>
      </c>
      <c r="F215" t="s">
        <v>393</v>
      </c>
      <c r="G215" t="s">
        <v>230</v>
      </c>
      <c r="H215" t="s">
        <v>984</v>
      </c>
      <c r="I215" t="s">
        <v>985</v>
      </c>
      <c r="AF215" t="s">
        <v>216</v>
      </c>
      <c r="AG215" t="s">
        <v>138</v>
      </c>
      <c r="AH215" t="b">
        <v>0</v>
      </c>
    </row>
    <row r="216" spans="1:34">
      <c r="A216" t="s">
        <v>216</v>
      </c>
      <c r="B216" t="s">
        <v>225</v>
      </c>
      <c r="C216" t="s">
        <v>986</v>
      </c>
      <c r="D216" t="s">
        <v>987</v>
      </c>
      <c r="E216" t="s">
        <v>988</v>
      </c>
      <c r="F216" t="s">
        <v>393</v>
      </c>
      <c r="G216" t="s">
        <v>230</v>
      </c>
      <c r="H216" t="s">
        <v>989</v>
      </c>
      <c r="I216" t="s">
        <v>990</v>
      </c>
      <c r="AF216" t="s">
        <v>216</v>
      </c>
      <c r="AG216" t="s">
        <v>138</v>
      </c>
      <c r="AH216" t="b">
        <v>0</v>
      </c>
    </row>
    <row r="217" spans="1:34">
      <c r="A217" t="s">
        <v>216</v>
      </c>
      <c r="B217" t="s">
        <v>225</v>
      </c>
      <c r="C217" t="s">
        <v>991</v>
      </c>
      <c r="D217" t="s">
        <v>992</v>
      </c>
      <c r="E217" t="s">
        <v>993</v>
      </c>
      <c r="F217" t="s">
        <v>393</v>
      </c>
      <c r="G217" t="s">
        <v>230</v>
      </c>
      <c r="H217" t="s">
        <v>994</v>
      </c>
      <c r="I217" t="s">
        <v>995</v>
      </c>
      <c r="AF217" t="s">
        <v>216</v>
      </c>
      <c r="AG217" t="s">
        <v>138</v>
      </c>
      <c r="AH217" t="b">
        <v>0</v>
      </c>
    </row>
    <row r="218" spans="1:34">
      <c r="A218" t="s">
        <v>216</v>
      </c>
      <c r="B218" t="s">
        <v>225</v>
      </c>
      <c r="C218" t="s">
        <v>996</v>
      </c>
      <c r="D218" t="s">
        <v>997</v>
      </c>
      <c r="E218" t="s">
        <v>998</v>
      </c>
      <c r="F218" t="s">
        <v>393</v>
      </c>
      <c r="G218" t="s">
        <v>230</v>
      </c>
      <c r="H218" t="s">
        <v>999</v>
      </c>
      <c r="I218" t="s">
        <v>1000</v>
      </c>
      <c r="AF218" t="s">
        <v>216</v>
      </c>
      <c r="AG218" t="s">
        <v>138</v>
      </c>
      <c r="AH218" t="b">
        <v>0</v>
      </c>
    </row>
    <row r="219" spans="1:34">
      <c r="A219" t="s">
        <v>216</v>
      </c>
      <c r="B219" t="s">
        <v>225</v>
      </c>
      <c r="C219" t="s">
        <v>1001</v>
      </c>
      <c r="D219" t="s">
        <v>1002</v>
      </c>
      <c r="E219" t="s">
        <v>1003</v>
      </c>
      <c r="F219" t="s">
        <v>393</v>
      </c>
      <c r="G219" t="s">
        <v>230</v>
      </c>
      <c r="H219" t="s">
        <v>1004</v>
      </c>
      <c r="I219" t="s">
        <v>1005</v>
      </c>
      <c r="AF219" t="s">
        <v>216</v>
      </c>
      <c r="AG219" t="s">
        <v>138</v>
      </c>
      <c r="AH219" t="b">
        <v>0</v>
      </c>
    </row>
    <row r="220" spans="1:34">
      <c r="A220" t="s">
        <v>216</v>
      </c>
      <c r="B220" t="s">
        <v>225</v>
      </c>
      <c r="C220" t="s">
        <v>1006</v>
      </c>
      <c r="D220" t="s">
        <v>1007</v>
      </c>
      <c r="E220" t="s">
        <v>1008</v>
      </c>
      <c r="F220" t="s">
        <v>393</v>
      </c>
      <c r="G220" t="s">
        <v>230</v>
      </c>
      <c r="H220" t="s">
        <v>1009</v>
      </c>
      <c r="I220" t="s">
        <v>1010</v>
      </c>
      <c r="AF220" t="s">
        <v>216</v>
      </c>
      <c r="AG220" t="s">
        <v>138</v>
      </c>
      <c r="AH220" t="b">
        <v>0</v>
      </c>
    </row>
    <row r="221" spans="1:34">
      <c r="A221" t="s">
        <v>216</v>
      </c>
      <c r="B221" t="s">
        <v>225</v>
      </c>
      <c r="C221" t="s">
        <v>1011</v>
      </c>
      <c r="D221" t="s">
        <v>1012</v>
      </c>
      <c r="E221" t="s">
        <v>1013</v>
      </c>
      <c r="F221" t="s">
        <v>393</v>
      </c>
      <c r="G221" t="s">
        <v>230</v>
      </c>
      <c r="H221" t="s">
        <v>1014</v>
      </c>
      <c r="I221" t="s">
        <v>1015</v>
      </c>
      <c r="AF221" t="s">
        <v>216</v>
      </c>
      <c r="AG221" t="s">
        <v>138</v>
      </c>
      <c r="AH221" t="b">
        <v>0</v>
      </c>
    </row>
    <row r="222" spans="1:34">
      <c r="A222" t="s">
        <v>216</v>
      </c>
      <c r="B222" t="s">
        <v>225</v>
      </c>
      <c r="C222" t="s">
        <v>1016</v>
      </c>
      <c r="D222" t="s">
        <v>1017</v>
      </c>
      <c r="E222" t="s">
        <v>1018</v>
      </c>
      <c r="F222" t="s">
        <v>393</v>
      </c>
      <c r="G222" t="s">
        <v>230</v>
      </c>
      <c r="H222" t="s">
        <v>1019</v>
      </c>
      <c r="I222" t="s">
        <v>1020</v>
      </c>
      <c r="AF222" t="s">
        <v>216</v>
      </c>
      <c r="AG222" t="s">
        <v>138</v>
      </c>
      <c r="AH222" t="b">
        <v>0</v>
      </c>
    </row>
    <row r="223" spans="1:34">
      <c r="A223" t="s">
        <v>216</v>
      </c>
      <c r="B223" t="s">
        <v>225</v>
      </c>
      <c r="C223" t="s">
        <v>1021</v>
      </c>
      <c r="D223" t="s">
        <v>227</v>
      </c>
      <c r="E223" t="s">
        <v>1022</v>
      </c>
      <c r="F223" t="s">
        <v>393</v>
      </c>
      <c r="G223" t="s">
        <v>230</v>
      </c>
      <c r="H223" t="s">
        <v>1023</v>
      </c>
      <c r="I223" t="s">
        <v>1024</v>
      </c>
      <c r="AF223" t="s">
        <v>216</v>
      </c>
      <c r="AG223" t="s">
        <v>138</v>
      </c>
      <c r="AH223" t="b">
        <v>0</v>
      </c>
    </row>
    <row r="224" spans="1:34">
      <c r="A224" t="s">
        <v>216</v>
      </c>
      <c r="B224" t="s">
        <v>225</v>
      </c>
      <c r="C224" t="s">
        <v>1025</v>
      </c>
      <c r="D224" t="s">
        <v>1026</v>
      </c>
      <c r="E224" t="s">
        <v>1027</v>
      </c>
      <c r="F224" t="s">
        <v>393</v>
      </c>
      <c r="G224" t="s">
        <v>230</v>
      </c>
      <c r="H224" t="s">
        <v>1028</v>
      </c>
      <c r="I224" t="s">
        <v>1029</v>
      </c>
      <c r="AF224" t="s">
        <v>216</v>
      </c>
      <c r="AG224" t="s">
        <v>138</v>
      </c>
      <c r="AH224" t="b">
        <v>0</v>
      </c>
    </row>
    <row r="225" spans="1:34">
      <c r="A225" t="s">
        <v>216</v>
      </c>
      <c r="B225" t="s">
        <v>225</v>
      </c>
      <c r="C225" t="s">
        <v>1030</v>
      </c>
      <c r="D225" t="s">
        <v>1031</v>
      </c>
      <c r="E225" t="s">
        <v>1032</v>
      </c>
      <c r="F225" t="s">
        <v>393</v>
      </c>
      <c r="G225" t="s">
        <v>230</v>
      </c>
      <c r="H225" t="s">
        <v>1033</v>
      </c>
      <c r="I225" t="s">
        <v>1034</v>
      </c>
      <c r="AF225" t="s">
        <v>216</v>
      </c>
      <c r="AG225" t="s">
        <v>138</v>
      </c>
      <c r="AH225" t="b">
        <v>0</v>
      </c>
    </row>
    <row r="226" spans="1:34">
      <c r="A226" t="s">
        <v>216</v>
      </c>
      <c r="B226" t="s">
        <v>225</v>
      </c>
      <c r="C226" t="s">
        <v>1035</v>
      </c>
      <c r="D226" t="s">
        <v>1036</v>
      </c>
      <c r="E226" t="s">
        <v>1037</v>
      </c>
      <c r="F226" t="s">
        <v>393</v>
      </c>
      <c r="G226" t="s">
        <v>230</v>
      </c>
      <c r="H226" t="s">
        <v>1038</v>
      </c>
      <c r="I226" t="s">
        <v>1039</v>
      </c>
      <c r="AF226" t="s">
        <v>216</v>
      </c>
      <c r="AG226" t="s">
        <v>138</v>
      </c>
      <c r="AH226" t="b">
        <v>0</v>
      </c>
    </row>
    <row r="227" spans="1:34">
      <c r="A227" t="s">
        <v>216</v>
      </c>
      <c r="B227" t="s">
        <v>225</v>
      </c>
      <c r="C227" t="s">
        <v>1040</v>
      </c>
      <c r="D227" t="s">
        <v>1041</v>
      </c>
      <c r="E227" t="s">
        <v>1042</v>
      </c>
      <c r="F227" t="s">
        <v>393</v>
      </c>
      <c r="G227" t="s">
        <v>230</v>
      </c>
      <c r="H227" t="s">
        <v>639</v>
      </c>
      <c r="I227" t="s">
        <v>1043</v>
      </c>
      <c r="AF227" t="s">
        <v>216</v>
      </c>
      <c r="AG227" t="s">
        <v>138</v>
      </c>
      <c r="AH227" t="b">
        <v>0</v>
      </c>
    </row>
    <row r="228" spans="1:34">
      <c r="A228" t="s">
        <v>216</v>
      </c>
      <c r="B228" t="s">
        <v>225</v>
      </c>
      <c r="C228" t="s">
        <v>1044</v>
      </c>
      <c r="D228" t="s">
        <v>227</v>
      </c>
      <c r="E228" t="s">
        <v>1045</v>
      </c>
      <c r="F228" t="s">
        <v>393</v>
      </c>
      <c r="G228" t="s">
        <v>230</v>
      </c>
      <c r="H228" t="s">
        <v>1046</v>
      </c>
      <c r="I228" t="s">
        <v>1047</v>
      </c>
      <c r="AF228" t="s">
        <v>216</v>
      </c>
      <c r="AG228" t="s">
        <v>138</v>
      </c>
      <c r="AH228" t="b">
        <v>0</v>
      </c>
    </row>
    <row r="229" spans="1:34">
      <c r="A229" t="s">
        <v>216</v>
      </c>
      <c r="B229" t="s">
        <v>225</v>
      </c>
      <c r="C229" t="s">
        <v>1048</v>
      </c>
      <c r="D229" t="s">
        <v>1049</v>
      </c>
      <c r="E229" t="s">
        <v>1050</v>
      </c>
      <c r="F229" t="s">
        <v>393</v>
      </c>
      <c r="G229" t="s">
        <v>230</v>
      </c>
      <c r="H229" t="s">
        <v>1051</v>
      </c>
      <c r="I229" t="s">
        <v>1052</v>
      </c>
      <c r="AF229" t="s">
        <v>216</v>
      </c>
      <c r="AG229" t="s">
        <v>138</v>
      </c>
      <c r="AH229" t="b">
        <v>0</v>
      </c>
    </row>
    <row r="230" spans="1:34">
      <c r="A230" t="s">
        <v>216</v>
      </c>
      <c r="B230" t="s">
        <v>225</v>
      </c>
      <c r="C230" t="s">
        <v>1053</v>
      </c>
      <c r="D230" t="s">
        <v>227</v>
      </c>
      <c r="E230" t="s">
        <v>1054</v>
      </c>
      <c r="F230" t="s">
        <v>393</v>
      </c>
      <c r="G230" t="s">
        <v>230</v>
      </c>
      <c r="H230" t="s">
        <v>1055</v>
      </c>
      <c r="I230" t="s">
        <v>1056</v>
      </c>
      <c r="AF230" t="s">
        <v>216</v>
      </c>
      <c r="AG230" t="s">
        <v>138</v>
      </c>
      <c r="AH230" t="b">
        <v>0</v>
      </c>
    </row>
    <row r="231" spans="1:34">
      <c r="A231" t="s">
        <v>216</v>
      </c>
      <c r="B231" t="s">
        <v>225</v>
      </c>
      <c r="C231" t="s">
        <v>1057</v>
      </c>
      <c r="D231" t="s">
        <v>1058</v>
      </c>
      <c r="E231" t="s">
        <v>1059</v>
      </c>
      <c r="F231" t="s">
        <v>393</v>
      </c>
      <c r="G231" t="s">
        <v>230</v>
      </c>
      <c r="H231" t="s">
        <v>1060</v>
      </c>
      <c r="I231" t="s">
        <v>1061</v>
      </c>
      <c r="AF231" t="s">
        <v>216</v>
      </c>
      <c r="AG231" t="s">
        <v>138</v>
      </c>
      <c r="AH231" t="b">
        <v>0</v>
      </c>
    </row>
    <row r="232" spans="1:34">
      <c r="A232" t="s">
        <v>216</v>
      </c>
      <c r="B232" t="s">
        <v>225</v>
      </c>
      <c r="C232" t="s">
        <v>1062</v>
      </c>
      <c r="D232" t="s">
        <v>1063</v>
      </c>
      <c r="E232" t="s">
        <v>1064</v>
      </c>
      <c r="F232" t="s">
        <v>393</v>
      </c>
      <c r="G232" t="s">
        <v>230</v>
      </c>
      <c r="H232" t="s">
        <v>1065</v>
      </c>
      <c r="I232" t="s">
        <v>1066</v>
      </c>
      <c r="AF232" t="s">
        <v>216</v>
      </c>
      <c r="AG232" t="s">
        <v>138</v>
      </c>
      <c r="AH232" t="b">
        <v>0</v>
      </c>
    </row>
    <row r="233" spans="1:34">
      <c r="A233" t="s">
        <v>216</v>
      </c>
      <c r="B233" t="s">
        <v>225</v>
      </c>
      <c r="C233" t="s">
        <v>1067</v>
      </c>
      <c r="D233" t="s">
        <v>227</v>
      </c>
      <c r="E233" t="s">
        <v>1068</v>
      </c>
      <c r="F233" t="s">
        <v>393</v>
      </c>
      <c r="G233" t="s">
        <v>230</v>
      </c>
      <c r="H233" t="s">
        <v>1069</v>
      </c>
      <c r="I233" t="s">
        <v>1070</v>
      </c>
      <c r="AF233" t="s">
        <v>216</v>
      </c>
      <c r="AG233" t="s">
        <v>138</v>
      </c>
      <c r="AH233" t="b">
        <v>0</v>
      </c>
    </row>
    <row r="234" spans="1:34">
      <c r="A234" t="s">
        <v>216</v>
      </c>
      <c r="B234" t="s">
        <v>225</v>
      </c>
      <c r="C234" t="s">
        <v>1071</v>
      </c>
      <c r="D234" t="s">
        <v>1072</v>
      </c>
      <c r="E234" t="s">
        <v>1073</v>
      </c>
      <c r="F234" t="s">
        <v>393</v>
      </c>
      <c r="G234" t="s">
        <v>230</v>
      </c>
      <c r="H234" t="s">
        <v>1074</v>
      </c>
      <c r="I234" t="s">
        <v>1075</v>
      </c>
      <c r="AF234" t="s">
        <v>216</v>
      </c>
      <c r="AG234" t="s">
        <v>138</v>
      </c>
      <c r="AH234" t="b">
        <v>0</v>
      </c>
    </row>
    <row r="235" spans="1:34">
      <c r="A235" t="s">
        <v>216</v>
      </c>
      <c r="B235" t="s">
        <v>225</v>
      </c>
      <c r="C235" t="s">
        <v>1076</v>
      </c>
      <c r="D235" t="s">
        <v>1077</v>
      </c>
      <c r="E235" t="s">
        <v>1078</v>
      </c>
      <c r="F235" t="s">
        <v>393</v>
      </c>
      <c r="G235" t="s">
        <v>230</v>
      </c>
      <c r="H235" t="s">
        <v>1079</v>
      </c>
      <c r="I235" t="s">
        <v>1080</v>
      </c>
      <c r="AF235" t="s">
        <v>216</v>
      </c>
      <c r="AG235" t="s">
        <v>138</v>
      </c>
      <c r="AH235" t="b">
        <v>0</v>
      </c>
    </row>
    <row r="236" spans="1:34">
      <c r="A236" t="s">
        <v>216</v>
      </c>
      <c r="B236" t="s">
        <v>225</v>
      </c>
      <c r="C236" t="s">
        <v>1081</v>
      </c>
      <c r="D236" t="s">
        <v>1082</v>
      </c>
      <c r="E236" t="s">
        <v>1083</v>
      </c>
      <c r="F236" t="s">
        <v>393</v>
      </c>
      <c r="G236" t="s">
        <v>230</v>
      </c>
      <c r="H236" t="s">
        <v>1084</v>
      </c>
      <c r="I236" t="s">
        <v>1085</v>
      </c>
      <c r="AF236" t="s">
        <v>216</v>
      </c>
      <c r="AG236" t="s">
        <v>138</v>
      </c>
      <c r="AH236" t="b">
        <v>0</v>
      </c>
    </row>
    <row r="237" spans="1:34">
      <c r="A237" t="s">
        <v>216</v>
      </c>
      <c r="B237" t="s">
        <v>225</v>
      </c>
      <c r="C237" t="s">
        <v>1086</v>
      </c>
      <c r="D237" t="s">
        <v>227</v>
      </c>
      <c r="E237" t="s">
        <v>1087</v>
      </c>
      <c r="F237" t="s">
        <v>1088</v>
      </c>
      <c r="G237" t="s">
        <v>230</v>
      </c>
      <c r="H237" t="s">
        <v>1089</v>
      </c>
      <c r="I237" t="s">
        <v>1090</v>
      </c>
      <c r="AF237" t="s">
        <v>216</v>
      </c>
      <c r="AG237" t="s">
        <v>138</v>
      </c>
      <c r="AH237" t="b">
        <v>0</v>
      </c>
    </row>
    <row r="238" spans="1:34">
      <c r="A238" t="s">
        <v>216</v>
      </c>
      <c r="B238" t="s">
        <v>225</v>
      </c>
      <c r="C238" t="s">
        <v>1091</v>
      </c>
      <c r="D238" t="s">
        <v>1092</v>
      </c>
      <c r="E238" t="s">
        <v>1093</v>
      </c>
      <c r="F238" t="s">
        <v>393</v>
      </c>
      <c r="G238" t="s">
        <v>230</v>
      </c>
      <c r="H238" t="s">
        <v>1094</v>
      </c>
      <c r="I238" t="s">
        <v>1095</v>
      </c>
      <c r="AF238" t="s">
        <v>216</v>
      </c>
      <c r="AG238" t="s">
        <v>138</v>
      </c>
      <c r="AH238" t="b">
        <v>0</v>
      </c>
    </row>
    <row r="239" spans="1:34">
      <c r="A239" t="s">
        <v>216</v>
      </c>
      <c r="B239" t="s">
        <v>225</v>
      </c>
      <c r="C239" t="s">
        <v>1096</v>
      </c>
      <c r="D239" t="s">
        <v>1097</v>
      </c>
      <c r="E239" t="s">
        <v>1098</v>
      </c>
      <c r="F239" t="s">
        <v>393</v>
      </c>
      <c r="G239" t="s">
        <v>230</v>
      </c>
      <c r="H239" t="s">
        <v>1099</v>
      </c>
      <c r="I239" t="s">
        <v>1100</v>
      </c>
      <c r="AF239" t="s">
        <v>216</v>
      </c>
      <c r="AG239" t="s">
        <v>138</v>
      </c>
      <c r="AH239" t="b">
        <v>0</v>
      </c>
    </row>
    <row r="240" spans="1:34">
      <c r="A240" t="s">
        <v>216</v>
      </c>
      <c r="B240" t="s">
        <v>225</v>
      </c>
      <c r="C240" t="s">
        <v>1101</v>
      </c>
      <c r="D240" t="s">
        <v>1102</v>
      </c>
      <c r="E240" t="s">
        <v>1103</v>
      </c>
      <c r="F240" t="s">
        <v>393</v>
      </c>
      <c r="G240" t="s">
        <v>230</v>
      </c>
      <c r="H240" t="s">
        <v>1104</v>
      </c>
      <c r="I240" t="s">
        <v>1105</v>
      </c>
      <c r="AF240" t="s">
        <v>216</v>
      </c>
      <c r="AG240" t="s">
        <v>138</v>
      </c>
      <c r="AH240" t="b">
        <v>0</v>
      </c>
    </row>
    <row r="241" spans="1:34">
      <c r="A241" t="s">
        <v>216</v>
      </c>
      <c r="B241" t="s">
        <v>225</v>
      </c>
      <c r="C241" t="s">
        <v>1106</v>
      </c>
      <c r="D241" t="s">
        <v>1107</v>
      </c>
      <c r="E241" t="s">
        <v>1108</v>
      </c>
      <c r="F241" t="s">
        <v>393</v>
      </c>
      <c r="G241" t="s">
        <v>230</v>
      </c>
      <c r="H241" t="s">
        <v>1109</v>
      </c>
      <c r="I241" t="s">
        <v>1110</v>
      </c>
      <c r="AF241" t="s">
        <v>216</v>
      </c>
      <c r="AG241" t="s">
        <v>138</v>
      </c>
      <c r="AH241" t="b">
        <v>0</v>
      </c>
    </row>
    <row r="242" spans="1:34">
      <c r="A242" t="s">
        <v>216</v>
      </c>
      <c r="B242" t="s">
        <v>225</v>
      </c>
      <c r="C242" t="s">
        <v>1111</v>
      </c>
      <c r="D242" t="s">
        <v>1112</v>
      </c>
      <c r="E242" t="s">
        <v>1113</v>
      </c>
      <c r="F242" t="s">
        <v>393</v>
      </c>
      <c r="G242" t="s">
        <v>230</v>
      </c>
      <c r="H242" t="s">
        <v>1114</v>
      </c>
      <c r="I242" t="s">
        <v>1115</v>
      </c>
      <c r="AF242" t="s">
        <v>216</v>
      </c>
      <c r="AG242" t="s">
        <v>138</v>
      </c>
      <c r="AH242" t="b">
        <v>0</v>
      </c>
    </row>
    <row r="243" spans="1:34">
      <c r="A243" t="s">
        <v>216</v>
      </c>
      <c r="B243" t="s">
        <v>225</v>
      </c>
      <c r="C243" t="s">
        <v>1116</v>
      </c>
      <c r="D243" t="s">
        <v>1117</v>
      </c>
      <c r="E243" t="s">
        <v>1118</v>
      </c>
      <c r="F243" t="s">
        <v>393</v>
      </c>
      <c r="G243" t="s">
        <v>230</v>
      </c>
      <c r="H243" t="s">
        <v>1119</v>
      </c>
      <c r="I243" t="s">
        <v>1120</v>
      </c>
      <c r="AF243" t="s">
        <v>216</v>
      </c>
      <c r="AG243" t="s">
        <v>138</v>
      </c>
      <c r="AH243" t="b">
        <v>0</v>
      </c>
    </row>
    <row r="244" spans="1:34">
      <c r="A244" t="s">
        <v>216</v>
      </c>
      <c r="B244" t="s">
        <v>225</v>
      </c>
      <c r="C244" t="s">
        <v>1121</v>
      </c>
      <c r="D244" t="s">
        <v>1122</v>
      </c>
      <c r="E244" t="s">
        <v>1123</v>
      </c>
      <c r="F244" t="s">
        <v>393</v>
      </c>
      <c r="G244" t="s">
        <v>230</v>
      </c>
      <c r="H244" t="s">
        <v>1124</v>
      </c>
      <c r="I244" t="s">
        <v>1125</v>
      </c>
      <c r="AF244" t="s">
        <v>216</v>
      </c>
      <c r="AG244" t="s">
        <v>138</v>
      </c>
      <c r="AH244" t="b">
        <v>0</v>
      </c>
    </row>
    <row r="245" spans="1:34">
      <c r="A245" t="s">
        <v>216</v>
      </c>
      <c r="B245" t="s">
        <v>225</v>
      </c>
      <c r="C245" t="s">
        <v>1126</v>
      </c>
      <c r="D245" t="s">
        <v>1127</v>
      </c>
      <c r="E245" t="s">
        <v>1128</v>
      </c>
      <c r="F245" t="s">
        <v>393</v>
      </c>
      <c r="G245" t="s">
        <v>230</v>
      </c>
      <c r="H245" t="s">
        <v>1129</v>
      </c>
      <c r="I245" t="s">
        <v>1130</v>
      </c>
      <c r="AF245" t="s">
        <v>216</v>
      </c>
      <c r="AG245" t="s">
        <v>138</v>
      </c>
      <c r="AH245" t="b">
        <v>0</v>
      </c>
    </row>
    <row r="246" spans="1:34">
      <c r="A246" t="s">
        <v>216</v>
      </c>
      <c r="B246" t="s">
        <v>225</v>
      </c>
      <c r="C246" t="s">
        <v>1131</v>
      </c>
      <c r="D246" t="s">
        <v>1132</v>
      </c>
      <c r="E246" t="s">
        <v>1133</v>
      </c>
      <c r="F246" t="s">
        <v>393</v>
      </c>
      <c r="G246" t="s">
        <v>230</v>
      </c>
      <c r="H246" t="s">
        <v>1104</v>
      </c>
      <c r="I246" t="s">
        <v>1134</v>
      </c>
      <c r="AF246" t="s">
        <v>216</v>
      </c>
      <c r="AG246" t="s">
        <v>138</v>
      </c>
      <c r="AH246" t="b">
        <v>0</v>
      </c>
    </row>
    <row r="247" spans="1:34">
      <c r="A247" t="s">
        <v>216</v>
      </c>
      <c r="B247" t="s">
        <v>225</v>
      </c>
      <c r="C247" t="s">
        <v>1135</v>
      </c>
      <c r="D247" t="s">
        <v>1136</v>
      </c>
      <c r="E247" t="s">
        <v>1137</v>
      </c>
      <c r="F247" t="s">
        <v>393</v>
      </c>
      <c r="G247" t="s">
        <v>230</v>
      </c>
      <c r="H247" t="s">
        <v>1138</v>
      </c>
      <c r="I247" t="s">
        <v>1139</v>
      </c>
      <c r="AF247" t="s">
        <v>216</v>
      </c>
      <c r="AG247" t="s">
        <v>138</v>
      </c>
      <c r="AH247" t="b">
        <v>0</v>
      </c>
    </row>
    <row r="248" spans="1:34">
      <c r="A248" t="s">
        <v>216</v>
      </c>
      <c r="B248" t="s">
        <v>225</v>
      </c>
      <c r="C248" t="s">
        <v>1140</v>
      </c>
      <c r="D248" t="s">
        <v>1141</v>
      </c>
      <c r="E248" t="s">
        <v>1142</v>
      </c>
      <c r="F248" t="s">
        <v>393</v>
      </c>
      <c r="G248" t="s">
        <v>230</v>
      </c>
      <c r="H248" t="s">
        <v>1143</v>
      </c>
      <c r="I248" t="s">
        <v>1144</v>
      </c>
      <c r="AF248" t="s">
        <v>216</v>
      </c>
      <c r="AG248" t="s">
        <v>138</v>
      </c>
      <c r="AH248" t="b">
        <v>0</v>
      </c>
    </row>
    <row r="249" spans="1:34">
      <c r="A249" t="s">
        <v>216</v>
      </c>
      <c r="B249" t="s">
        <v>225</v>
      </c>
      <c r="C249" t="s">
        <v>1145</v>
      </c>
      <c r="D249" t="s">
        <v>1146</v>
      </c>
      <c r="E249" t="s">
        <v>1147</v>
      </c>
      <c r="F249" t="s">
        <v>393</v>
      </c>
      <c r="G249" t="s">
        <v>230</v>
      </c>
      <c r="H249" t="s">
        <v>1148</v>
      </c>
      <c r="I249" t="s">
        <v>1149</v>
      </c>
      <c r="AF249" t="s">
        <v>216</v>
      </c>
      <c r="AG249" t="s">
        <v>138</v>
      </c>
      <c r="AH249" t="b">
        <v>0</v>
      </c>
    </row>
    <row r="250" spans="1:34">
      <c r="A250" t="s">
        <v>216</v>
      </c>
      <c r="B250" t="s">
        <v>225</v>
      </c>
      <c r="C250" t="s">
        <v>1150</v>
      </c>
      <c r="D250" t="s">
        <v>1151</v>
      </c>
      <c r="E250" t="s">
        <v>1152</v>
      </c>
      <c r="F250" t="s">
        <v>393</v>
      </c>
      <c r="G250" t="s">
        <v>230</v>
      </c>
      <c r="H250" t="s">
        <v>1153</v>
      </c>
      <c r="I250" t="s">
        <v>1154</v>
      </c>
      <c r="AF250" t="s">
        <v>216</v>
      </c>
      <c r="AG250" t="s">
        <v>138</v>
      </c>
      <c r="AH250" t="b">
        <v>0</v>
      </c>
    </row>
    <row r="251" spans="1:34">
      <c r="A251" t="s">
        <v>216</v>
      </c>
      <c r="B251" t="s">
        <v>225</v>
      </c>
      <c r="C251" t="s">
        <v>1155</v>
      </c>
      <c r="D251" t="s">
        <v>1156</v>
      </c>
      <c r="E251" t="s">
        <v>1157</v>
      </c>
      <c r="F251" t="s">
        <v>393</v>
      </c>
      <c r="G251" t="s">
        <v>230</v>
      </c>
      <c r="H251" t="s">
        <v>1124</v>
      </c>
      <c r="I251" t="s">
        <v>1158</v>
      </c>
      <c r="AF251" t="s">
        <v>216</v>
      </c>
      <c r="AG251" t="s">
        <v>138</v>
      </c>
      <c r="AH251" t="b">
        <v>0</v>
      </c>
    </row>
    <row r="252" spans="1:34">
      <c r="A252" t="s">
        <v>216</v>
      </c>
      <c r="B252" t="s">
        <v>225</v>
      </c>
      <c r="C252" t="s">
        <v>1159</v>
      </c>
      <c r="D252" t="s">
        <v>1160</v>
      </c>
      <c r="E252" t="s">
        <v>1161</v>
      </c>
      <c r="F252" t="s">
        <v>393</v>
      </c>
      <c r="G252" t="s">
        <v>230</v>
      </c>
      <c r="H252" t="s">
        <v>1162</v>
      </c>
      <c r="I252" t="s">
        <v>1163</v>
      </c>
      <c r="AF252" t="s">
        <v>216</v>
      </c>
      <c r="AG252" t="s">
        <v>138</v>
      </c>
      <c r="AH252" t="b">
        <v>0</v>
      </c>
    </row>
    <row r="253" spans="1:34">
      <c r="A253" t="s">
        <v>216</v>
      </c>
      <c r="B253" t="s">
        <v>225</v>
      </c>
      <c r="C253" t="s">
        <v>1164</v>
      </c>
      <c r="D253" t="s">
        <v>1165</v>
      </c>
      <c r="E253" t="s">
        <v>1166</v>
      </c>
      <c r="F253" t="s">
        <v>393</v>
      </c>
      <c r="G253" t="s">
        <v>230</v>
      </c>
      <c r="H253" t="s">
        <v>1167</v>
      </c>
      <c r="I253" t="s">
        <v>1168</v>
      </c>
      <c r="AF253" t="s">
        <v>216</v>
      </c>
      <c r="AG253" t="s">
        <v>138</v>
      </c>
      <c r="AH253" t="b">
        <v>0</v>
      </c>
    </row>
    <row r="254" spans="1:34">
      <c r="A254" t="s">
        <v>216</v>
      </c>
      <c r="B254" t="s">
        <v>225</v>
      </c>
      <c r="C254" t="s">
        <v>1169</v>
      </c>
      <c r="D254" t="s">
        <v>1170</v>
      </c>
      <c r="E254" t="s">
        <v>1171</v>
      </c>
      <c r="F254" t="s">
        <v>393</v>
      </c>
      <c r="G254" t="s">
        <v>230</v>
      </c>
      <c r="H254" t="s">
        <v>1172</v>
      </c>
      <c r="I254" t="s">
        <v>1173</v>
      </c>
      <c r="AF254" t="s">
        <v>216</v>
      </c>
      <c r="AG254" t="s">
        <v>138</v>
      </c>
      <c r="AH254" t="b">
        <v>0</v>
      </c>
    </row>
    <row r="255" spans="1:34">
      <c r="A255" t="s">
        <v>216</v>
      </c>
      <c r="B255" t="s">
        <v>225</v>
      </c>
      <c r="C255" t="s">
        <v>1174</v>
      </c>
      <c r="D255" t="s">
        <v>227</v>
      </c>
      <c r="E255" t="s">
        <v>1175</v>
      </c>
      <c r="F255" t="s">
        <v>475</v>
      </c>
      <c r="G255" t="s">
        <v>230</v>
      </c>
      <c r="H255" t="s">
        <v>1176</v>
      </c>
      <c r="I255" t="s">
        <v>1177</v>
      </c>
      <c r="AF255" t="s">
        <v>216</v>
      </c>
      <c r="AG255" t="s">
        <v>138</v>
      </c>
      <c r="AH255" t="b">
        <v>0</v>
      </c>
    </row>
    <row r="256" spans="1:34">
      <c r="A256" t="s">
        <v>216</v>
      </c>
      <c r="B256" t="s">
        <v>225</v>
      </c>
      <c r="C256" t="s">
        <v>1178</v>
      </c>
      <c r="D256" t="s">
        <v>1179</v>
      </c>
      <c r="E256" t="s">
        <v>1180</v>
      </c>
      <c r="F256" t="s">
        <v>393</v>
      </c>
      <c r="G256" t="s">
        <v>230</v>
      </c>
      <c r="H256" t="s">
        <v>1181</v>
      </c>
      <c r="I256" t="s">
        <v>1182</v>
      </c>
      <c r="AF256" t="s">
        <v>216</v>
      </c>
      <c r="AG256" t="s">
        <v>138</v>
      </c>
      <c r="AH256" t="b">
        <v>0</v>
      </c>
    </row>
    <row r="257" spans="1:34">
      <c r="A257" t="s">
        <v>216</v>
      </c>
      <c r="B257" t="s">
        <v>225</v>
      </c>
      <c r="C257" t="s">
        <v>1183</v>
      </c>
      <c r="D257" t="s">
        <v>1184</v>
      </c>
      <c r="E257" t="s">
        <v>1185</v>
      </c>
      <c r="F257" t="s">
        <v>393</v>
      </c>
      <c r="G257" t="s">
        <v>230</v>
      </c>
      <c r="H257" t="s">
        <v>1186</v>
      </c>
      <c r="I257" t="s">
        <v>1187</v>
      </c>
      <c r="AF257" t="s">
        <v>216</v>
      </c>
      <c r="AG257" t="s">
        <v>138</v>
      </c>
      <c r="AH257" t="b">
        <v>0</v>
      </c>
    </row>
    <row r="258" spans="1:34">
      <c r="A258" t="s">
        <v>216</v>
      </c>
      <c r="B258" t="s">
        <v>225</v>
      </c>
      <c r="C258" t="s">
        <v>1188</v>
      </c>
      <c r="D258" t="s">
        <v>1189</v>
      </c>
      <c r="E258" t="s">
        <v>1190</v>
      </c>
      <c r="F258" t="s">
        <v>393</v>
      </c>
      <c r="G258" t="s">
        <v>230</v>
      </c>
      <c r="H258" t="s">
        <v>1191</v>
      </c>
      <c r="I258" t="s">
        <v>1192</v>
      </c>
      <c r="AF258" t="s">
        <v>216</v>
      </c>
      <c r="AG258" t="s">
        <v>138</v>
      </c>
      <c r="AH258" t="b">
        <v>0</v>
      </c>
    </row>
    <row r="259" spans="1:34">
      <c r="A259" t="s">
        <v>216</v>
      </c>
      <c r="B259" t="s">
        <v>225</v>
      </c>
      <c r="C259" t="s">
        <v>1193</v>
      </c>
      <c r="D259" t="s">
        <v>1194</v>
      </c>
      <c r="E259" t="s">
        <v>1195</v>
      </c>
      <c r="F259" t="s">
        <v>393</v>
      </c>
      <c r="G259" t="s">
        <v>230</v>
      </c>
      <c r="H259" t="s">
        <v>1196</v>
      </c>
      <c r="I259" t="s">
        <v>1197</v>
      </c>
      <c r="AF259" t="s">
        <v>216</v>
      </c>
      <c r="AG259" t="s">
        <v>138</v>
      </c>
      <c r="AH259" t="b">
        <v>0</v>
      </c>
    </row>
    <row r="260" spans="1:34">
      <c r="A260" t="s">
        <v>216</v>
      </c>
      <c r="B260" t="s">
        <v>225</v>
      </c>
      <c r="C260" t="s">
        <v>1198</v>
      </c>
      <c r="D260" t="s">
        <v>1199</v>
      </c>
      <c r="E260" t="s">
        <v>1200</v>
      </c>
      <c r="F260" t="s">
        <v>393</v>
      </c>
      <c r="G260" t="s">
        <v>230</v>
      </c>
      <c r="H260" t="s">
        <v>1201</v>
      </c>
      <c r="I260" t="s">
        <v>1202</v>
      </c>
      <c r="AF260" t="s">
        <v>216</v>
      </c>
      <c r="AG260" t="s">
        <v>138</v>
      </c>
      <c r="AH260" t="b">
        <v>0</v>
      </c>
    </row>
    <row r="261" spans="1:34">
      <c r="A261" t="s">
        <v>216</v>
      </c>
      <c r="B261" t="s">
        <v>225</v>
      </c>
      <c r="C261" t="s">
        <v>1203</v>
      </c>
      <c r="D261" t="s">
        <v>1204</v>
      </c>
      <c r="E261" t="s">
        <v>1205</v>
      </c>
      <c r="F261" t="s">
        <v>393</v>
      </c>
      <c r="G261" t="s">
        <v>230</v>
      </c>
      <c r="H261" t="s">
        <v>1206</v>
      </c>
      <c r="I261" t="s">
        <v>1207</v>
      </c>
      <c r="AF261" t="s">
        <v>216</v>
      </c>
      <c r="AG261" t="s">
        <v>138</v>
      </c>
      <c r="AH261" t="b">
        <v>0</v>
      </c>
    </row>
    <row r="262" spans="1:34">
      <c r="A262" t="s">
        <v>216</v>
      </c>
      <c r="B262" t="s">
        <v>225</v>
      </c>
      <c r="C262" t="s">
        <v>1208</v>
      </c>
      <c r="D262" t="s">
        <v>1209</v>
      </c>
      <c r="E262" t="s">
        <v>1210</v>
      </c>
      <c r="F262" t="s">
        <v>393</v>
      </c>
      <c r="G262" t="s">
        <v>230</v>
      </c>
      <c r="H262" t="s">
        <v>1211</v>
      </c>
      <c r="I262" t="s">
        <v>1212</v>
      </c>
      <c r="AF262" t="s">
        <v>216</v>
      </c>
      <c r="AG262" t="s">
        <v>138</v>
      </c>
      <c r="AH262" t="b">
        <v>0</v>
      </c>
    </row>
    <row r="263" spans="1:34">
      <c r="A263" t="s">
        <v>216</v>
      </c>
      <c r="B263" t="s">
        <v>225</v>
      </c>
      <c r="C263" t="s">
        <v>1213</v>
      </c>
      <c r="D263" t="s">
        <v>1214</v>
      </c>
      <c r="E263" t="s">
        <v>1215</v>
      </c>
      <c r="F263" t="s">
        <v>393</v>
      </c>
      <c r="G263" t="s">
        <v>230</v>
      </c>
      <c r="H263" t="s">
        <v>1216</v>
      </c>
      <c r="I263" t="s">
        <v>1217</v>
      </c>
      <c r="AF263" t="s">
        <v>216</v>
      </c>
      <c r="AG263" t="s">
        <v>138</v>
      </c>
      <c r="AH263" t="b">
        <v>0</v>
      </c>
    </row>
    <row r="264" spans="1:34">
      <c r="A264" t="s">
        <v>216</v>
      </c>
      <c r="B264" t="s">
        <v>225</v>
      </c>
      <c r="C264" t="s">
        <v>1218</v>
      </c>
      <c r="D264" t="s">
        <v>1219</v>
      </c>
      <c r="E264" t="s">
        <v>1220</v>
      </c>
      <c r="F264" t="s">
        <v>393</v>
      </c>
      <c r="G264" t="s">
        <v>230</v>
      </c>
      <c r="H264" t="s">
        <v>1221</v>
      </c>
      <c r="I264" t="s">
        <v>1222</v>
      </c>
      <c r="AF264" t="s">
        <v>216</v>
      </c>
      <c r="AG264" t="s">
        <v>138</v>
      </c>
      <c r="AH264" t="b">
        <v>0</v>
      </c>
    </row>
    <row r="265" spans="1:34">
      <c r="A265" t="s">
        <v>216</v>
      </c>
      <c r="B265" t="s">
        <v>225</v>
      </c>
      <c r="C265" t="s">
        <v>1223</v>
      </c>
      <c r="D265" t="s">
        <v>1224</v>
      </c>
      <c r="E265" t="s">
        <v>1225</v>
      </c>
      <c r="F265" t="s">
        <v>393</v>
      </c>
      <c r="G265" t="s">
        <v>230</v>
      </c>
      <c r="H265" t="s">
        <v>1226</v>
      </c>
      <c r="I265" t="s">
        <v>1227</v>
      </c>
      <c r="AF265" t="s">
        <v>216</v>
      </c>
      <c r="AG265" t="s">
        <v>138</v>
      </c>
      <c r="AH265" t="b">
        <v>0</v>
      </c>
    </row>
    <row r="266" spans="1:34">
      <c r="A266" t="s">
        <v>216</v>
      </c>
      <c r="B266" t="s">
        <v>225</v>
      </c>
      <c r="C266" t="s">
        <v>1228</v>
      </c>
      <c r="D266" t="s">
        <v>1229</v>
      </c>
      <c r="E266" t="s">
        <v>1230</v>
      </c>
      <c r="F266" t="s">
        <v>393</v>
      </c>
      <c r="G266" t="s">
        <v>230</v>
      </c>
      <c r="H266" t="s">
        <v>1231</v>
      </c>
      <c r="I266" t="s">
        <v>1232</v>
      </c>
      <c r="AF266" t="s">
        <v>216</v>
      </c>
      <c r="AG266" t="s">
        <v>138</v>
      </c>
      <c r="AH266" t="b">
        <v>0</v>
      </c>
    </row>
    <row r="267" spans="1:34">
      <c r="A267" t="s">
        <v>216</v>
      </c>
      <c r="B267" t="s">
        <v>225</v>
      </c>
      <c r="C267" t="s">
        <v>1233</v>
      </c>
      <c r="D267" t="s">
        <v>1234</v>
      </c>
      <c r="E267" t="s">
        <v>1235</v>
      </c>
      <c r="F267" t="s">
        <v>393</v>
      </c>
      <c r="G267" t="s">
        <v>230</v>
      </c>
      <c r="H267" t="s">
        <v>1236</v>
      </c>
      <c r="I267" t="s">
        <v>1237</v>
      </c>
      <c r="AF267" t="s">
        <v>216</v>
      </c>
      <c r="AG267" t="s">
        <v>138</v>
      </c>
      <c r="AH267" t="b">
        <v>0</v>
      </c>
    </row>
    <row r="268" spans="1:34">
      <c r="A268" t="s">
        <v>216</v>
      </c>
      <c r="B268" t="s">
        <v>225</v>
      </c>
      <c r="C268" t="s">
        <v>1238</v>
      </c>
      <c r="D268" t="s">
        <v>1239</v>
      </c>
      <c r="E268" t="s">
        <v>1240</v>
      </c>
      <c r="F268" t="s">
        <v>393</v>
      </c>
      <c r="G268" t="s">
        <v>230</v>
      </c>
      <c r="H268" t="s">
        <v>1241</v>
      </c>
      <c r="I268" t="s">
        <v>1242</v>
      </c>
      <c r="AF268" t="s">
        <v>216</v>
      </c>
      <c r="AG268" t="s">
        <v>138</v>
      </c>
      <c r="AH268" t="b">
        <v>0</v>
      </c>
    </row>
    <row r="269" spans="1:34">
      <c r="A269" t="s">
        <v>216</v>
      </c>
      <c r="B269" t="s">
        <v>225</v>
      </c>
      <c r="C269" t="s">
        <v>1243</v>
      </c>
      <c r="D269" t="s">
        <v>1244</v>
      </c>
      <c r="E269" t="s">
        <v>1245</v>
      </c>
      <c r="F269" t="s">
        <v>393</v>
      </c>
      <c r="G269" t="s">
        <v>230</v>
      </c>
      <c r="H269" t="s">
        <v>1246</v>
      </c>
      <c r="I269" t="s">
        <v>1247</v>
      </c>
      <c r="AF269" t="s">
        <v>216</v>
      </c>
      <c r="AG269" t="s">
        <v>138</v>
      </c>
      <c r="AH269" t="b">
        <v>0</v>
      </c>
    </row>
    <row r="270" spans="1:34">
      <c r="A270" t="s">
        <v>1248</v>
      </c>
      <c r="B270" t="s">
        <v>70</v>
      </c>
      <c r="C270" t="s">
        <v>218</v>
      </c>
      <c r="D270" t="s">
        <v>222</v>
      </c>
      <c r="E270" t="s">
        <v>100</v>
      </c>
      <c r="H270" t="s">
        <v>1249</v>
      </c>
      <c r="AF270" t="s">
        <v>1248</v>
      </c>
      <c r="AG270" t="s">
        <v>138</v>
      </c>
      <c r="AH270" t="b">
        <v>0</v>
      </c>
    </row>
    <row r="271" spans="1:34">
      <c r="A271" t="s">
        <v>1248</v>
      </c>
      <c r="B271" t="s">
        <v>390</v>
      </c>
      <c r="C271" t="s">
        <v>391</v>
      </c>
      <c r="D271" t="s">
        <v>394</v>
      </c>
      <c r="E271" t="s">
        <v>1250</v>
      </c>
      <c r="H271" t="s">
        <v>1251</v>
      </c>
      <c r="AF271" t="s">
        <v>1248</v>
      </c>
      <c r="AG271" t="s">
        <v>138</v>
      </c>
      <c r="AH271" t="b">
        <v>0</v>
      </c>
    </row>
    <row r="272" spans="1:34">
      <c r="A272" t="s">
        <v>1248</v>
      </c>
      <c r="B272" t="s">
        <v>396</v>
      </c>
      <c r="C272" t="s">
        <v>397</v>
      </c>
      <c r="E272" t="s">
        <v>399</v>
      </c>
      <c r="AF272" t="s">
        <v>1248</v>
      </c>
      <c r="AG272" t="s">
        <v>138</v>
      </c>
      <c r="AH272" t="b">
        <v>0</v>
      </c>
    </row>
    <row r="273" spans="1:34">
      <c r="A273" t="s">
        <v>1248</v>
      </c>
      <c r="B273" t="s">
        <v>400</v>
      </c>
      <c r="C273" t="s">
        <v>401</v>
      </c>
      <c r="D273" t="s">
        <v>403</v>
      </c>
      <c r="E273" t="s">
        <v>1252</v>
      </c>
      <c r="AF273" t="s">
        <v>1248</v>
      </c>
      <c r="AG273" t="s">
        <v>138</v>
      </c>
      <c r="AH273" t="b">
        <v>0</v>
      </c>
    </row>
    <row r="274" spans="1:34">
      <c r="A274" t="s">
        <v>1248</v>
      </c>
      <c r="B274" t="s">
        <v>424</v>
      </c>
      <c r="C274" t="s">
        <v>425</v>
      </c>
      <c r="D274" t="s">
        <v>427</v>
      </c>
      <c r="E274" t="s">
        <v>1253</v>
      </c>
      <c r="AF274" t="s">
        <v>1248</v>
      </c>
      <c r="AG274" t="s">
        <v>138</v>
      </c>
      <c r="AH274" t="b">
        <v>0</v>
      </c>
    </row>
    <row r="275" spans="1:34">
      <c r="A275" t="s">
        <v>1248</v>
      </c>
      <c r="B275" t="s">
        <v>445</v>
      </c>
      <c r="C275" t="s">
        <v>446</v>
      </c>
      <c r="D275" t="s">
        <v>448</v>
      </c>
      <c r="E275" t="s">
        <v>1254</v>
      </c>
      <c r="AF275" t="s">
        <v>1248</v>
      </c>
      <c r="AG275" t="s">
        <v>138</v>
      </c>
      <c r="AH275" t="b">
        <v>0</v>
      </c>
    </row>
    <row r="276" spans="1:34">
      <c r="A276" t="s">
        <v>1248</v>
      </c>
      <c r="B276" t="s">
        <v>456</v>
      </c>
      <c r="C276" t="s">
        <v>457</v>
      </c>
      <c r="D276" t="s">
        <v>459</v>
      </c>
      <c r="E276" t="s">
        <v>1255</v>
      </c>
      <c r="AF276" t="s">
        <v>1248</v>
      </c>
      <c r="AG276" t="s">
        <v>138</v>
      </c>
      <c r="AH276" t="b">
        <v>0</v>
      </c>
    </row>
    <row r="277" spans="1:34">
      <c r="A277" t="s">
        <v>1248</v>
      </c>
      <c r="B277" t="s">
        <v>515</v>
      </c>
      <c r="C277" t="s">
        <v>516</v>
      </c>
      <c r="D277" t="s">
        <v>518</v>
      </c>
      <c r="E277" t="s">
        <v>1256</v>
      </c>
      <c r="AF277" t="s">
        <v>1248</v>
      </c>
      <c r="AG277" t="s">
        <v>138</v>
      </c>
      <c r="AH277" t="b">
        <v>0</v>
      </c>
    </row>
    <row r="278" spans="1:34">
      <c r="A278" t="s">
        <v>1248</v>
      </c>
      <c r="B278" t="s">
        <v>626</v>
      </c>
      <c r="C278" t="s">
        <v>627</v>
      </c>
      <c r="D278" t="s">
        <v>629</v>
      </c>
      <c r="E278" t="s">
        <v>1257</v>
      </c>
      <c r="AF278" t="s">
        <v>1248</v>
      </c>
      <c r="AG278" t="s">
        <v>138</v>
      </c>
      <c r="AH278" t="b">
        <v>0</v>
      </c>
    </row>
    <row r="279" spans="1:34">
      <c r="A279" t="s">
        <v>1248</v>
      </c>
      <c r="B279" t="s">
        <v>631</v>
      </c>
      <c r="C279" t="s">
        <v>632</v>
      </c>
      <c r="D279" t="s">
        <v>634</v>
      </c>
      <c r="E279" t="s">
        <v>1258</v>
      </c>
      <c r="AF279" t="s">
        <v>1248</v>
      </c>
      <c r="AG279" t="s">
        <v>138</v>
      </c>
      <c r="AH279" t="b">
        <v>0</v>
      </c>
    </row>
    <row r="280" spans="1:34">
      <c r="A280" t="s">
        <v>1248</v>
      </c>
      <c r="B280" t="s">
        <v>636</v>
      </c>
      <c r="C280" t="s">
        <v>637</v>
      </c>
      <c r="D280" t="s">
        <v>639</v>
      </c>
      <c r="E280" t="s">
        <v>1259</v>
      </c>
      <c r="AF280" t="s">
        <v>1248</v>
      </c>
      <c r="AG280" t="s">
        <v>138</v>
      </c>
      <c r="AH280" t="b">
        <v>0</v>
      </c>
    </row>
    <row r="281" spans="1:34">
      <c r="A281" t="s">
        <v>1248</v>
      </c>
      <c r="B281" t="s">
        <v>641</v>
      </c>
      <c r="C281" t="s">
        <v>642</v>
      </c>
      <c r="D281" t="s">
        <v>644</v>
      </c>
      <c r="E281" t="s">
        <v>1260</v>
      </c>
      <c r="AF281" t="s">
        <v>1248</v>
      </c>
      <c r="AG281" t="s">
        <v>138</v>
      </c>
      <c r="AH281" t="b">
        <v>0</v>
      </c>
    </row>
    <row r="282" spans="1:34">
      <c r="A282" t="s">
        <v>1248</v>
      </c>
      <c r="B282" t="s">
        <v>646</v>
      </c>
      <c r="C282" t="s">
        <v>647</v>
      </c>
      <c r="D282" t="s">
        <v>649</v>
      </c>
      <c r="E282" t="s">
        <v>1261</v>
      </c>
      <c r="AF282" t="s">
        <v>1248</v>
      </c>
      <c r="AG282" t="s">
        <v>138</v>
      </c>
      <c r="AH282" t="b">
        <v>0</v>
      </c>
    </row>
    <row r="283" spans="1:34">
      <c r="A283" t="s">
        <v>1248</v>
      </c>
      <c r="B283" t="s">
        <v>651</v>
      </c>
      <c r="C283" t="s">
        <v>652</v>
      </c>
      <c r="D283" t="s">
        <v>654</v>
      </c>
      <c r="E283" t="s">
        <v>1262</v>
      </c>
      <c r="AF283" t="s">
        <v>1248</v>
      </c>
      <c r="AG283" t="s">
        <v>138</v>
      </c>
      <c r="AH283" t="b">
        <v>0</v>
      </c>
    </row>
    <row r="284" spans="1:34">
      <c r="A284" t="s">
        <v>1248</v>
      </c>
      <c r="B284" t="s">
        <v>669</v>
      </c>
      <c r="C284" t="s">
        <v>670</v>
      </c>
      <c r="D284" t="s">
        <v>672</v>
      </c>
      <c r="E284" t="s">
        <v>1263</v>
      </c>
      <c r="AF284" t="s">
        <v>1248</v>
      </c>
      <c r="AG284" t="s">
        <v>138</v>
      </c>
      <c r="AH284" t="b">
        <v>0</v>
      </c>
    </row>
    <row r="285" spans="1:34">
      <c r="A285" t="s">
        <v>1248</v>
      </c>
      <c r="B285" t="s">
        <v>690</v>
      </c>
      <c r="C285" t="s">
        <v>691</v>
      </c>
      <c r="D285" t="s">
        <v>693</v>
      </c>
      <c r="E285" t="s">
        <v>1264</v>
      </c>
      <c r="AF285" t="s">
        <v>1248</v>
      </c>
      <c r="AG285" t="s">
        <v>138</v>
      </c>
      <c r="AH285" t="b">
        <v>0</v>
      </c>
    </row>
    <row r="286" spans="1:34">
      <c r="A286" t="s">
        <v>1248</v>
      </c>
      <c r="B286" t="s">
        <v>695</v>
      </c>
      <c r="C286" t="s">
        <v>696</v>
      </c>
      <c r="D286" t="s">
        <v>698</v>
      </c>
      <c r="E286" t="s">
        <v>1265</v>
      </c>
      <c r="AF286" t="s">
        <v>1248</v>
      </c>
      <c r="AG286" t="s">
        <v>138</v>
      </c>
      <c r="AH286" t="b">
        <v>0</v>
      </c>
    </row>
    <row r="287" spans="1:34">
      <c r="A287" t="s">
        <v>1248</v>
      </c>
      <c r="B287" t="s">
        <v>700</v>
      </c>
      <c r="C287" t="s">
        <v>701</v>
      </c>
      <c r="D287" t="s">
        <v>703</v>
      </c>
      <c r="E287" t="s">
        <v>1266</v>
      </c>
      <c r="AF287" t="s">
        <v>1248</v>
      </c>
      <c r="AG287" t="s">
        <v>138</v>
      </c>
      <c r="AH287" t="b">
        <v>0</v>
      </c>
    </row>
    <row r="288" spans="1:34">
      <c r="A288" t="s">
        <v>1248</v>
      </c>
      <c r="B288" t="s">
        <v>705</v>
      </c>
      <c r="C288" t="s">
        <v>706</v>
      </c>
      <c r="D288" t="s">
        <v>708</v>
      </c>
      <c r="E288" t="s">
        <v>1267</v>
      </c>
      <c r="AF288" t="s">
        <v>1248</v>
      </c>
      <c r="AG288" t="s">
        <v>138</v>
      </c>
      <c r="AH288" t="b">
        <v>0</v>
      </c>
    </row>
    <row r="289" spans="1:34">
      <c r="A289" t="s">
        <v>1248</v>
      </c>
      <c r="B289" t="s">
        <v>710</v>
      </c>
      <c r="C289" t="s">
        <v>711</v>
      </c>
      <c r="D289" t="s">
        <v>713</v>
      </c>
      <c r="E289" t="s">
        <v>1268</v>
      </c>
      <c r="AF289" t="s">
        <v>1248</v>
      </c>
      <c r="AG289" t="s">
        <v>138</v>
      </c>
      <c r="AH289" t="b">
        <v>0</v>
      </c>
    </row>
    <row r="290" spans="1:34">
      <c r="A290" t="s">
        <v>1248</v>
      </c>
      <c r="B290" t="s">
        <v>715</v>
      </c>
      <c r="C290" t="s">
        <v>716</v>
      </c>
      <c r="D290" t="s">
        <v>718</v>
      </c>
      <c r="E290" t="s">
        <v>1269</v>
      </c>
      <c r="AF290" t="s">
        <v>1248</v>
      </c>
      <c r="AG290" t="s">
        <v>138</v>
      </c>
      <c r="AH290" t="b">
        <v>0</v>
      </c>
    </row>
    <row r="291" spans="1:34">
      <c r="A291" t="s">
        <v>1248</v>
      </c>
      <c r="B291" t="s">
        <v>720</v>
      </c>
      <c r="C291" t="s">
        <v>721</v>
      </c>
      <c r="D291" t="s">
        <v>723</v>
      </c>
      <c r="E291" t="s">
        <v>1270</v>
      </c>
      <c r="AF291" t="s">
        <v>1248</v>
      </c>
      <c r="AG291" t="s">
        <v>138</v>
      </c>
      <c r="AH291" t="b">
        <v>0</v>
      </c>
    </row>
    <row r="292" spans="1:34">
      <c r="A292" t="s">
        <v>1248</v>
      </c>
      <c r="B292" t="s">
        <v>730</v>
      </c>
      <c r="C292" t="s">
        <v>731</v>
      </c>
      <c r="D292" t="s">
        <v>733</v>
      </c>
      <c r="E292" t="s">
        <v>1271</v>
      </c>
      <c r="AF292" t="s">
        <v>1248</v>
      </c>
      <c r="AG292" t="s">
        <v>138</v>
      </c>
      <c r="AH292" t="b">
        <v>0</v>
      </c>
    </row>
    <row r="293" spans="1:34">
      <c r="A293" t="s">
        <v>1248</v>
      </c>
      <c r="B293" t="s">
        <v>735</v>
      </c>
      <c r="C293" t="s">
        <v>736</v>
      </c>
      <c r="D293" t="s">
        <v>738</v>
      </c>
      <c r="E293" t="s">
        <v>1272</v>
      </c>
      <c r="AF293" t="s">
        <v>1248</v>
      </c>
      <c r="AG293" t="s">
        <v>138</v>
      </c>
      <c r="AH293" t="b">
        <v>0</v>
      </c>
    </row>
    <row r="294" spans="1:34">
      <c r="A294" t="s">
        <v>1248</v>
      </c>
      <c r="B294" t="s">
        <v>740</v>
      </c>
      <c r="C294" t="s">
        <v>741</v>
      </c>
      <c r="D294" t="s">
        <v>743</v>
      </c>
      <c r="E294" t="s">
        <v>1273</v>
      </c>
      <c r="AF294" t="s">
        <v>1248</v>
      </c>
      <c r="AG294" t="s">
        <v>138</v>
      </c>
      <c r="AH294" t="b">
        <v>0</v>
      </c>
    </row>
    <row r="295" spans="1:34">
      <c r="A295" t="s">
        <v>1248</v>
      </c>
      <c r="B295" t="s">
        <v>745</v>
      </c>
      <c r="C295" t="s">
        <v>746</v>
      </c>
      <c r="D295" t="s">
        <v>748</v>
      </c>
      <c r="E295" t="s">
        <v>1274</v>
      </c>
      <c r="AF295" t="s">
        <v>1248</v>
      </c>
      <c r="AG295" t="s">
        <v>138</v>
      </c>
      <c r="AH295" t="b">
        <v>0</v>
      </c>
    </row>
    <row r="296" spans="1:34">
      <c r="A296" t="s">
        <v>1248</v>
      </c>
      <c r="B296" t="s">
        <v>849</v>
      </c>
      <c r="C296" t="s">
        <v>850</v>
      </c>
      <c r="D296" t="s">
        <v>852</v>
      </c>
      <c r="E296" t="s">
        <v>1275</v>
      </c>
      <c r="AF296" t="s">
        <v>1248</v>
      </c>
      <c r="AG296" t="s">
        <v>138</v>
      </c>
      <c r="AH296" t="b">
        <v>0</v>
      </c>
    </row>
    <row r="297" spans="1:34">
      <c r="A297" t="s">
        <v>1248</v>
      </c>
      <c r="B297" t="s">
        <v>854</v>
      </c>
      <c r="C297" t="s">
        <v>855</v>
      </c>
      <c r="D297" t="s">
        <v>857</v>
      </c>
      <c r="E297" t="s">
        <v>1276</v>
      </c>
      <c r="AF297" t="s">
        <v>1248</v>
      </c>
      <c r="AG297" t="s">
        <v>138</v>
      </c>
      <c r="AH297" t="b">
        <v>0</v>
      </c>
    </row>
    <row r="298" spans="1:34">
      <c r="A298" t="s">
        <v>1248</v>
      </c>
      <c r="B298" t="s">
        <v>864</v>
      </c>
      <c r="C298" t="s">
        <v>865</v>
      </c>
      <c r="D298" t="s">
        <v>867</v>
      </c>
      <c r="E298" t="s">
        <v>1277</v>
      </c>
      <c r="AF298" t="s">
        <v>1248</v>
      </c>
      <c r="AG298" t="s">
        <v>138</v>
      </c>
      <c r="AH298" t="b">
        <v>0</v>
      </c>
    </row>
    <row r="299" spans="1:34">
      <c r="A299" t="s">
        <v>1248</v>
      </c>
      <c r="B299" t="s">
        <v>877</v>
      </c>
      <c r="C299" t="s">
        <v>878</v>
      </c>
      <c r="D299" t="s">
        <v>880</v>
      </c>
      <c r="E299" t="s">
        <v>1278</v>
      </c>
      <c r="AF299" t="s">
        <v>1248</v>
      </c>
      <c r="AG299" t="s">
        <v>138</v>
      </c>
      <c r="AH299" t="b">
        <v>0</v>
      </c>
    </row>
    <row r="300" spans="1:34">
      <c r="A300" t="s">
        <v>1248</v>
      </c>
      <c r="B300" t="s">
        <v>882</v>
      </c>
      <c r="C300" t="s">
        <v>883</v>
      </c>
      <c r="D300" t="s">
        <v>885</v>
      </c>
      <c r="E300" t="s">
        <v>1279</v>
      </c>
      <c r="AF300" t="s">
        <v>1248</v>
      </c>
      <c r="AG300" t="s">
        <v>138</v>
      </c>
      <c r="AH300" t="b">
        <v>0</v>
      </c>
    </row>
    <row r="301" spans="1:34">
      <c r="A301" t="s">
        <v>1248</v>
      </c>
      <c r="B301" t="s">
        <v>887</v>
      </c>
      <c r="C301" t="s">
        <v>888</v>
      </c>
      <c r="D301" t="s">
        <v>890</v>
      </c>
      <c r="E301" t="s">
        <v>1280</v>
      </c>
      <c r="AF301" t="s">
        <v>1248</v>
      </c>
      <c r="AG301" t="s">
        <v>138</v>
      </c>
      <c r="AH301" t="b">
        <v>0</v>
      </c>
    </row>
    <row r="302" spans="1:34">
      <c r="A302" t="s">
        <v>1248</v>
      </c>
      <c r="B302" t="s">
        <v>906</v>
      </c>
      <c r="C302" t="s">
        <v>907</v>
      </c>
      <c r="D302" t="s">
        <v>909</v>
      </c>
      <c r="E302" t="s">
        <v>1281</v>
      </c>
      <c r="AF302" t="s">
        <v>1248</v>
      </c>
      <c r="AG302" t="s">
        <v>138</v>
      </c>
      <c r="AH302" t="b">
        <v>0</v>
      </c>
    </row>
    <row r="303" spans="1:34">
      <c r="A303" t="s">
        <v>1248</v>
      </c>
      <c r="B303" t="s">
        <v>916</v>
      </c>
      <c r="C303" t="s">
        <v>917</v>
      </c>
      <c r="D303" t="s">
        <v>919</v>
      </c>
      <c r="E303" t="s">
        <v>1282</v>
      </c>
      <c r="AF303" t="s">
        <v>1248</v>
      </c>
      <c r="AG303" t="s">
        <v>138</v>
      </c>
      <c r="AH303" t="b">
        <v>0</v>
      </c>
    </row>
    <row r="304" spans="1:34">
      <c r="A304" t="s">
        <v>1248</v>
      </c>
      <c r="B304" t="s">
        <v>921</v>
      </c>
      <c r="C304" t="s">
        <v>922</v>
      </c>
      <c r="D304" t="s">
        <v>924</v>
      </c>
      <c r="E304" t="s">
        <v>1283</v>
      </c>
      <c r="AF304" t="s">
        <v>1248</v>
      </c>
      <c r="AG304" t="s">
        <v>138</v>
      </c>
      <c r="AH304" t="b">
        <v>0</v>
      </c>
    </row>
    <row r="305" spans="1:34">
      <c r="A305" t="s">
        <v>1248</v>
      </c>
      <c r="B305" t="s">
        <v>926</v>
      </c>
      <c r="C305" t="s">
        <v>927</v>
      </c>
      <c r="D305" t="s">
        <v>929</v>
      </c>
      <c r="E305" t="s">
        <v>1284</v>
      </c>
      <c r="AF305" t="s">
        <v>1248</v>
      </c>
      <c r="AG305" t="s">
        <v>138</v>
      </c>
      <c r="AH305" t="b">
        <v>0</v>
      </c>
    </row>
    <row r="306" spans="1:34">
      <c r="A306" t="s">
        <v>1248</v>
      </c>
      <c r="B306" t="s">
        <v>931</v>
      </c>
      <c r="C306" t="s">
        <v>932</v>
      </c>
      <c r="D306" t="s">
        <v>934</v>
      </c>
      <c r="E306" t="s">
        <v>1285</v>
      </c>
      <c r="AF306" t="s">
        <v>1248</v>
      </c>
      <c r="AG306" t="s">
        <v>138</v>
      </c>
      <c r="AH306" t="b">
        <v>0</v>
      </c>
    </row>
    <row r="307" spans="1:34">
      <c r="A307" t="s">
        <v>1248</v>
      </c>
      <c r="B307" t="s">
        <v>946</v>
      </c>
      <c r="C307" t="s">
        <v>947</v>
      </c>
      <c r="D307" t="s">
        <v>949</v>
      </c>
      <c r="E307" t="s">
        <v>1286</v>
      </c>
      <c r="AF307" t="s">
        <v>1248</v>
      </c>
      <c r="AG307" t="s">
        <v>138</v>
      </c>
      <c r="AH307" t="b">
        <v>0</v>
      </c>
    </row>
    <row r="308" spans="1:34">
      <c r="A308" t="s">
        <v>1248</v>
      </c>
      <c r="B308" t="s">
        <v>951</v>
      </c>
      <c r="C308" t="s">
        <v>952</v>
      </c>
      <c r="D308" t="s">
        <v>954</v>
      </c>
      <c r="E308" t="s">
        <v>1287</v>
      </c>
      <c r="AF308" t="s">
        <v>1248</v>
      </c>
      <c r="AG308" t="s">
        <v>138</v>
      </c>
      <c r="AH308" t="b">
        <v>0</v>
      </c>
    </row>
    <row r="309" spans="1:34">
      <c r="A309" t="s">
        <v>1248</v>
      </c>
      <c r="B309" t="s">
        <v>956</v>
      </c>
      <c r="C309" t="s">
        <v>957</v>
      </c>
      <c r="D309" t="s">
        <v>959</v>
      </c>
      <c r="E309" t="s">
        <v>1288</v>
      </c>
      <c r="AF309" t="s">
        <v>1248</v>
      </c>
      <c r="AG309" t="s">
        <v>138</v>
      </c>
      <c r="AH309" t="b">
        <v>0</v>
      </c>
    </row>
    <row r="310" spans="1:34">
      <c r="A310" t="s">
        <v>1248</v>
      </c>
      <c r="B310" t="s">
        <v>966</v>
      </c>
      <c r="C310" t="s">
        <v>967</v>
      </c>
      <c r="D310" t="s">
        <v>969</v>
      </c>
      <c r="E310" t="s">
        <v>1289</v>
      </c>
      <c r="AF310" t="s">
        <v>1248</v>
      </c>
      <c r="AG310" t="s">
        <v>138</v>
      </c>
      <c r="AH310" t="b">
        <v>0</v>
      </c>
    </row>
    <row r="311" spans="1:34">
      <c r="A311" t="s">
        <v>1248</v>
      </c>
      <c r="B311" t="s">
        <v>986</v>
      </c>
      <c r="C311" t="s">
        <v>987</v>
      </c>
      <c r="D311" t="s">
        <v>989</v>
      </c>
      <c r="E311" t="s">
        <v>1290</v>
      </c>
      <c r="AF311" t="s">
        <v>1248</v>
      </c>
      <c r="AG311" t="s">
        <v>138</v>
      </c>
      <c r="AH311" t="b">
        <v>0</v>
      </c>
    </row>
    <row r="312" spans="1:34">
      <c r="A312" t="s">
        <v>1248</v>
      </c>
      <c r="B312" t="s">
        <v>991</v>
      </c>
      <c r="C312" t="s">
        <v>992</v>
      </c>
      <c r="D312" t="s">
        <v>994</v>
      </c>
      <c r="E312" t="s">
        <v>1291</v>
      </c>
      <c r="AF312" t="s">
        <v>1248</v>
      </c>
      <c r="AG312" t="s">
        <v>138</v>
      </c>
      <c r="AH312" t="b">
        <v>0</v>
      </c>
    </row>
    <row r="313" spans="1:34">
      <c r="A313" t="s">
        <v>1248</v>
      </c>
      <c r="B313" t="s">
        <v>996</v>
      </c>
      <c r="C313" t="s">
        <v>997</v>
      </c>
      <c r="D313" t="s">
        <v>999</v>
      </c>
      <c r="E313" t="s">
        <v>1292</v>
      </c>
      <c r="AF313" t="s">
        <v>1248</v>
      </c>
      <c r="AG313" t="s">
        <v>138</v>
      </c>
      <c r="AH313" t="b">
        <v>0</v>
      </c>
    </row>
    <row r="314" spans="1:34">
      <c r="A314" t="s">
        <v>1248</v>
      </c>
      <c r="B314" t="s">
        <v>1011</v>
      </c>
      <c r="C314" t="s">
        <v>1012</v>
      </c>
      <c r="D314" t="s">
        <v>1014</v>
      </c>
      <c r="E314" t="s">
        <v>1293</v>
      </c>
      <c r="AF314" t="s">
        <v>1248</v>
      </c>
      <c r="AG314" t="s">
        <v>138</v>
      </c>
      <c r="AH314" t="b">
        <v>0</v>
      </c>
    </row>
    <row r="315" spans="1:34">
      <c r="A315" t="s">
        <v>1248</v>
      </c>
      <c r="B315" t="s">
        <v>1025</v>
      </c>
      <c r="C315" t="s">
        <v>1026</v>
      </c>
      <c r="D315" t="s">
        <v>1028</v>
      </c>
      <c r="E315" t="s">
        <v>1294</v>
      </c>
      <c r="AF315" t="s">
        <v>1248</v>
      </c>
      <c r="AG315" t="s">
        <v>138</v>
      </c>
      <c r="AH315" t="b">
        <v>0</v>
      </c>
    </row>
    <row r="316" spans="1:34">
      <c r="A316" t="s">
        <v>1248</v>
      </c>
      <c r="B316" t="s">
        <v>1030</v>
      </c>
      <c r="C316" t="s">
        <v>1031</v>
      </c>
      <c r="D316" t="s">
        <v>1033</v>
      </c>
      <c r="E316" t="s">
        <v>1295</v>
      </c>
      <c r="AF316" t="s">
        <v>1248</v>
      </c>
      <c r="AG316" t="s">
        <v>138</v>
      </c>
      <c r="AH316" t="b">
        <v>0</v>
      </c>
    </row>
    <row r="317" spans="1:34">
      <c r="A317" t="s">
        <v>1248</v>
      </c>
      <c r="B317" t="s">
        <v>1048</v>
      </c>
      <c r="C317" t="s">
        <v>1049</v>
      </c>
      <c r="D317" t="s">
        <v>1051</v>
      </c>
      <c r="E317" t="s">
        <v>1296</v>
      </c>
      <c r="AF317" t="s">
        <v>1248</v>
      </c>
      <c r="AG317" t="s">
        <v>138</v>
      </c>
      <c r="AH317" t="b">
        <v>0</v>
      </c>
    </row>
    <row r="318" spans="1:34">
      <c r="A318" t="s">
        <v>1248</v>
      </c>
      <c r="B318" t="s">
        <v>1071</v>
      </c>
      <c r="C318" t="s">
        <v>1072</v>
      </c>
      <c r="D318" t="s">
        <v>1074</v>
      </c>
      <c r="E318" t="s">
        <v>1297</v>
      </c>
      <c r="AF318" t="s">
        <v>1248</v>
      </c>
      <c r="AG318" t="s">
        <v>138</v>
      </c>
      <c r="AH318" t="b">
        <v>0</v>
      </c>
    </row>
    <row r="319" spans="1:34">
      <c r="A319" t="s">
        <v>1248</v>
      </c>
      <c r="B319" t="s">
        <v>1076</v>
      </c>
      <c r="C319" t="s">
        <v>1077</v>
      </c>
      <c r="D319" t="s">
        <v>1079</v>
      </c>
      <c r="E319" t="s">
        <v>1298</v>
      </c>
      <c r="AF319" t="s">
        <v>1248</v>
      </c>
      <c r="AG319" t="s">
        <v>138</v>
      </c>
      <c r="AH319" t="b">
        <v>0</v>
      </c>
    </row>
    <row r="320" spans="1:34">
      <c r="A320" t="s">
        <v>1248</v>
      </c>
      <c r="B320" t="s">
        <v>1091</v>
      </c>
      <c r="C320" t="s">
        <v>1092</v>
      </c>
      <c r="D320" t="s">
        <v>1094</v>
      </c>
      <c r="E320" t="s">
        <v>1299</v>
      </c>
      <c r="AF320" t="s">
        <v>1248</v>
      </c>
      <c r="AG320" t="s">
        <v>138</v>
      </c>
      <c r="AH320" t="b">
        <v>0</v>
      </c>
    </row>
    <row r="321" spans="1:34">
      <c r="A321" t="s">
        <v>1248</v>
      </c>
      <c r="B321" t="s">
        <v>1096</v>
      </c>
      <c r="C321" t="s">
        <v>1097</v>
      </c>
      <c r="D321" t="s">
        <v>1099</v>
      </c>
      <c r="E321" t="s">
        <v>1300</v>
      </c>
      <c r="AF321" t="s">
        <v>1248</v>
      </c>
      <c r="AG321" t="s">
        <v>138</v>
      </c>
      <c r="AH321" t="b">
        <v>0</v>
      </c>
    </row>
    <row r="322" spans="1:34">
      <c r="A322" t="s">
        <v>1248</v>
      </c>
      <c r="B322" t="s">
        <v>1106</v>
      </c>
      <c r="C322" t="s">
        <v>1107</v>
      </c>
      <c r="D322" t="s">
        <v>1109</v>
      </c>
      <c r="E322" t="s">
        <v>1301</v>
      </c>
      <c r="AF322" t="s">
        <v>1248</v>
      </c>
      <c r="AG322" t="s">
        <v>138</v>
      </c>
      <c r="AH322" t="b">
        <v>0</v>
      </c>
    </row>
    <row r="323" spans="1:34">
      <c r="A323" t="s">
        <v>1248</v>
      </c>
      <c r="B323" t="s">
        <v>1131</v>
      </c>
      <c r="C323" t="s">
        <v>1132</v>
      </c>
      <c r="D323" t="s">
        <v>1104</v>
      </c>
      <c r="E323" t="s">
        <v>1302</v>
      </c>
      <c r="AF323" t="s">
        <v>1248</v>
      </c>
      <c r="AG323" t="s">
        <v>138</v>
      </c>
      <c r="AH323" t="b">
        <v>0</v>
      </c>
    </row>
    <row r="324" spans="1:34">
      <c r="A324" t="s">
        <v>1248</v>
      </c>
      <c r="B324" t="s">
        <v>1135</v>
      </c>
      <c r="C324" t="s">
        <v>1136</v>
      </c>
      <c r="D324" t="s">
        <v>1138</v>
      </c>
      <c r="E324" t="s">
        <v>1303</v>
      </c>
      <c r="AF324" t="s">
        <v>1248</v>
      </c>
      <c r="AG324" t="s">
        <v>138</v>
      </c>
      <c r="AH324" t="b">
        <v>0</v>
      </c>
    </row>
    <row r="325" spans="1:34">
      <c r="A325" t="s">
        <v>1248</v>
      </c>
      <c r="B325" t="s">
        <v>1140</v>
      </c>
      <c r="C325" t="s">
        <v>1141</v>
      </c>
      <c r="D325" t="s">
        <v>1143</v>
      </c>
      <c r="E325" t="s">
        <v>1304</v>
      </c>
      <c r="AF325" t="s">
        <v>1248</v>
      </c>
      <c r="AG325" t="s">
        <v>138</v>
      </c>
      <c r="AH325" t="b">
        <v>0</v>
      </c>
    </row>
    <row r="326" spans="1:34">
      <c r="A326" t="s">
        <v>1248</v>
      </c>
      <c r="B326" t="s">
        <v>1155</v>
      </c>
      <c r="C326" t="s">
        <v>1156</v>
      </c>
      <c r="D326" t="s">
        <v>1124</v>
      </c>
      <c r="E326" t="s">
        <v>1305</v>
      </c>
      <c r="AF326" t="s">
        <v>1248</v>
      </c>
      <c r="AG326" t="s">
        <v>138</v>
      </c>
      <c r="AH326" t="b">
        <v>0</v>
      </c>
    </row>
    <row r="327" spans="1:34">
      <c r="A327" t="s">
        <v>1248</v>
      </c>
      <c r="B327" t="s">
        <v>1188</v>
      </c>
      <c r="C327" t="s">
        <v>1189</v>
      </c>
      <c r="D327" t="s">
        <v>1191</v>
      </c>
      <c r="E327" t="s">
        <v>1306</v>
      </c>
      <c r="AF327" t="s">
        <v>1248</v>
      </c>
      <c r="AG327" t="s">
        <v>138</v>
      </c>
      <c r="AH327" t="b">
        <v>0</v>
      </c>
    </row>
    <row r="328" spans="1:34">
      <c r="A328" t="s">
        <v>1248</v>
      </c>
      <c r="B328" t="s">
        <v>1193</v>
      </c>
      <c r="C328" t="s">
        <v>1194</v>
      </c>
      <c r="D328" t="s">
        <v>1196</v>
      </c>
      <c r="E328" t="s">
        <v>1307</v>
      </c>
      <c r="AF328" t="s">
        <v>1248</v>
      </c>
      <c r="AG328" t="s">
        <v>138</v>
      </c>
      <c r="AH328" t="b">
        <v>0</v>
      </c>
    </row>
    <row r="329" spans="1:34">
      <c r="A329" t="s">
        <v>1248</v>
      </c>
      <c r="B329" t="s">
        <v>1198</v>
      </c>
      <c r="C329" t="s">
        <v>1199</v>
      </c>
      <c r="D329" t="s">
        <v>1201</v>
      </c>
      <c r="E329" t="s">
        <v>1308</v>
      </c>
      <c r="AF329" t="s">
        <v>1248</v>
      </c>
      <c r="AG329" t="s">
        <v>138</v>
      </c>
      <c r="AH329" t="b">
        <v>0</v>
      </c>
    </row>
    <row r="330" spans="1:34">
      <c r="A330" t="s">
        <v>1248</v>
      </c>
      <c r="B330" t="s">
        <v>1233</v>
      </c>
      <c r="C330" t="s">
        <v>1234</v>
      </c>
      <c r="D330" t="s">
        <v>1236</v>
      </c>
      <c r="E330" t="s">
        <v>1309</v>
      </c>
      <c r="AF330" t="s">
        <v>1248</v>
      </c>
      <c r="AG330" t="s">
        <v>138</v>
      </c>
      <c r="AH330" t="b">
        <v>0</v>
      </c>
    </row>
    <row r="331" spans="1:34">
      <c r="A331" t="s">
        <v>1248</v>
      </c>
      <c r="B331" t="s">
        <v>621</v>
      </c>
      <c r="C331" t="s">
        <v>622</v>
      </c>
      <c r="D331" t="s">
        <v>624</v>
      </c>
      <c r="E331" t="s">
        <v>1310</v>
      </c>
      <c r="AF331" t="s">
        <v>1248</v>
      </c>
      <c r="AG331" t="s">
        <v>138</v>
      </c>
      <c r="AH331" t="b">
        <v>0</v>
      </c>
    </row>
    <row r="332" spans="1:34">
      <c r="A332" t="s">
        <v>1248</v>
      </c>
      <c r="B332" t="s">
        <v>664</v>
      </c>
      <c r="C332" t="s">
        <v>665</v>
      </c>
      <c r="D332" t="s">
        <v>667</v>
      </c>
      <c r="E332" t="s">
        <v>1311</v>
      </c>
      <c r="AF332" t="s">
        <v>1248</v>
      </c>
      <c r="AG332" t="s">
        <v>138</v>
      </c>
      <c r="AH332" t="b">
        <v>0</v>
      </c>
    </row>
    <row r="333" spans="1:34">
      <c r="A333" t="s">
        <v>1248</v>
      </c>
      <c r="B333" t="s">
        <v>725</v>
      </c>
      <c r="C333" t="s">
        <v>726</v>
      </c>
      <c r="D333" t="s">
        <v>728</v>
      </c>
      <c r="E333" t="s">
        <v>1312</v>
      </c>
      <c r="AF333" t="s">
        <v>1248</v>
      </c>
      <c r="AG333" t="s">
        <v>138</v>
      </c>
      <c r="AH333" t="b">
        <v>0</v>
      </c>
    </row>
    <row r="334" spans="1:34">
      <c r="A334" t="s">
        <v>1248</v>
      </c>
      <c r="B334" t="s">
        <v>844</v>
      </c>
      <c r="C334" t="s">
        <v>845</v>
      </c>
      <c r="D334" t="s">
        <v>847</v>
      </c>
      <c r="E334" t="s">
        <v>1313</v>
      </c>
      <c r="AF334" t="s">
        <v>1248</v>
      </c>
      <c r="AG334" t="s">
        <v>138</v>
      </c>
      <c r="AH334" t="b">
        <v>0</v>
      </c>
    </row>
    <row r="335" spans="1:34">
      <c r="A335" t="s">
        <v>1248</v>
      </c>
      <c r="B335" t="s">
        <v>859</v>
      </c>
      <c r="C335" t="s">
        <v>860</v>
      </c>
      <c r="D335" t="s">
        <v>862</v>
      </c>
      <c r="E335" t="s">
        <v>1314</v>
      </c>
      <c r="AF335" t="s">
        <v>1248</v>
      </c>
      <c r="AG335" t="s">
        <v>138</v>
      </c>
      <c r="AH335" t="b">
        <v>0</v>
      </c>
    </row>
    <row r="336" spans="1:34">
      <c r="A336" t="s">
        <v>1248</v>
      </c>
      <c r="B336" t="s">
        <v>892</v>
      </c>
      <c r="C336" t="s">
        <v>893</v>
      </c>
      <c r="D336" t="s">
        <v>895</v>
      </c>
      <c r="E336" t="s">
        <v>1315</v>
      </c>
      <c r="AF336" t="s">
        <v>1248</v>
      </c>
      <c r="AG336" t="s">
        <v>138</v>
      </c>
      <c r="AH336" t="b">
        <v>0</v>
      </c>
    </row>
    <row r="337" spans="1:34">
      <c r="A337" t="s">
        <v>1248</v>
      </c>
      <c r="B337" t="s">
        <v>901</v>
      </c>
      <c r="C337" t="s">
        <v>902</v>
      </c>
      <c r="D337" t="s">
        <v>904</v>
      </c>
      <c r="E337" t="s">
        <v>1316</v>
      </c>
      <c r="AF337" t="s">
        <v>1248</v>
      </c>
      <c r="AG337" t="s">
        <v>138</v>
      </c>
      <c r="AH337" t="b">
        <v>0</v>
      </c>
    </row>
    <row r="338" spans="1:34">
      <c r="A338" t="s">
        <v>1248</v>
      </c>
      <c r="B338" t="s">
        <v>911</v>
      </c>
      <c r="C338" t="s">
        <v>912</v>
      </c>
      <c r="D338" t="s">
        <v>914</v>
      </c>
      <c r="E338" t="s">
        <v>1317</v>
      </c>
      <c r="AF338" t="s">
        <v>1248</v>
      </c>
      <c r="AG338" t="s">
        <v>138</v>
      </c>
      <c r="AH338" t="b">
        <v>0</v>
      </c>
    </row>
    <row r="339" spans="1:34">
      <c r="A339" t="s">
        <v>1248</v>
      </c>
      <c r="B339" t="s">
        <v>976</v>
      </c>
      <c r="C339" t="s">
        <v>977</v>
      </c>
      <c r="D339" t="s">
        <v>979</v>
      </c>
      <c r="E339" t="s">
        <v>1318</v>
      </c>
      <c r="AF339" t="s">
        <v>1248</v>
      </c>
      <c r="AG339" t="s">
        <v>138</v>
      </c>
      <c r="AH339" t="b">
        <v>0</v>
      </c>
    </row>
    <row r="340" spans="1:34">
      <c r="A340" t="s">
        <v>1248</v>
      </c>
      <c r="B340" t="s">
        <v>936</v>
      </c>
      <c r="C340" t="s">
        <v>937</v>
      </c>
      <c r="D340" t="s">
        <v>939</v>
      </c>
      <c r="E340" t="s">
        <v>1319</v>
      </c>
      <c r="AF340" t="s">
        <v>1248</v>
      </c>
      <c r="AG340" t="s">
        <v>138</v>
      </c>
      <c r="AH340" t="b">
        <v>0</v>
      </c>
    </row>
    <row r="341" spans="1:34">
      <c r="A341" t="s">
        <v>1248</v>
      </c>
      <c r="B341" t="s">
        <v>941</v>
      </c>
      <c r="C341" t="s">
        <v>942</v>
      </c>
      <c r="D341" t="s">
        <v>944</v>
      </c>
      <c r="E341" t="s">
        <v>1320</v>
      </c>
      <c r="AF341" t="s">
        <v>1248</v>
      </c>
      <c r="AG341" t="s">
        <v>138</v>
      </c>
      <c r="AH341" t="b">
        <v>0</v>
      </c>
    </row>
    <row r="342" spans="1:34">
      <c r="A342" t="s">
        <v>1248</v>
      </c>
      <c r="B342" t="s">
        <v>961</v>
      </c>
      <c r="C342" t="s">
        <v>962</v>
      </c>
      <c r="D342" t="s">
        <v>964</v>
      </c>
      <c r="E342" t="s">
        <v>1321</v>
      </c>
      <c r="AF342" t="s">
        <v>1248</v>
      </c>
      <c r="AG342" t="s">
        <v>138</v>
      </c>
      <c r="AH342" t="b">
        <v>0</v>
      </c>
    </row>
    <row r="343" spans="1:34">
      <c r="A343" t="s">
        <v>1248</v>
      </c>
      <c r="B343" t="s">
        <v>971</v>
      </c>
      <c r="C343" t="s">
        <v>972</v>
      </c>
      <c r="D343" t="s">
        <v>974</v>
      </c>
      <c r="E343" t="s">
        <v>1322</v>
      </c>
      <c r="AF343" t="s">
        <v>1248</v>
      </c>
      <c r="AG343" t="s">
        <v>138</v>
      </c>
      <c r="AH343" t="b">
        <v>0</v>
      </c>
    </row>
    <row r="344" spans="1:34">
      <c r="A344" t="s">
        <v>1248</v>
      </c>
      <c r="B344" t="s">
        <v>981</v>
      </c>
      <c r="C344" t="s">
        <v>982</v>
      </c>
      <c r="D344" t="s">
        <v>984</v>
      </c>
      <c r="E344" t="s">
        <v>1323</v>
      </c>
      <c r="AF344" t="s">
        <v>1248</v>
      </c>
      <c r="AG344" t="s">
        <v>138</v>
      </c>
      <c r="AH344" t="b">
        <v>0</v>
      </c>
    </row>
    <row r="345" spans="1:34">
      <c r="A345" t="s">
        <v>1248</v>
      </c>
      <c r="B345" t="s">
        <v>1001</v>
      </c>
      <c r="C345" t="s">
        <v>1002</v>
      </c>
      <c r="D345" t="s">
        <v>1004</v>
      </c>
      <c r="E345" t="s">
        <v>1324</v>
      </c>
      <c r="AF345" t="s">
        <v>1248</v>
      </c>
      <c r="AG345" t="s">
        <v>138</v>
      </c>
      <c r="AH345" t="b">
        <v>0</v>
      </c>
    </row>
    <row r="346" spans="1:34">
      <c r="A346" t="s">
        <v>1248</v>
      </c>
      <c r="B346" t="s">
        <v>1006</v>
      </c>
      <c r="C346" t="s">
        <v>1007</v>
      </c>
      <c r="D346" t="s">
        <v>1009</v>
      </c>
      <c r="E346" t="s">
        <v>1325</v>
      </c>
      <c r="AF346" t="s">
        <v>1248</v>
      </c>
      <c r="AG346" t="s">
        <v>138</v>
      </c>
      <c r="AH346" t="b">
        <v>0</v>
      </c>
    </row>
    <row r="347" spans="1:34">
      <c r="A347" t="s">
        <v>1248</v>
      </c>
      <c r="B347" t="s">
        <v>1016</v>
      </c>
      <c r="C347" t="s">
        <v>1017</v>
      </c>
      <c r="D347" t="s">
        <v>1019</v>
      </c>
      <c r="E347" t="s">
        <v>1326</v>
      </c>
      <c r="AF347" t="s">
        <v>1248</v>
      </c>
      <c r="AG347" t="s">
        <v>138</v>
      </c>
      <c r="AH347" t="b">
        <v>0</v>
      </c>
    </row>
    <row r="348" spans="1:34">
      <c r="A348" t="s">
        <v>1248</v>
      </c>
      <c r="B348" t="s">
        <v>1035</v>
      </c>
      <c r="C348" t="s">
        <v>1036</v>
      </c>
      <c r="D348" t="s">
        <v>1038</v>
      </c>
      <c r="E348" t="s">
        <v>1327</v>
      </c>
      <c r="AF348" t="s">
        <v>1248</v>
      </c>
      <c r="AG348" t="s">
        <v>138</v>
      </c>
      <c r="AH348" t="b">
        <v>0</v>
      </c>
    </row>
    <row r="349" spans="1:34">
      <c r="A349" t="s">
        <v>1248</v>
      </c>
      <c r="B349" t="s">
        <v>1040</v>
      </c>
      <c r="C349" t="s">
        <v>1041</v>
      </c>
      <c r="D349" t="s">
        <v>639</v>
      </c>
      <c r="E349" t="s">
        <v>1328</v>
      </c>
      <c r="AF349" t="s">
        <v>1248</v>
      </c>
      <c r="AG349" t="s">
        <v>138</v>
      </c>
      <c r="AH349" t="b">
        <v>0</v>
      </c>
    </row>
    <row r="350" spans="1:34">
      <c r="A350" t="s">
        <v>1248</v>
      </c>
      <c r="B350" t="s">
        <v>1126</v>
      </c>
      <c r="C350" t="s">
        <v>1127</v>
      </c>
      <c r="D350" t="s">
        <v>1129</v>
      </c>
      <c r="E350" t="s">
        <v>1329</v>
      </c>
      <c r="AF350" t="s">
        <v>1248</v>
      </c>
      <c r="AG350" t="s">
        <v>138</v>
      </c>
      <c r="AH350" t="b">
        <v>0</v>
      </c>
    </row>
    <row r="351" spans="1:34">
      <c r="A351" t="s">
        <v>1248</v>
      </c>
      <c r="B351" t="s">
        <v>1081</v>
      </c>
      <c r="C351" t="s">
        <v>1082</v>
      </c>
      <c r="D351" t="s">
        <v>1084</v>
      </c>
      <c r="E351" t="s">
        <v>1330</v>
      </c>
      <c r="AF351" t="s">
        <v>1248</v>
      </c>
      <c r="AG351" t="s">
        <v>138</v>
      </c>
      <c r="AH351" t="b">
        <v>0</v>
      </c>
    </row>
    <row r="352" spans="1:34">
      <c r="A352" t="s">
        <v>1248</v>
      </c>
      <c r="B352" t="s">
        <v>1057</v>
      </c>
      <c r="C352" t="s">
        <v>1058</v>
      </c>
      <c r="D352" t="s">
        <v>1060</v>
      </c>
      <c r="E352" t="s">
        <v>1331</v>
      </c>
      <c r="AF352" t="s">
        <v>1248</v>
      </c>
      <c r="AG352" t="s">
        <v>138</v>
      </c>
      <c r="AH352" t="b">
        <v>0</v>
      </c>
    </row>
    <row r="353" spans="1:34">
      <c r="A353" t="s">
        <v>1248</v>
      </c>
      <c r="B353" t="s">
        <v>1062</v>
      </c>
      <c r="C353" t="s">
        <v>1063</v>
      </c>
      <c r="D353" t="s">
        <v>1065</v>
      </c>
      <c r="E353" t="s">
        <v>1332</v>
      </c>
      <c r="AF353" t="s">
        <v>1248</v>
      </c>
      <c r="AG353" t="s">
        <v>138</v>
      </c>
      <c r="AH353" t="b">
        <v>0</v>
      </c>
    </row>
    <row r="354" spans="1:34">
      <c r="A354" t="s">
        <v>1248</v>
      </c>
      <c r="B354" t="s">
        <v>1101</v>
      </c>
      <c r="C354" t="s">
        <v>1102</v>
      </c>
      <c r="D354" t="s">
        <v>1104</v>
      </c>
      <c r="E354" t="s">
        <v>1333</v>
      </c>
      <c r="AF354" t="s">
        <v>1248</v>
      </c>
      <c r="AG354" t="s">
        <v>138</v>
      </c>
      <c r="AH354" t="b">
        <v>0</v>
      </c>
    </row>
    <row r="355" spans="1:34">
      <c r="A355" t="s">
        <v>1248</v>
      </c>
      <c r="B355" t="s">
        <v>1111</v>
      </c>
      <c r="C355" t="s">
        <v>1112</v>
      </c>
      <c r="D355" t="s">
        <v>1114</v>
      </c>
      <c r="E355" t="s">
        <v>1334</v>
      </c>
      <c r="AF355" t="s">
        <v>1248</v>
      </c>
      <c r="AG355" t="s">
        <v>138</v>
      </c>
      <c r="AH355" t="b">
        <v>0</v>
      </c>
    </row>
    <row r="356" spans="1:34">
      <c r="A356" t="s">
        <v>1248</v>
      </c>
      <c r="B356" t="s">
        <v>1116</v>
      </c>
      <c r="C356" t="s">
        <v>1117</v>
      </c>
      <c r="D356" t="s">
        <v>1119</v>
      </c>
      <c r="E356" t="s">
        <v>1335</v>
      </c>
      <c r="AF356" t="s">
        <v>1248</v>
      </c>
      <c r="AG356" t="s">
        <v>138</v>
      </c>
      <c r="AH356" t="b">
        <v>0</v>
      </c>
    </row>
    <row r="357" spans="1:34">
      <c r="A357" t="s">
        <v>1248</v>
      </c>
      <c r="B357" t="s">
        <v>1178</v>
      </c>
      <c r="C357" t="s">
        <v>1179</v>
      </c>
      <c r="D357" t="s">
        <v>1181</v>
      </c>
      <c r="E357" t="s">
        <v>1336</v>
      </c>
      <c r="AF357" t="s">
        <v>1248</v>
      </c>
      <c r="AG357" t="s">
        <v>138</v>
      </c>
      <c r="AH357" t="b">
        <v>0</v>
      </c>
    </row>
    <row r="358" spans="1:34">
      <c r="A358" t="s">
        <v>1248</v>
      </c>
      <c r="B358" t="s">
        <v>1121</v>
      </c>
      <c r="C358" t="s">
        <v>1122</v>
      </c>
      <c r="D358" t="s">
        <v>1124</v>
      </c>
      <c r="E358" t="s">
        <v>1337</v>
      </c>
      <c r="AF358" t="s">
        <v>1248</v>
      </c>
      <c r="AG358" t="s">
        <v>138</v>
      </c>
      <c r="AH358" t="b">
        <v>0</v>
      </c>
    </row>
    <row r="359" spans="1:34">
      <c r="A359" t="s">
        <v>1248</v>
      </c>
      <c r="B359" t="s">
        <v>1145</v>
      </c>
      <c r="C359" t="s">
        <v>1146</v>
      </c>
      <c r="D359" t="s">
        <v>1148</v>
      </c>
      <c r="E359" t="s">
        <v>1338</v>
      </c>
      <c r="AF359" t="s">
        <v>1248</v>
      </c>
      <c r="AG359" t="s">
        <v>138</v>
      </c>
      <c r="AH359" t="b">
        <v>0</v>
      </c>
    </row>
    <row r="360" spans="1:34">
      <c r="A360" t="s">
        <v>1248</v>
      </c>
      <c r="B360" t="s">
        <v>1150</v>
      </c>
      <c r="C360" t="s">
        <v>1151</v>
      </c>
      <c r="D360" t="s">
        <v>1153</v>
      </c>
      <c r="E360" t="s">
        <v>1339</v>
      </c>
      <c r="AF360" t="s">
        <v>1248</v>
      </c>
      <c r="AG360" t="s">
        <v>138</v>
      </c>
      <c r="AH360" t="b">
        <v>0</v>
      </c>
    </row>
    <row r="361" spans="1:34">
      <c r="A361" t="s">
        <v>1248</v>
      </c>
      <c r="B361" t="s">
        <v>1159</v>
      </c>
      <c r="C361" t="s">
        <v>1160</v>
      </c>
      <c r="D361" t="s">
        <v>1162</v>
      </c>
      <c r="E361" t="s">
        <v>1340</v>
      </c>
      <c r="AF361" t="s">
        <v>1248</v>
      </c>
      <c r="AG361" t="s">
        <v>138</v>
      </c>
      <c r="AH361" t="b">
        <v>0</v>
      </c>
    </row>
    <row r="362" spans="1:34">
      <c r="A362" t="s">
        <v>1248</v>
      </c>
      <c r="B362" t="s">
        <v>1164</v>
      </c>
      <c r="C362" t="s">
        <v>1165</v>
      </c>
      <c r="D362" t="s">
        <v>1167</v>
      </c>
      <c r="E362" t="s">
        <v>1341</v>
      </c>
      <c r="AF362" t="s">
        <v>1248</v>
      </c>
      <c r="AG362" t="s">
        <v>138</v>
      </c>
      <c r="AH362" t="b">
        <v>0</v>
      </c>
    </row>
    <row r="363" spans="1:34">
      <c r="A363" t="s">
        <v>1248</v>
      </c>
      <c r="B363" t="s">
        <v>1169</v>
      </c>
      <c r="C363" t="s">
        <v>1170</v>
      </c>
      <c r="D363" t="s">
        <v>1172</v>
      </c>
      <c r="E363" t="s">
        <v>1342</v>
      </c>
      <c r="AF363" t="s">
        <v>1248</v>
      </c>
      <c r="AG363" t="s">
        <v>138</v>
      </c>
      <c r="AH363" t="b">
        <v>0</v>
      </c>
    </row>
    <row r="364" spans="1:34">
      <c r="A364" t="s">
        <v>1248</v>
      </c>
      <c r="B364" t="s">
        <v>1183</v>
      </c>
      <c r="C364" t="s">
        <v>1184</v>
      </c>
      <c r="D364" t="s">
        <v>1186</v>
      </c>
      <c r="E364" t="s">
        <v>1343</v>
      </c>
      <c r="AF364" t="s">
        <v>1248</v>
      </c>
      <c r="AG364" t="s">
        <v>138</v>
      </c>
      <c r="AH364" t="b">
        <v>0</v>
      </c>
    </row>
    <row r="365" spans="1:34">
      <c r="A365" t="s">
        <v>1248</v>
      </c>
      <c r="B365" t="s">
        <v>1218</v>
      </c>
      <c r="C365" t="s">
        <v>1219</v>
      </c>
      <c r="D365" t="s">
        <v>1221</v>
      </c>
      <c r="E365" t="s">
        <v>1344</v>
      </c>
      <c r="AF365" t="s">
        <v>1248</v>
      </c>
      <c r="AG365" t="s">
        <v>138</v>
      </c>
      <c r="AH365" t="b">
        <v>0</v>
      </c>
    </row>
    <row r="366" spans="1:34">
      <c r="A366" t="s">
        <v>1248</v>
      </c>
      <c r="B366" t="s">
        <v>1223</v>
      </c>
      <c r="C366" t="s">
        <v>1224</v>
      </c>
      <c r="D366" t="s">
        <v>1226</v>
      </c>
      <c r="E366" t="s">
        <v>1345</v>
      </c>
      <c r="AF366" t="s">
        <v>1248</v>
      </c>
      <c r="AG366" t="s">
        <v>138</v>
      </c>
      <c r="AH366" t="b">
        <v>0</v>
      </c>
    </row>
    <row r="367" spans="1:34">
      <c r="A367" t="s">
        <v>1248</v>
      </c>
      <c r="B367" t="s">
        <v>1208</v>
      </c>
      <c r="C367" t="s">
        <v>1209</v>
      </c>
      <c r="D367" t="s">
        <v>1211</v>
      </c>
      <c r="E367" t="s">
        <v>1346</v>
      </c>
      <c r="AF367" t="s">
        <v>1248</v>
      </c>
      <c r="AG367" t="s">
        <v>138</v>
      </c>
      <c r="AH367" t="b">
        <v>0</v>
      </c>
    </row>
    <row r="368" spans="1:34">
      <c r="A368" t="s">
        <v>1248</v>
      </c>
      <c r="B368" t="s">
        <v>1213</v>
      </c>
      <c r="C368" t="s">
        <v>1214</v>
      </c>
      <c r="D368" t="s">
        <v>1216</v>
      </c>
      <c r="E368" t="s">
        <v>1347</v>
      </c>
      <c r="AF368" t="s">
        <v>1248</v>
      </c>
      <c r="AG368" t="s">
        <v>138</v>
      </c>
      <c r="AH368" t="b">
        <v>0</v>
      </c>
    </row>
    <row r="369" spans="1:34">
      <c r="A369" t="s">
        <v>1248</v>
      </c>
      <c r="B369" t="s">
        <v>1228</v>
      </c>
      <c r="C369" t="s">
        <v>1229</v>
      </c>
      <c r="D369" t="s">
        <v>1231</v>
      </c>
      <c r="E369" t="s">
        <v>1348</v>
      </c>
      <c r="AF369" t="s">
        <v>1248</v>
      </c>
      <c r="AG369" t="s">
        <v>138</v>
      </c>
      <c r="AH369" t="b">
        <v>0</v>
      </c>
    </row>
    <row r="370" spans="1:34">
      <c r="A370" t="s">
        <v>1248</v>
      </c>
      <c r="B370" t="s">
        <v>1203</v>
      </c>
      <c r="C370" t="s">
        <v>1204</v>
      </c>
      <c r="D370" t="s">
        <v>1206</v>
      </c>
      <c r="E370" t="s">
        <v>1349</v>
      </c>
      <c r="AF370" t="s">
        <v>1248</v>
      </c>
      <c r="AG370" t="s">
        <v>138</v>
      </c>
      <c r="AH370" t="b">
        <v>0</v>
      </c>
    </row>
    <row r="371" spans="1:34">
      <c r="A371" t="s">
        <v>1248</v>
      </c>
      <c r="B371" t="s">
        <v>1238</v>
      </c>
      <c r="C371" t="s">
        <v>1239</v>
      </c>
      <c r="D371" t="s">
        <v>1241</v>
      </c>
      <c r="E371" t="s">
        <v>1350</v>
      </c>
      <c r="AF371" t="s">
        <v>1248</v>
      </c>
      <c r="AG371" t="s">
        <v>138</v>
      </c>
      <c r="AH371" t="b">
        <v>0</v>
      </c>
    </row>
    <row r="372" spans="1:34">
      <c r="A372" t="s">
        <v>1248</v>
      </c>
      <c r="B372" t="s">
        <v>1243</v>
      </c>
      <c r="C372" t="s">
        <v>1244</v>
      </c>
      <c r="D372" t="s">
        <v>1246</v>
      </c>
      <c r="E372" t="s">
        <v>1351</v>
      </c>
      <c r="AF372" t="s">
        <v>1248</v>
      </c>
      <c r="AG372" t="s">
        <v>138</v>
      </c>
      <c r="AH372" t="b">
        <v>0</v>
      </c>
    </row>
    <row r="373" spans="1:34">
      <c r="A373" t="s">
        <v>1248</v>
      </c>
      <c r="B373" t="s">
        <v>1352</v>
      </c>
      <c r="C373" t="s">
        <v>227</v>
      </c>
      <c r="D373" t="s">
        <v>1353</v>
      </c>
      <c r="E373" t="s">
        <v>1354</v>
      </c>
      <c r="AF373" t="s">
        <v>1248</v>
      </c>
      <c r="AG373" t="s">
        <v>138</v>
      </c>
      <c r="AH373" t="b">
        <v>0</v>
      </c>
    </row>
    <row r="374" spans="1:34">
      <c r="A374" t="s">
        <v>1355</v>
      </c>
      <c r="B374" t="s">
        <v>1356</v>
      </c>
      <c r="C374" t="s">
        <v>1357</v>
      </c>
      <c r="D374" t="s">
        <v>1358</v>
      </c>
      <c r="E374" t="s">
        <v>1359</v>
      </c>
      <c r="F374" t="s">
        <v>1360</v>
      </c>
      <c r="AF374" t="s">
        <v>1355</v>
      </c>
      <c r="AG374" t="s">
        <v>138</v>
      </c>
      <c r="AH374" t="b">
        <v>0</v>
      </c>
    </row>
    <row r="375" spans="1:34">
      <c r="A375" t="s">
        <v>1355</v>
      </c>
      <c r="B375" t="s">
        <v>1361</v>
      </c>
      <c r="C375" t="s">
        <v>1362</v>
      </c>
      <c r="D375" t="s">
        <v>1363</v>
      </c>
      <c r="E375" t="s">
        <v>1364</v>
      </c>
      <c r="F375" t="s">
        <v>1365</v>
      </c>
      <c r="AF375" t="s">
        <v>1355</v>
      </c>
      <c r="AG375" t="s">
        <v>138</v>
      </c>
      <c r="AH375" t="b">
        <v>0</v>
      </c>
    </row>
    <row r="376" spans="1:34">
      <c r="A376" t="s">
        <v>1355</v>
      </c>
      <c r="B376" t="s">
        <v>1366</v>
      </c>
      <c r="C376" t="s">
        <v>1367</v>
      </c>
      <c r="D376" t="s">
        <v>1368</v>
      </c>
      <c r="E376" t="s">
        <v>1369</v>
      </c>
      <c r="F376" t="s">
        <v>1370</v>
      </c>
      <c r="AF376" t="s">
        <v>1355</v>
      </c>
      <c r="AG376" t="s">
        <v>138</v>
      </c>
      <c r="AH376" t="b">
        <v>0</v>
      </c>
    </row>
    <row r="377" spans="1:34">
      <c r="A377" t="s">
        <v>1355</v>
      </c>
      <c r="B377" t="s">
        <v>1371</v>
      </c>
      <c r="C377" t="s">
        <v>1362</v>
      </c>
      <c r="D377" t="s">
        <v>1372</v>
      </c>
      <c r="E377" t="s">
        <v>1364</v>
      </c>
      <c r="F377" t="s">
        <v>1373</v>
      </c>
      <c r="AF377" t="s">
        <v>1355</v>
      </c>
      <c r="AG377" t="s">
        <v>138</v>
      </c>
      <c r="AH377" t="b">
        <v>0</v>
      </c>
    </row>
    <row r="378" spans="1:34">
      <c r="A378" t="s">
        <v>1355</v>
      </c>
      <c r="B378" t="s">
        <v>1374</v>
      </c>
      <c r="C378" t="s">
        <v>1362</v>
      </c>
      <c r="D378" t="s">
        <v>1375</v>
      </c>
      <c r="E378" t="s">
        <v>1364</v>
      </c>
      <c r="F378" t="s">
        <v>1376</v>
      </c>
      <c r="AF378" t="s">
        <v>1355</v>
      </c>
      <c r="AG378" t="s">
        <v>138</v>
      </c>
      <c r="AH378" t="b">
        <v>0</v>
      </c>
    </row>
    <row r="379" spans="1:34">
      <c r="A379" t="s">
        <v>1355</v>
      </c>
      <c r="B379" t="s">
        <v>1377</v>
      </c>
      <c r="C379" t="s">
        <v>1367</v>
      </c>
      <c r="D379" t="s">
        <v>1378</v>
      </c>
      <c r="E379" t="s">
        <v>1369</v>
      </c>
      <c r="F379" t="s">
        <v>1379</v>
      </c>
      <c r="AF379" t="s">
        <v>1355</v>
      </c>
      <c r="AG379" t="s">
        <v>138</v>
      </c>
      <c r="AH379" t="b">
        <v>0</v>
      </c>
    </row>
    <row r="380" spans="1:34">
      <c r="A380" t="s">
        <v>1355</v>
      </c>
      <c r="B380" t="s">
        <v>1380</v>
      </c>
      <c r="C380" t="s">
        <v>1362</v>
      </c>
      <c r="D380" t="s">
        <v>1381</v>
      </c>
      <c r="E380" t="s">
        <v>1382</v>
      </c>
      <c r="F380" t="s">
        <v>1383</v>
      </c>
      <c r="AF380" t="s">
        <v>1355</v>
      </c>
      <c r="AG380" t="s">
        <v>138</v>
      </c>
      <c r="AH380" t="b">
        <v>0</v>
      </c>
    </row>
    <row r="381" spans="1:34">
      <c r="A381" t="s">
        <v>1355</v>
      </c>
      <c r="B381" t="s">
        <v>1384</v>
      </c>
      <c r="C381" t="s">
        <v>1362</v>
      </c>
      <c r="D381" t="s">
        <v>1385</v>
      </c>
      <c r="E381" t="s">
        <v>1364</v>
      </c>
      <c r="F381" t="s">
        <v>1386</v>
      </c>
      <c r="AF381" t="s">
        <v>1355</v>
      </c>
      <c r="AG381" t="s">
        <v>138</v>
      </c>
      <c r="AH381" t="b">
        <v>0</v>
      </c>
    </row>
    <row r="382" spans="1:34">
      <c r="A382" t="s">
        <v>1355</v>
      </c>
      <c r="B382" t="s">
        <v>1387</v>
      </c>
      <c r="C382" t="s">
        <v>1362</v>
      </c>
      <c r="D382" t="s">
        <v>1388</v>
      </c>
      <c r="E382" t="s">
        <v>1364</v>
      </c>
      <c r="F382" t="s">
        <v>1389</v>
      </c>
      <c r="AF382" t="s">
        <v>1355</v>
      </c>
      <c r="AG382" t="s">
        <v>138</v>
      </c>
      <c r="AH382" t="b">
        <v>0</v>
      </c>
    </row>
    <row r="383" spans="1:34">
      <c r="A383" t="s">
        <v>1355</v>
      </c>
      <c r="B383" t="s">
        <v>1390</v>
      </c>
      <c r="C383" t="s">
        <v>1362</v>
      </c>
      <c r="D383" t="s">
        <v>1391</v>
      </c>
      <c r="E383" t="s">
        <v>1364</v>
      </c>
      <c r="F383" t="s">
        <v>1392</v>
      </c>
      <c r="AF383" t="s">
        <v>1355</v>
      </c>
      <c r="AG383" t="s">
        <v>138</v>
      </c>
      <c r="AH383" t="b">
        <v>0</v>
      </c>
    </row>
    <row r="384" spans="1:34">
      <c r="A384" t="s">
        <v>1355</v>
      </c>
      <c r="B384" t="s">
        <v>1393</v>
      </c>
      <c r="C384" t="s">
        <v>1362</v>
      </c>
      <c r="D384" t="s">
        <v>1394</v>
      </c>
      <c r="E384" t="s">
        <v>1364</v>
      </c>
      <c r="F384" t="s">
        <v>1395</v>
      </c>
      <c r="AF384" t="s">
        <v>1355</v>
      </c>
      <c r="AG384" t="s">
        <v>138</v>
      </c>
      <c r="AH384" t="b">
        <v>0</v>
      </c>
    </row>
    <row r="385" spans="1:34">
      <c r="A385" t="s">
        <v>1355</v>
      </c>
      <c r="B385" t="s">
        <v>1396</v>
      </c>
      <c r="C385" t="s">
        <v>1362</v>
      </c>
      <c r="D385" t="s">
        <v>1397</v>
      </c>
      <c r="E385" t="s">
        <v>1364</v>
      </c>
      <c r="F385" t="s">
        <v>1398</v>
      </c>
      <c r="AF385" t="s">
        <v>1355</v>
      </c>
      <c r="AG385" t="s">
        <v>138</v>
      </c>
      <c r="AH385" t="b">
        <v>0</v>
      </c>
    </row>
    <row r="386" spans="1:34">
      <c r="A386" t="s">
        <v>1355</v>
      </c>
      <c r="B386" t="s">
        <v>1399</v>
      </c>
      <c r="C386" t="s">
        <v>1362</v>
      </c>
      <c r="D386" t="s">
        <v>1400</v>
      </c>
      <c r="E386" t="s">
        <v>1364</v>
      </c>
      <c r="F386" t="s">
        <v>1401</v>
      </c>
      <c r="AF386" t="s">
        <v>1355</v>
      </c>
      <c r="AG386" t="s">
        <v>138</v>
      </c>
      <c r="AH386" t="b">
        <v>0</v>
      </c>
    </row>
    <row r="387" spans="1:34">
      <c r="A387" t="s">
        <v>1355</v>
      </c>
      <c r="B387" t="s">
        <v>1402</v>
      </c>
      <c r="C387" t="s">
        <v>1362</v>
      </c>
      <c r="D387" t="s">
        <v>1403</v>
      </c>
      <c r="E387" t="s">
        <v>1364</v>
      </c>
      <c r="F387" t="s">
        <v>1404</v>
      </c>
      <c r="AF387" t="s">
        <v>1355</v>
      </c>
      <c r="AG387" t="s">
        <v>138</v>
      </c>
      <c r="AH387" t="b">
        <v>0</v>
      </c>
    </row>
    <row r="388" spans="1:34">
      <c r="A388" t="s">
        <v>1355</v>
      </c>
      <c r="B388" t="s">
        <v>1405</v>
      </c>
      <c r="C388" t="s">
        <v>1362</v>
      </c>
      <c r="D388" t="s">
        <v>1406</v>
      </c>
      <c r="E388" t="s">
        <v>1407</v>
      </c>
      <c r="F388" t="s">
        <v>1404</v>
      </c>
      <c r="AF388" t="s">
        <v>1355</v>
      </c>
      <c r="AG388" t="s">
        <v>138</v>
      </c>
      <c r="AH388" t="b">
        <v>0</v>
      </c>
    </row>
    <row r="389" spans="1:34">
      <c r="A389" t="s">
        <v>1355</v>
      </c>
      <c r="B389" t="s">
        <v>1408</v>
      </c>
      <c r="C389" t="s">
        <v>1362</v>
      </c>
      <c r="D389" t="s">
        <v>1409</v>
      </c>
      <c r="E389" t="s">
        <v>1364</v>
      </c>
      <c r="F389" t="s">
        <v>1410</v>
      </c>
      <c r="AF389" t="s">
        <v>1355</v>
      </c>
      <c r="AG389" t="s">
        <v>138</v>
      </c>
      <c r="AH389" t="b">
        <v>0</v>
      </c>
    </row>
    <row r="390" spans="1:34">
      <c r="A390" t="s">
        <v>1355</v>
      </c>
      <c r="B390" t="s">
        <v>1411</v>
      </c>
      <c r="C390" t="s">
        <v>1362</v>
      </c>
      <c r="D390" t="s">
        <v>1412</v>
      </c>
      <c r="E390" t="s">
        <v>1364</v>
      </c>
      <c r="F390" t="s">
        <v>1413</v>
      </c>
      <c r="AF390" t="s">
        <v>1355</v>
      </c>
      <c r="AG390" t="s">
        <v>138</v>
      </c>
      <c r="AH390" t="b">
        <v>0</v>
      </c>
    </row>
    <row r="391" spans="1:34">
      <c r="A391" t="s">
        <v>1355</v>
      </c>
      <c r="B391" t="s">
        <v>1414</v>
      </c>
      <c r="C391" t="s">
        <v>1362</v>
      </c>
      <c r="D391" t="s">
        <v>1415</v>
      </c>
      <c r="E391" t="s">
        <v>1364</v>
      </c>
      <c r="F391" t="s">
        <v>1416</v>
      </c>
      <c r="AF391" t="s">
        <v>1355</v>
      </c>
      <c r="AG391" t="s">
        <v>138</v>
      </c>
      <c r="AH391" t="b">
        <v>0</v>
      </c>
    </row>
    <row r="392" spans="1:34">
      <c r="A392" t="s">
        <v>1355</v>
      </c>
      <c r="B392" t="s">
        <v>1417</v>
      </c>
      <c r="C392" t="s">
        <v>1362</v>
      </c>
      <c r="D392" t="s">
        <v>1418</v>
      </c>
      <c r="E392" t="s">
        <v>1419</v>
      </c>
      <c r="F392" t="s">
        <v>1420</v>
      </c>
      <c r="AF392" t="s">
        <v>1355</v>
      </c>
      <c r="AG392" t="s">
        <v>138</v>
      </c>
      <c r="AH392" t="b">
        <v>0</v>
      </c>
    </row>
    <row r="393" spans="1:34">
      <c r="A393" t="s">
        <v>1355</v>
      </c>
      <c r="B393" t="s">
        <v>1421</v>
      </c>
      <c r="C393" t="s">
        <v>1362</v>
      </c>
      <c r="D393" t="s">
        <v>1422</v>
      </c>
      <c r="E393" t="s">
        <v>1382</v>
      </c>
      <c r="F393" t="s">
        <v>1423</v>
      </c>
      <c r="AF393" t="s">
        <v>1355</v>
      </c>
      <c r="AG393" t="s">
        <v>138</v>
      </c>
      <c r="AH393" t="b">
        <v>0</v>
      </c>
    </row>
    <row r="394" spans="1:34">
      <c r="A394" t="s">
        <v>1355</v>
      </c>
      <c r="B394" t="s">
        <v>1424</v>
      </c>
      <c r="C394" t="s">
        <v>1362</v>
      </c>
      <c r="D394" t="s">
        <v>1425</v>
      </c>
      <c r="E394" t="s">
        <v>1382</v>
      </c>
      <c r="F394" t="s">
        <v>1426</v>
      </c>
      <c r="AF394" t="s">
        <v>1355</v>
      </c>
      <c r="AG394" t="s">
        <v>138</v>
      </c>
      <c r="AH394" t="b">
        <v>0</v>
      </c>
    </row>
    <row r="395" spans="1:34">
      <c r="A395" t="s">
        <v>1355</v>
      </c>
      <c r="B395" t="s">
        <v>1427</v>
      </c>
      <c r="C395" t="s">
        <v>1362</v>
      </c>
      <c r="D395" t="s">
        <v>1428</v>
      </c>
      <c r="E395" t="s">
        <v>1364</v>
      </c>
      <c r="F395" t="s">
        <v>1383</v>
      </c>
      <c r="AF395" t="s">
        <v>1355</v>
      </c>
      <c r="AG395" t="s">
        <v>138</v>
      </c>
      <c r="AH395" t="b">
        <v>0</v>
      </c>
    </row>
    <row r="396" spans="1:34">
      <c r="A396" t="s">
        <v>1355</v>
      </c>
      <c r="B396" t="s">
        <v>1429</v>
      </c>
      <c r="C396" t="s">
        <v>1362</v>
      </c>
      <c r="D396" t="s">
        <v>1430</v>
      </c>
      <c r="E396" t="s">
        <v>1364</v>
      </c>
      <c r="F396" t="s">
        <v>1431</v>
      </c>
      <c r="AF396" t="s">
        <v>1355</v>
      </c>
      <c r="AG396" t="s">
        <v>138</v>
      </c>
      <c r="AH396" t="b">
        <v>0</v>
      </c>
    </row>
    <row r="397" spans="1:34">
      <c r="A397" t="s">
        <v>1355</v>
      </c>
      <c r="B397" t="s">
        <v>1432</v>
      </c>
      <c r="C397" t="s">
        <v>1362</v>
      </c>
      <c r="D397" t="s">
        <v>1433</v>
      </c>
      <c r="E397" t="s">
        <v>1364</v>
      </c>
      <c r="F397" t="s">
        <v>1416</v>
      </c>
      <c r="AF397" t="s">
        <v>1355</v>
      </c>
      <c r="AG397" t="s">
        <v>138</v>
      </c>
      <c r="AH397" t="b">
        <v>0</v>
      </c>
    </row>
    <row r="398" spans="1:34">
      <c r="A398" t="s">
        <v>1355</v>
      </c>
      <c r="B398" t="s">
        <v>1434</v>
      </c>
      <c r="C398" t="s">
        <v>1362</v>
      </c>
      <c r="D398" t="s">
        <v>1435</v>
      </c>
      <c r="E398" t="s">
        <v>1364</v>
      </c>
      <c r="F398" t="s">
        <v>1436</v>
      </c>
      <c r="AF398" t="s">
        <v>1355</v>
      </c>
      <c r="AG398" t="s">
        <v>138</v>
      </c>
      <c r="AH398" t="b">
        <v>0</v>
      </c>
    </row>
    <row r="399" spans="1:34">
      <c r="A399" t="s">
        <v>1355</v>
      </c>
      <c r="B399" t="s">
        <v>1437</v>
      </c>
      <c r="C399" t="s">
        <v>1362</v>
      </c>
      <c r="D399" t="s">
        <v>1438</v>
      </c>
      <c r="E399" t="s">
        <v>1364</v>
      </c>
      <c r="AF399" t="s">
        <v>1355</v>
      </c>
      <c r="AG399" t="s">
        <v>138</v>
      </c>
      <c r="AH399" t="b">
        <v>0</v>
      </c>
    </row>
    <row r="400" spans="1:34">
      <c r="A400" t="s">
        <v>1355</v>
      </c>
      <c r="B400" t="s">
        <v>1439</v>
      </c>
      <c r="C400" t="s">
        <v>1362</v>
      </c>
      <c r="D400" t="s">
        <v>1440</v>
      </c>
      <c r="E400" t="s">
        <v>1364</v>
      </c>
      <c r="F400" t="s">
        <v>1441</v>
      </c>
      <c r="AF400" t="s">
        <v>1355</v>
      </c>
      <c r="AG400" t="s">
        <v>138</v>
      </c>
      <c r="AH400" t="b">
        <v>0</v>
      </c>
    </row>
    <row r="401" spans="1:34">
      <c r="A401" t="s">
        <v>1355</v>
      </c>
      <c r="B401" t="s">
        <v>1442</v>
      </c>
      <c r="C401" t="s">
        <v>1362</v>
      </c>
      <c r="D401" t="s">
        <v>1443</v>
      </c>
      <c r="E401" t="s">
        <v>1419</v>
      </c>
      <c r="F401" t="s">
        <v>1420</v>
      </c>
      <c r="AF401" t="s">
        <v>1355</v>
      </c>
      <c r="AG401" t="s">
        <v>138</v>
      </c>
      <c r="AH401" t="b">
        <v>0</v>
      </c>
    </row>
    <row r="402" spans="1:34">
      <c r="A402" t="s">
        <v>1355</v>
      </c>
      <c r="B402" t="s">
        <v>1444</v>
      </c>
      <c r="C402" t="s">
        <v>1362</v>
      </c>
      <c r="D402" t="s">
        <v>1445</v>
      </c>
      <c r="E402" t="s">
        <v>1382</v>
      </c>
      <c r="F402" t="s">
        <v>1446</v>
      </c>
      <c r="AF402" t="s">
        <v>1355</v>
      </c>
      <c r="AG402" t="s">
        <v>138</v>
      </c>
      <c r="AH402" t="b">
        <v>0</v>
      </c>
    </row>
    <row r="403" spans="1:34">
      <c r="A403" t="s">
        <v>1355</v>
      </c>
      <c r="B403" t="s">
        <v>1447</v>
      </c>
      <c r="C403" t="s">
        <v>1362</v>
      </c>
      <c r="D403" t="s">
        <v>1448</v>
      </c>
      <c r="E403" t="s">
        <v>1364</v>
      </c>
      <c r="F403" t="s">
        <v>1383</v>
      </c>
      <c r="AF403" t="s">
        <v>1355</v>
      </c>
      <c r="AG403" t="s">
        <v>138</v>
      </c>
      <c r="AH403" t="b">
        <v>0</v>
      </c>
    </row>
    <row r="404" spans="1:34">
      <c r="A404" t="s">
        <v>1355</v>
      </c>
      <c r="B404" t="s">
        <v>1449</v>
      </c>
      <c r="C404" t="s">
        <v>1362</v>
      </c>
      <c r="D404" t="s">
        <v>1450</v>
      </c>
      <c r="F404" t="s">
        <v>1451</v>
      </c>
      <c r="AF404" t="s">
        <v>1355</v>
      </c>
      <c r="AG404" t="s">
        <v>138</v>
      </c>
      <c r="AH404" t="b">
        <v>0</v>
      </c>
    </row>
    <row r="405" spans="1:34">
      <c r="A405" t="s">
        <v>1355</v>
      </c>
      <c r="B405" t="s">
        <v>1452</v>
      </c>
      <c r="C405" t="s">
        <v>1362</v>
      </c>
      <c r="D405" t="s">
        <v>1453</v>
      </c>
      <c r="E405" t="s">
        <v>1364</v>
      </c>
      <c r="F405" t="s">
        <v>1454</v>
      </c>
      <c r="AF405" t="s">
        <v>1355</v>
      </c>
      <c r="AG405" t="s">
        <v>138</v>
      </c>
      <c r="AH405" t="b">
        <v>0</v>
      </c>
    </row>
    <row r="406" spans="1:34">
      <c r="A406" t="s">
        <v>1355</v>
      </c>
      <c r="B406" t="s">
        <v>1455</v>
      </c>
      <c r="C406" t="s">
        <v>1362</v>
      </c>
      <c r="D406" t="s">
        <v>1456</v>
      </c>
      <c r="E406" t="s">
        <v>1364</v>
      </c>
      <c r="F406" t="s">
        <v>1457</v>
      </c>
      <c r="AF406" t="s">
        <v>1355</v>
      </c>
      <c r="AG406" t="s">
        <v>138</v>
      </c>
      <c r="AH406" t="b">
        <v>0</v>
      </c>
    </row>
    <row r="407" spans="1:34">
      <c r="A407" t="s">
        <v>1355</v>
      </c>
      <c r="B407" t="s">
        <v>17</v>
      </c>
      <c r="C407" t="s">
        <v>1362</v>
      </c>
      <c r="D407" t="s">
        <v>1458</v>
      </c>
      <c r="E407" t="s">
        <v>1459</v>
      </c>
      <c r="F407" t="s">
        <v>1460</v>
      </c>
      <c r="AF407" t="s">
        <v>1355</v>
      </c>
      <c r="AG407" t="s">
        <v>138</v>
      </c>
      <c r="AH407" t="b">
        <v>0</v>
      </c>
    </row>
    <row r="408" spans="1:34">
      <c r="A408" t="s">
        <v>1355</v>
      </c>
      <c r="B408" t="s">
        <v>1461</v>
      </c>
      <c r="C408" t="s">
        <v>1462</v>
      </c>
      <c r="D408" t="s">
        <v>1463</v>
      </c>
      <c r="E408" t="s">
        <v>1464</v>
      </c>
      <c r="AF408" t="s">
        <v>1355</v>
      </c>
      <c r="AG408" t="s">
        <v>138</v>
      </c>
      <c r="AH408" t="b">
        <v>0</v>
      </c>
    </row>
    <row r="409" spans="1:34">
      <c r="A409" t="s">
        <v>1355</v>
      </c>
      <c r="B409" t="s">
        <v>1465</v>
      </c>
      <c r="C409" t="s">
        <v>1362</v>
      </c>
      <c r="D409" t="s">
        <v>1466</v>
      </c>
      <c r="F409" t="s">
        <v>1467</v>
      </c>
      <c r="AF409" t="s">
        <v>1355</v>
      </c>
      <c r="AG409" t="s">
        <v>138</v>
      </c>
      <c r="AH409" t="b">
        <v>0</v>
      </c>
    </row>
    <row r="410" spans="1:34">
      <c r="A410" t="s">
        <v>1355</v>
      </c>
      <c r="B410" t="s">
        <v>1468</v>
      </c>
      <c r="C410" t="s">
        <v>1462</v>
      </c>
      <c r="D410" t="s">
        <v>1469</v>
      </c>
      <c r="E410" t="s">
        <v>1464</v>
      </c>
      <c r="F410" t="s">
        <v>1470</v>
      </c>
      <c r="AF410" t="s">
        <v>1355</v>
      </c>
      <c r="AG410" t="s">
        <v>138</v>
      </c>
      <c r="AH410" t="b">
        <v>0</v>
      </c>
    </row>
    <row r="411" spans="1:34">
      <c r="A411" t="s">
        <v>1355</v>
      </c>
      <c r="B411" t="s">
        <v>1471</v>
      </c>
      <c r="C411" t="s">
        <v>1362</v>
      </c>
      <c r="D411" t="s">
        <v>1472</v>
      </c>
      <c r="E411" t="s">
        <v>1364</v>
      </c>
      <c r="F411" t="s">
        <v>1451</v>
      </c>
      <c r="AF411" t="s">
        <v>1355</v>
      </c>
      <c r="AG411" t="s">
        <v>138</v>
      </c>
      <c r="AH411" t="b">
        <v>0</v>
      </c>
    </row>
    <row r="412" spans="1:34">
      <c r="A412" t="s">
        <v>1355</v>
      </c>
      <c r="B412" t="s">
        <v>1473</v>
      </c>
      <c r="C412" t="s">
        <v>1362</v>
      </c>
      <c r="D412" t="s">
        <v>1474</v>
      </c>
      <c r="E412" t="s">
        <v>1364</v>
      </c>
      <c r="F412" t="s">
        <v>1475</v>
      </c>
      <c r="AF412" t="s">
        <v>1355</v>
      </c>
      <c r="AG412" t="s">
        <v>138</v>
      </c>
      <c r="AH412" t="b">
        <v>0</v>
      </c>
    </row>
    <row r="413" spans="1:34">
      <c r="A413" t="s">
        <v>1355</v>
      </c>
      <c r="B413" t="s">
        <v>1476</v>
      </c>
      <c r="C413" t="s">
        <v>1362</v>
      </c>
      <c r="D413" t="s">
        <v>1477</v>
      </c>
      <c r="E413" t="s">
        <v>1364</v>
      </c>
      <c r="F413" t="s">
        <v>1478</v>
      </c>
      <c r="AF413" t="s">
        <v>1355</v>
      </c>
      <c r="AG413" t="s">
        <v>138</v>
      </c>
      <c r="AH413" t="b">
        <v>0</v>
      </c>
    </row>
    <row r="414" spans="1:34">
      <c r="A414" t="s">
        <v>1355</v>
      </c>
      <c r="B414" t="s">
        <v>1479</v>
      </c>
      <c r="C414" t="s">
        <v>1362</v>
      </c>
      <c r="D414" t="s">
        <v>1480</v>
      </c>
      <c r="E414" t="s">
        <v>1364</v>
      </c>
      <c r="F414" t="s">
        <v>1481</v>
      </c>
      <c r="AF414" t="s">
        <v>1355</v>
      </c>
      <c r="AG414" t="s">
        <v>138</v>
      </c>
      <c r="AH414" t="b">
        <v>0</v>
      </c>
    </row>
    <row r="415" spans="1:34">
      <c r="A415" t="s">
        <v>1355</v>
      </c>
      <c r="B415" t="s">
        <v>1482</v>
      </c>
      <c r="C415" t="s">
        <v>1362</v>
      </c>
      <c r="D415" t="s">
        <v>1483</v>
      </c>
      <c r="E415" t="s">
        <v>1484</v>
      </c>
      <c r="F415" t="s">
        <v>1370</v>
      </c>
      <c r="AF415" t="s">
        <v>1355</v>
      </c>
      <c r="AG415" t="s">
        <v>138</v>
      </c>
      <c r="AH415" t="b">
        <v>0</v>
      </c>
    </row>
    <row r="416" spans="1:34">
      <c r="A416" t="s">
        <v>1355</v>
      </c>
      <c r="B416" t="s">
        <v>1485</v>
      </c>
      <c r="C416" t="s">
        <v>1362</v>
      </c>
      <c r="D416" t="s">
        <v>1486</v>
      </c>
      <c r="E416" t="s">
        <v>1364</v>
      </c>
      <c r="F416" t="s">
        <v>1487</v>
      </c>
      <c r="AF416" t="s">
        <v>1355</v>
      </c>
      <c r="AG416" t="s">
        <v>138</v>
      </c>
      <c r="AH416" t="b">
        <v>0</v>
      </c>
    </row>
    <row r="417" spans="1:34">
      <c r="A417" t="s">
        <v>1355</v>
      </c>
      <c r="B417" t="s">
        <v>1488</v>
      </c>
      <c r="C417" t="s">
        <v>1362</v>
      </c>
      <c r="D417" t="s">
        <v>1489</v>
      </c>
      <c r="E417" t="s">
        <v>1382</v>
      </c>
      <c r="F417" t="s">
        <v>1490</v>
      </c>
      <c r="AF417" t="s">
        <v>1355</v>
      </c>
      <c r="AG417" t="s">
        <v>138</v>
      </c>
      <c r="AH417" t="b">
        <v>0</v>
      </c>
    </row>
    <row r="418" spans="1:34">
      <c r="A418" t="s">
        <v>1355</v>
      </c>
      <c r="B418" t="s">
        <v>1491</v>
      </c>
      <c r="C418" t="s">
        <v>1362</v>
      </c>
      <c r="D418" t="s">
        <v>1492</v>
      </c>
      <c r="E418" t="s">
        <v>1364</v>
      </c>
      <c r="F418" t="s">
        <v>1493</v>
      </c>
      <c r="AF418" t="s">
        <v>1355</v>
      </c>
      <c r="AG418" t="s">
        <v>138</v>
      </c>
      <c r="AH418" t="b">
        <v>0</v>
      </c>
    </row>
    <row r="419" spans="1:34">
      <c r="A419" t="s">
        <v>1355</v>
      </c>
      <c r="B419" t="s">
        <v>1494</v>
      </c>
      <c r="C419" t="s">
        <v>1362</v>
      </c>
      <c r="D419" t="s">
        <v>1495</v>
      </c>
      <c r="E419" t="s">
        <v>1364</v>
      </c>
      <c r="F419" t="s">
        <v>1496</v>
      </c>
      <c r="AF419" t="s">
        <v>1355</v>
      </c>
      <c r="AG419" t="s">
        <v>138</v>
      </c>
      <c r="AH419" t="b">
        <v>0</v>
      </c>
    </row>
    <row r="420" spans="1:34">
      <c r="A420" t="s">
        <v>1355</v>
      </c>
      <c r="B420" t="s">
        <v>1497</v>
      </c>
      <c r="C420" t="s">
        <v>1362</v>
      </c>
      <c r="D420" t="s">
        <v>1498</v>
      </c>
      <c r="E420" t="s">
        <v>1364</v>
      </c>
      <c r="F420" t="s">
        <v>1499</v>
      </c>
      <c r="AF420" t="s">
        <v>1355</v>
      </c>
      <c r="AG420" t="s">
        <v>138</v>
      </c>
      <c r="AH420" t="b">
        <v>0</v>
      </c>
    </row>
    <row r="421" spans="1:34">
      <c r="A421" t="s">
        <v>1355</v>
      </c>
      <c r="B421" t="s">
        <v>1500</v>
      </c>
      <c r="C421" t="s">
        <v>1362</v>
      </c>
      <c r="D421" t="s">
        <v>1501</v>
      </c>
      <c r="E421" t="s">
        <v>1364</v>
      </c>
      <c r="F421" t="s">
        <v>1502</v>
      </c>
      <c r="AF421" t="s">
        <v>1355</v>
      </c>
      <c r="AG421" t="s">
        <v>138</v>
      </c>
      <c r="AH421" t="b">
        <v>0</v>
      </c>
    </row>
    <row r="422" spans="1:34">
      <c r="A422" t="s">
        <v>1355</v>
      </c>
      <c r="B422" t="s">
        <v>1503</v>
      </c>
      <c r="C422" t="s">
        <v>1362</v>
      </c>
      <c r="D422" t="s">
        <v>1504</v>
      </c>
      <c r="E422" t="s">
        <v>1364</v>
      </c>
      <c r="F422" t="s">
        <v>1505</v>
      </c>
      <c r="AF422" t="s">
        <v>1355</v>
      </c>
      <c r="AG422" t="s">
        <v>138</v>
      </c>
      <c r="AH422" t="b">
        <v>0</v>
      </c>
    </row>
    <row r="423" spans="1:34">
      <c r="A423" t="s">
        <v>1355</v>
      </c>
      <c r="B423" t="s">
        <v>1506</v>
      </c>
      <c r="C423" t="s">
        <v>1462</v>
      </c>
      <c r="D423" t="s">
        <v>1507</v>
      </c>
      <c r="E423" t="s">
        <v>1464</v>
      </c>
      <c r="F423" t="s">
        <v>1395</v>
      </c>
      <c r="AF423" t="s">
        <v>1355</v>
      </c>
      <c r="AG423" t="s">
        <v>138</v>
      </c>
      <c r="AH423" t="b">
        <v>0</v>
      </c>
    </row>
    <row r="424" spans="1:34">
      <c r="A424" t="s">
        <v>1355</v>
      </c>
      <c r="B424" t="s">
        <v>1508</v>
      </c>
      <c r="C424" t="s">
        <v>1362</v>
      </c>
      <c r="D424" t="s">
        <v>1509</v>
      </c>
      <c r="E424" t="s">
        <v>1364</v>
      </c>
      <c r="F424" t="s">
        <v>1510</v>
      </c>
      <c r="AF424" t="s">
        <v>1355</v>
      </c>
      <c r="AG424" t="s">
        <v>138</v>
      </c>
      <c r="AH424" t="b">
        <v>0</v>
      </c>
    </row>
    <row r="425" spans="1:34">
      <c r="A425" t="s">
        <v>1355</v>
      </c>
      <c r="B425" t="s">
        <v>1511</v>
      </c>
      <c r="C425" t="s">
        <v>1362</v>
      </c>
      <c r="D425" t="s">
        <v>1512</v>
      </c>
      <c r="E425" t="s">
        <v>1364</v>
      </c>
      <c r="F425" t="s">
        <v>1513</v>
      </c>
      <c r="AF425" t="s">
        <v>1355</v>
      </c>
      <c r="AG425" t="s">
        <v>138</v>
      </c>
      <c r="AH425" t="b">
        <v>0</v>
      </c>
    </row>
    <row r="426" spans="1:34">
      <c r="A426" t="s">
        <v>1355</v>
      </c>
      <c r="B426" t="s">
        <v>1514</v>
      </c>
      <c r="C426" t="s">
        <v>1362</v>
      </c>
      <c r="D426" t="s">
        <v>1515</v>
      </c>
      <c r="E426" t="s">
        <v>1382</v>
      </c>
      <c r="F426" t="s">
        <v>1392</v>
      </c>
      <c r="AF426" t="s">
        <v>1355</v>
      </c>
      <c r="AG426" t="s">
        <v>138</v>
      </c>
      <c r="AH426" t="b">
        <v>0</v>
      </c>
    </row>
    <row r="427" spans="1:34">
      <c r="A427" t="s">
        <v>1355</v>
      </c>
      <c r="B427" t="s">
        <v>1516</v>
      </c>
      <c r="C427" t="s">
        <v>1462</v>
      </c>
      <c r="D427" t="s">
        <v>1517</v>
      </c>
      <c r="E427" t="s">
        <v>1464</v>
      </c>
      <c r="F427" t="s">
        <v>1518</v>
      </c>
      <c r="AF427" t="s">
        <v>1355</v>
      </c>
      <c r="AG427" t="s">
        <v>138</v>
      </c>
      <c r="AH427" t="b">
        <v>0</v>
      </c>
    </row>
    <row r="428" spans="1:34">
      <c r="A428" t="s">
        <v>1355</v>
      </c>
      <c r="B428" t="s">
        <v>1519</v>
      </c>
      <c r="C428" t="s">
        <v>1362</v>
      </c>
      <c r="D428" t="s">
        <v>1520</v>
      </c>
      <c r="E428" t="s">
        <v>1364</v>
      </c>
      <c r="F428" t="s">
        <v>1521</v>
      </c>
      <c r="AF428" t="s">
        <v>1355</v>
      </c>
      <c r="AG428" t="s">
        <v>138</v>
      </c>
      <c r="AH428" t="b">
        <v>0</v>
      </c>
    </row>
    <row r="429" spans="1:34">
      <c r="A429" t="s">
        <v>1355</v>
      </c>
      <c r="B429" t="s">
        <v>1522</v>
      </c>
      <c r="C429" t="s">
        <v>1462</v>
      </c>
      <c r="D429" t="s">
        <v>1523</v>
      </c>
      <c r="E429" t="s">
        <v>1464</v>
      </c>
      <c r="F429" t="s">
        <v>1389</v>
      </c>
      <c r="AF429" t="s">
        <v>1355</v>
      </c>
      <c r="AG429" t="s">
        <v>138</v>
      </c>
      <c r="AH429" t="b">
        <v>0</v>
      </c>
    </row>
    <row r="430" spans="1:34">
      <c r="A430" t="s">
        <v>1355</v>
      </c>
      <c r="B430" t="s">
        <v>1524</v>
      </c>
      <c r="C430" t="s">
        <v>1362</v>
      </c>
      <c r="D430" t="s">
        <v>1525</v>
      </c>
      <c r="E430" t="s">
        <v>1382</v>
      </c>
      <c r="F430" t="s">
        <v>1383</v>
      </c>
      <c r="AF430" t="s">
        <v>1355</v>
      </c>
      <c r="AG430" t="s">
        <v>138</v>
      </c>
      <c r="AH430" t="b">
        <v>0</v>
      </c>
    </row>
    <row r="431" spans="1:34">
      <c r="A431" t="s">
        <v>1355</v>
      </c>
      <c r="B431" t="s">
        <v>1526</v>
      </c>
      <c r="C431" t="s">
        <v>1362</v>
      </c>
      <c r="D431" t="s">
        <v>1527</v>
      </c>
      <c r="E431" t="s">
        <v>1364</v>
      </c>
      <c r="F431" t="s">
        <v>1383</v>
      </c>
      <c r="AF431" t="s">
        <v>1355</v>
      </c>
      <c r="AG431" t="s">
        <v>138</v>
      </c>
      <c r="AH431" t="b">
        <v>0</v>
      </c>
    </row>
    <row r="432" spans="1:34">
      <c r="A432" t="s">
        <v>1355</v>
      </c>
      <c r="B432" t="s">
        <v>1528</v>
      </c>
      <c r="C432" t="s">
        <v>1362</v>
      </c>
      <c r="D432" t="s">
        <v>1529</v>
      </c>
      <c r="E432" t="s">
        <v>1364</v>
      </c>
      <c r="F432" t="s">
        <v>1373</v>
      </c>
      <c r="AF432" t="s">
        <v>1355</v>
      </c>
      <c r="AG432" t="s">
        <v>138</v>
      </c>
      <c r="AH432" t="b">
        <v>0</v>
      </c>
    </row>
    <row r="433" spans="1:34">
      <c r="A433" t="s">
        <v>1355</v>
      </c>
      <c r="B433" t="s">
        <v>1530</v>
      </c>
      <c r="C433" t="s">
        <v>1362</v>
      </c>
      <c r="D433" t="s">
        <v>1531</v>
      </c>
      <c r="E433" t="s">
        <v>1407</v>
      </c>
      <c r="F433" t="s">
        <v>1532</v>
      </c>
      <c r="AF433" t="s">
        <v>1355</v>
      </c>
      <c r="AG433" t="s">
        <v>138</v>
      </c>
      <c r="AH433" t="b">
        <v>0</v>
      </c>
    </row>
    <row r="434" spans="1:34">
      <c r="A434" t="s">
        <v>1355</v>
      </c>
      <c r="B434" t="s">
        <v>1533</v>
      </c>
      <c r="C434" t="s">
        <v>1362</v>
      </c>
      <c r="D434" t="s">
        <v>1534</v>
      </c>
      <c r="E434" t="s">
        <v>1484</v>
      </c>
      <c r="F434" t="s">
        <v>1379</v>
      </c>
      <c r="AF434" t="s">
        <v>1355</v>
      </c>
      <c r="AG434" t="s">
        <v>138</v>
      </c>
      <c r="AH434" t="b">
        <v>0</v>
      </c>
    </row>
    <row r="435" spans="1:34">
      <c r="A435" t="s">
        <v>1355</v>
      </c>
      <c r="B435" t="s">
        <v>1535</v>
      </c>
      <c r="C435" t="s">
        <v>1462</v>
      </c>
      <c r="D435" t="s">
        <v>1536</v>
      </c>
      <c r="E435" t="s">
        <v>1464</v>
      </c>
      <c r="F435" t="s">
        <v>1537</v>
      </c>
      <c r="AF435" t="s">
        <v>1355</v>
      </c>
      <c r="AG435" t="s">
        <v>138</v>
      </c>
      <c r="AH435" t="b">
        <v>0</v>
      </c>
    </row>
    <row r="436" spans="1:34">
      <c r="A436" t="s">
        <v>1355</v>
      </c>
      <c r="B436" t="s">
        <v>1538</v>
      </c>
      <c r="C436" t="s">
        <v>1462</v>
      </c>
      <c r="D436" t="s">
        <v>1539</v>
      </c>
      <c r="E436" t="s">
        <v>1464</v>
      </c>
      <c r="F436" t="s">
        <v>1454</v>
      </c>
      <c r="AF436" t="s">
        <v>1355</v>
      </c>
      <c r="AG436" t="s">
        <v>138</v>
      </c>
      <c r="AH436" t="b">
        <v>0</v>
      </c>
    </row>
    <row r="437" spans="1:34">
      <c r="A437" t="s">
        <v>1355</v>
      </c>
      <c r="B437" t="s">
        <v>1540</v>
      </c>
      <c r="C437" t="s">
        <v>1362</v>
      </c>
      <c r="D437" t="s">
        <v>1541</v>
      </c>
      <c r="E437" t="s">
        <v>1364</v>
      </c>
      <c r="F437" t="s">
        <v>1542</v>
      </c>
      <c r="AF437" t="s">
        <v>1355</v>
      </c>
      <c r="AG437" t="s">
        <v>138</v>
      </c>
      <c r="AH437" t="b">
        <v>0</v>
      </c>
    </row>
    <row r="438" spans="1:34">
      <c r="A438" t="s">
        <v>1355</v>
      </c>
      <c r="B438" t="s">
        <v>1543</v>
      </c>
      <c r="C438" t="s">
        <v>1462</v>
      </c>
      <c r="D438" t="s">
        <v>1544</v>
      </c>
      <c r="E438" t="s">
        <v>1464</v>
      </c>
      <c r="F438" t="s">
        <v>1379</v>
      </c>
      <c r="AF438" t="s">
        <v>1355</v>
      </c>
      <c r="AG438" t="s">
        <v>138</v>
      </c>
      <c r="AH438" t="b">
        <v>0</v>
      </c>
    </row>
    <row r="439" spans="1:34">
      <c r="A439" t="s">
        <v>1355</v>
      </c>
      <c r="B439" t="s">
        <v>1545</v>
      </c>
      <c r="C439" t="s">
        <v>1362</v>
      </c>
      <c r="D439" t="s">
        <v>1546</v>
      </c>
      <c r="E439" t="s">
        <v>1364</v>
      </c>
      <c r="F439" t="s">
        <v>1547</v>
      </c>
      <c r="AF439" t="s">
        <v>1355</v>
      </c>
      <c r="AG439" t="s">
        <v>138</v>
      </c>
      <c r="AH439" t="b">
        <v>0</v>
      </c>
    </row>
    <row r="440" spans="1:34">
      <c r="A440" t="s">
        <v>1355</v>
      </c>
      <c r="B440" t="s">
        <v>1548</v>
      </c>
      <c r="C440" t="s">
        <v>1362</v>
      </c>
      <c r="D440" t="s">
        <v>1549</v>
      </c>
      <c r="E440" t="s">
        <v>1407</v>
      </c>
      <c r="F440" t="s">
        <v>1404</v>
      </c>
      <c r="AF440" t="s">
        <v>1355</v>
      </c>
      <c r="AG440" t="s">
        <v>138</v>
      </c>
      <c r="AH440" t="b">
        <v>0</v>
      </c>
    </row>
    <row r="441" spans="1:34">
      <c r="A441" t="s">
        <v>1355</v>
      </c>
      <c r="B441" t="s">
        <v>1550</v>
      </c>
      <c r="C441" t="s">
        <v>1362</v>
      </c>
      <c r="D441" t="s">
        <v>1551</v>
      </c>
      <c r="E441" t="s">
        <v>1364</v>
      </c>
      <c r="F441" t="s">
        <v>1416</v>
      </c>
      <c r="AF441" t="s">
        <v>1355</v>
      </c>
      <c r="AG441" t="s">
        <v>138</v>
      </c>
      <c r="AH441" t="b">
        <v>0</v>
      </c>
    </row>
    <row r="442" spans="1:34">
      <c r="A442" t="s">
        <v>1355</v>
      </c>
      <c r="B442" t="s">
        <v>1552</v>
      </c>
      <c r="C442" t="s">
        <v>1362</v>
      </c>
      <c r="D442" t="s">
        <v>1553</v>
      </c>
      <c r="E442" t="s">
        <v>1407</v>
      </c>
      <c r="F442" t="s">
        <v>1554</v>
      </c>
      <c r="AF442" t="s">
        <v>1355</v>
      </c>
      <c r="AG442" t="s">
        <v>138</v>
      </c>
      <c r="AH442" t="b">
        <v>0</v>
      </c>
    </row>
    <row r="443" spans="1:34">
      <c r="A443" t="s">
        <v>1355</v>
      </c>
      <c r="B443" t="s">
        <v>1555</v>
      </c>
      <c r="C443" t="s">
        <v>1362</v>
      </c>
      <c r="D443" t="s">
        <v>1556</v>
      </c>
      <c r="E443" t="s">
        <v>1364</v>
      </c>
      <c r="F443" t="s">
        <v>1395</v>
      </c>
      <c r="AF443" t="s">
        <v>1355</v>
      </c>
      <c r="AG443" t="s">
        <v>138</v>
      </c>
      <c r="AH443" t="b">
        <v>0</v>
      </c>
    </row>
    <row r="444" spans="1:34">
      <c r="A444" t="s">
        <v>1355</v>
      </c>
      <c r="B444" t="s">
        <v>1557</v>
      </c>
      <c r="C444" t="s">
        <v>1362</v>
      </c>
      <c r="D444" t="s">
        <v>1558</v>
      </c>
      <c r="E444" t="s">
        <v>1407</v>
      </c>
      <c r="F444" t="s">
        <v>1559</v>
      </c>
      <c r="AF444" t="s">
        <v>1355</v>
      </c>
      <c r="AG444" t="s">
        <v>138</v>
      </c>
      <c r="AH444" t="b">
        <v>0</v>
      </c>
    </row>
    <row r="445" spans="1:34">
      <c r="A445" t="s">
        <v>1355</v>
      </c>
      <c r="B445" t="s">
        <v>1560</v>
      </c>
      <c r="C445" t="s">
        <v>1462</v>
      </c>
      <c r="D445" t="s">
        <v>1561</v>
      </c>
      <c r="E445" t="s">
        <v>1464</v>
      </c>
      <c r="F445" t="s">
        <v>1562</v>
      </c>
      <c r="AF445" t="s">
        <v>1355</v>
      </c>
      <c r="AG445" t="s">
        <v>138</v>
      </c>
      <c r="AH445" t="b">
        <v>0</v>
      </c>
    </row>
    <row r="446" spans="1:34">
      <c r="A446" t="s">
        <v>1355</v>
      </c>
      <c r="B446" t="s">
        <v>1563</v>
      </c>
      <c r="C446" t="s">
        <v>1362</v>
      </c>
      <c r="D446" t="s">
        <v>1564</v>
      </c>
      <c r="E446" t="s">
        <v>1382</v>
      </c>
      <c r="F446" t="s">
        <v>1565</v>
      </c>
      <c r="AF446" t="s">
        <v>1355</v>
      </c>
      <c r="AG446" t="s">
        <v>138</v>
      </c>
      <c r="AH446" t="b">
        <v>0</v>
      </c>
    </row>
    <row r="447" spans="1:34">
      <c r="A447" t="s">
        <v>1355</v>
      </c>
      <c r="B447" t="s">
        <v>1566</v>
      </c>
      <c r="C447" t="s">
        <v>1362</v>
      </c>
      <c r="D447" t="s">
        <v>1567</v>
      </c>
      <c r="E447" t="s">
        <v>1407</v>
      </c>
      <c r="F447" t="s">
        <v>1568</v>
      </c>
      <c r="AF447" t="s">
        <v>1355</v>
      </c>
      <c r="AG447" t="s">
        <v>138</v>
      </c>
      <c r="AH447" t="b">
        <v>0</v>
      </c>
    </row>
    <row r="448" spans="1:34">
      <c r="A448" t="s">
        <v>1355</v>
      </c>
      <c r="B448" t="s">
        <v>1569</v>
      </c>
      <c r="C448" t="s">
        <v>1362</v>
      </c>
      <c r="D448" t="s">
        <v>1570</v>
      </c>
      <c r="E448" t="s">
        <v>1364</v>
      </c>
      <c r="F448" t="s">
        <v>1383</v>
      </c>
      <c r="AF448" t="s">
        <v>1355</v>
      </c>
      <c r="AG448" t="s">
        <v>138</v>
      </c>
      <c r="AH448" t="b">
        <v>0</v>
      </c>
    </row>
    <row r="449" spans="1:34">
      <c r="A449" t="s">
        <v>1355</v>
      </c>
      <c r="B449" t="s">
        <v>1571</v>
      </c>
      <c r="C449" t="s">
        <v>1362</v>
      </c>
      <c r="D449" t="s">
        <v>1572</v>
      </c>
      <c r="E449" t="s">
        <v>1364</v>
      </c>
      <c r="F449" t="s">
        <v>1573</v>
      </c>
      <c r="AF449" t="s">
        <v>1355</v>
      </c>
      <c r="AG449" t="s">
        <v>138</v>
      </c>
      <c r="AH449" t="b">
        <v>0</v>
      </c>
    </row>
    <row r="450" spans="1:34">
      <c r="A450" t="s">
        <v>1355</v>
      </c>
      <c r="B450" t="s">
        <v>1574</v>
      </c>
      <c r="C450" t="s">
        <v>1362</v>
      </c>
      <c r="D450" t="s">
        <v>1575</v>
      </c>
      <c r="E450" t="s">
        <v>1364</v>
      </c>
      <c r="F450" t="s">
        <v>1487</v>
      </c>
      <c r="AF450" t="s">
        <v>1355</v>
      </c>
      <c r="AG450" t="s">
        <v>138</v>
      </c>
      <c r="AH450" t="b">
        <v>0</v>
      </c>
    </row>
    <row r="451" spans="1:34">
      <c r="A451" t="s">
        <v>1355</v>
      </c>
      <c r="B451" t="s">
        <v>1576</v>
      </c>
      <c r="C451" t="s">
        <v>1462</v>
      </c>
      <c r="D451" t="s">
        <v>1577</v>
      </c>
      <c r="E451" t="s">
        <v>1464</v>
      </c>
      <c r="F451" t="s">
        <v>1457</v>
      </c>
      <c r="AF451" t="s">
        <v>1355</v>
      </c>
      <c r="AG451" t="s">
        <v>138</v>
      </c>
      <c r="AH451" t="b">
        <v>0</v>
      </c>
    </row>
    <row r="452" spans="1:34">
      <c r="A452" t="s">
        <v>1355</v>
      </c>
      <c r="B452" t="s">
        <v>1578</v>
      </c>
      <c r="C452" t="s">
        <v>1362</v>
      </c>
      <c r="D452" t="s">
        <v>1579</v>
      </c>
      <c r="E452" t="s">
        <v>1364</v>
      </c>
      <c r="F452" t="s">
        <v>1383</v>
      </c>
      <c r="AF452" t="s">
        <v>1355</v>
      </c>
      <c r="AG452" t="s">
        <v>138</v>
      </c>
      <c r="AH452" t="b">
        <v>0</v>
      </c>
    </row>
    <row r="453" spans="1:34">
      <c r="A453" t="s">
        <v>1355</v>
      </c>
      <c r="B453" t="s">
        <v>1580</v>
      </c>
      <c r="C453" t="s">
        <v>1362</v>
      </c>
      <c r="D453" t="s">
        <v>1581</v>
      </c>
      <c r="E453" t="s">
        <v>1364</v>
      </c>
      <c r="F453" t="s">
        <v>1582</v>
      </c>
      <c r="AF453" t="s">
        <v>1355</v>
      </c>
      <c r="AG453" t="s">
        <v>138</v>
      </c>
      <c r="AH453" t="b">
        <v>0</v>
      </c>
    </row>
    <row r="454" spans="1:34">
      <c r="A454" t="s">
        <v>1355</v>
      </c>
      <c r="B454" t="s">
        <v>1583</v>
      </c>
      <c r="C454" t="s">
        <v>1362</v>
      </c>
      <c r="D454" t="s">
        <v>1584</v>
      </c>
      <c r="E454" t="s">
        <v>1382</v>
      </c>
      <c r="F454" t="s">
        <v>1585</v>
      </c>
      <c r="AF454" t="s">
        <v>1355</v>
      </c>
      <c r="AG454" t="s">
        <v>138</v>
      </c>
      <c r="AH454" t="b">
        <v>0</v>
      </c>
    </row>
    <row r="455" spans="1:34">
      <c r="A455" t="s">
        <v>1355</v>
      </c>
      <c r="B455" t="s">
        <v>1586</v>
      </c>
      <c r="C455" t="s">
        <v>1362</v>
      </c>
      <c r="D455" t="s">
        <v>1587</v>
      </c>
      <c r="E455" t="s">
        <v>1364</v>
      </c>
      <c r="F455" t="s">
        <v>1588</v>
      </c>
      <c r="AF455" t="s">
        <v>1355</v>
      </c>
      <c r="AG455" t="s">
        <v>138</v>
      </c>
      <c r="AH455" t="b">
        <v>0</v>
      </c>
    </row>
    <row r="456" spans="1:34">
      <c r="A456" t="s">
        <v>1355</v>
      </c>
      <c r="B456" t="s">
        <v>1589</v>
      </c>
      <c r="C456" t="s">
        <v>1362</v>
      </c>
      <c r="D456" t="s">
        <v>1590</v>
      </c>
      <c r="E456" t="s">
        <v>1364</v>
      </c>
      <c r="F456" t="s">
        <v>1591</v>
      </c>
      <c r="AF456" t="s">
        <v>1355</v>
      </c>
      <c r="AG456" t="s">
        <v>138</v>
      </c>
      <c r="AH456" t="b">
        <v>0</v>
      </c>
    </row>
    <row r="457" spans="1:34">
      <c r="A457" t="s">
        <v>1355</v>
      </c>
      <c r="B457" t="s">
        <v>1592</v>
      </c>
      <c r="C457" t="s">
        <v>1362</v>
      </c>
      <c r="D457" t="s">
        <v>1593</v>
      </c>
      <c r="E457" t="s">
        <v>1364</v>
      </c>
      <c r="F457" t="s">
        <v>1594</v>
      </c>
      <c r="AF457" t="s">
        <v>1355</v>
      </c>
      <c r="AG457" t="s">
        <v>138</v>
      </c>
      <c r="AH457" t="b">
        <v>0</v>
      </c>
    </row>
    <row r="458" spans="1:34">
      <c r="A458" t="s">
        <v>1355</v>
      </c>
      <c r="B458" t="s">
        <v>1595</v>
      </c>
      <c r="C458" t="s">
        <v>1362</v>
      </c>
      <c r="D458" t="s">
        <v>1596</v>
      </c>
      <c r="E458" t="s">
        <v>1382</v>
      </c>
      <c r="F458" t="s">
        <v>1597</v>
      </c>
      <c r="AF458" t="s">
        <v>1355</v>
      </c>
      <c r="AG458" t="s">
        <v>138</v>
      </c>
      <c r="AH458" t="b">
        <v>0</v>
      </c>
    </row>
    <row r="459" spans="1:34">
      <c r="A459" t="s">
        <v>1355</v>
      </c>
      <c r="B459" t="s">
        <v>1598</v>
      </c>
      <c r="C459" t="s">
        <v>1362</v>
      </c>
      <c r="D459" t="s">
        <v>1599</v>
      </c>
      <c r="E459" t="s">
        <v>1364</v>
      </c>
      <c r="F459" t="s">
        <v>1600</v>
      </c>
      <c r="AF459" t="s">
        <v>1355</v>
      </c>
      <c r="AG459" t="s">
        <v>138</v>
      </c>
      <c r="AH459" t="b">
        <v>0</v>
      </c>
    </row>
    <row r="460" spans="1:34">
      <c r="A460" t="s">
        <v>1355</v>
      </c>
      <c r="B460" t="s">
        <v>1601</v>
      </c>
      <c r="C460" t="s">
        <v>1362</v>
      </c>
      <c r="D460" t="s">
        <v>1602</v>
      </c>
      <c r="E460" t="s">
        <v>1382</v>
      </c>
      <c r="F460" t="s">
        <v>1597</v>
      </c>
      <c r="AF460" t="s">
        <v>1355</v>
      </c>
      <c r="AG460" t="s">
        <v>138</v>
      </c>
      <c r="AH460" t="b">
        <v>0</v>
      </c>
    </row>
    <row r="461" spans="1:34">
      <c r="A461" t="s">
        <v>1355</v>
      </c>
      <c r="B461" t="s">
        <v>1603</v>
      </c>
      <c r="C461" t="s">
        <v>1362</v>
      </c>
      <c r="D461" t="s">
        <v>1604</v>
      </c>
      <c r="E461" t="s">
        <v>1605</v>
      </c>
      <c r="F461" t="s">
        <v>1383</v>
      </c>
      <c r="AF461" t="s">
        <v>1355</v>
      </c>
      <c r="AG461" t="s">
        <v>138</v>
      </c>
      <c r="AH461" t="b">
        <v>0</v>
      </c>
    </row>
    <row r="462" spans="1:34">
      <c r="A462" t="s">
        <v>1355</v>
      </c>
      <c r="B462" t="s">
        <v>1606</v>
      </c>
      <c r="C462" t="s">
        <v>1462</v>
      </c>
      <c r="D462" t="s">
        <v>1607</v>
      </c>
      <c r="E462" t="s">
        <v>1464</v>
      </c>
      <c r="F462" t="s">
        <v>1608</v>
      </c>
      <c r="AF462" t="s">
        <v>1355</v>
      </c>
      <c r="AG462" t="s">
        <v>138</v>
      </c>
      <c r="AH462" t="b">
        <v>0</v>
      </c>
    </row>
    <row r="463" spans="1:34">
      <c r="A463" t="s">
        <v>1355</v>
      </c>
      <c r="B463" t="s">
        <v>1609</v>
      </c>
      <c r="C463" t="s">
        <v>1362</v>
      </c>
      <c r="D463" t="s">
        <v>1610</v>
      </c>
      <c r="E463" t="s">
        <v>1459</v>
      </c>
      <c r="F463" t="s">
        <v>1420</v>
      </c>
      <c r="AF463" t="s">
        <v>1355</v>
      </c>
      <c r="AG463" t="s">
        <v>138</v>
      </c>
      <c r="AH463" t="b">
        <v>0</v>
      </c>
    </row>
    <row r="464" spans="1:34">
      <c r="A464" t="s">
        <v>1355</v>
      </c>
      <c r="B464" t="s">
        <v>1611</v>
      </c>
      <c r="C464" t="s">
        <v>1362</v>
      </c>
      <c r="D464" t="s">
        <v>1612</v>
      </c>
      <c r="E464" t="s">
        <v>1364</v>
      </c>
      <c r="F464" t="s">
        <v>1613</v>
      </c>
      <c r="AF464" t="s">
        <v>1355</v>
      </c>
      <c r="AG464" t="s">
        <v>138</v>
      </c>
      <c r="AH464" t="b">
        <v>0</v>
      </c>
    </row>
    <row r="465" spans="1:34">
      <c r="A465" t="s">
        <v>1355</v>
      </c>
      <c r="B465" t="s">
        <v>1614</v>
      </c>
      <c r="C465" t="s">
        <v>1462</v>
      </c>
      <c r="D465" t="s">
        <v>1615</v>
      </c>
      <c r="E465" t="s">
        <v>1464</v>
      </c>
      <c r="F465" t="s">
        <v>1467</v>
      </c>
      <c r="AF465" t="s">
        <v>1355</v>
      </c>
      <c r="AG465" t="s">
        <v>138</v>
      </c>
      <c r="AH465" t="b">
        <v>0</v>
      </c>
    </row>
    <row r="466" spans="1:34">
      <c r="A466" t="s">
        <v>1355</v>
      </c>
      <c r="B466" t="s">
        <v>1616</v>
      </c>
      <c r="C466" t="s">
        <v>1362</v>
      </c>
      <c r="D466" t="s">
        <v>1617</v>
      </c>
      <c r="E466" t="s">
        <v>1364</v>
      </c>
      <c r="F466" t="s">
        <v>1562</v>
      </c>
      <c r="AF466" t="s">
        <v>1355</v>
      </c>
      <c r="AG466" t="s">
        <v>138</v>
      </c>
      <c r="AH466" t="b">
        <v>0</v>
      </c>
    </row>
    <row r="467" spans="1:34">
      <c r="A467" t="s">
        <v>1355</v>
      </c>
      <c r="B467" t="s">
        <v>1618</v>
      </c>
      <c r="C467" t="s">
        <v>1362</v>
      </c>
      <c r="D467" t="s">
        <v>1619</v>
      </c>
      <c r="E467" t="s">
        <v>1364</v>
      </c>
      <c r="F467" t="s">
        <v>1490</v>
      </c>
      <c r="AF467" t="s">
        <v>1355</v>
      </c>
      <c r="AG467" t="s">
        <v>138</v>
      </c>
      <c r="AH467" t="b">
        <v>0</v>
      </c>
    </row>
    <row r="468" spans="1:34">
      <c r="A468" t="s">
        <v>1355</v>
      </c>
      <c r="B468" t="s">
        <v>1620</v>
      </c>
      <c r="C468" t="s">
        <v>1362</v>
      </c>
      <c r="D468" t="s">
        <v>1621</v>
      </c>
      <c r="E468" t="s">
        <v>1364</v>
      </c>
      <c r="F468" t="s">
        <v>1622</v>
      </c>
      <c r="AF468" t="s">
        <v>1355</v>
      </c>
      <c r="AG468" t="s">
        <v>138</v>
      </c>
      <c r="AH468" t="b">
        <v>0</v>
      </c>
    </row>
    <row r="469" spans="1:34">
      <c r="A469" t="s">
        <v>1355</v>
      </c>
      <c r="B469" t="s">
        <v>1623</v>
      </c>
      <c r="C469" t="s">
        <v>1362</v>
      </c>
      <c r="D469" t="s">
        <v>1624</v>
      </c>
      <c r="E469" t="s">
        <v>1364</v>
      </c>
      <c r="F469" t="s">
        <v>1625</v>
      </c>
      <c r="AF469" t="s">
        <v>1355</v>
      </c>
      <c r="AG469" t="s">
        <v>138</v>
      </c>
      <c r="AH469" t="b">
        <v>0</v>
      </c>
    </row>
    <row r="470" spans="1:34">
      <c r="A470" t="s">
        <v>1355</v>
      </c>
      <c r="B470" t="s">
        <v>1626</v>
      </c>
      <c r="C470" t="s">
        <v>1362</v>
      </c>
      <c r="D470" t="s">
        <v>1627</v>
      </c>
      <c r="E470" t="s">
        <v>1484</v>
      </c>
      <c r="F470" t="s">
        <v>1379</v>
      </c>
      <c r="AF470" t="s">
        <v>1355</v>
      </c>
      <c r="AG470" t="s">
        <v>138</v>
      </c>
      <c r="AH470" t="b">
        <v>0</v>
      </c>
    </row>
    <row r="471" spans="1:34">
      <c r="A471" t="s">
        <v>1355</v>
      </c>
      <c r="B471" t="s">
        <v>1628</v>
      </c>
      <c r="C471" t="s">
        <v>1362</v>
      </c>
      <c r="D471" t="s">
        <v>1629</v>
      </c>
      <c r="E471" t="s">
        <v>1364</v>
      </c>
      <c r="F471" t="s">
        <v>1630</v>
      </c>
      <c r="AF471" t="s">
        <v>1355</v>
      </c>
      <c r="AG471" t="s">
        <v>138</v>
      </c>
      <c r="AH471" t="b">
        <v>0</v>
      </c>
    </row>
    <row r="472" spans="1:34">
      <c r="A472" t="s">
        <v>1355</v>
      </c>
      <c r="B472" t="s">
        <v>1631</v>
      </c>
      <c r="C472" t="s">
        <v>1362</v>
      </c>
      <c r="D472" t="s">
        <v>1632</v>
      </c>
      <c r="E472" t="s">
        <v>1364</v>
      </c>
      <c r="F472" t="s">
        <v>1630</v>
      </c>
      <c r="AF472" t="s">
        <v>1355</v>
      </c>
      <c r="AG472" t="s">
        <v>138</v>
      </c>
      <c r="AH472" t="b">
        <v>0</v>
      </c>
    </row>
    <row r="473" spans="1:34">
      <c r="A473" t="s">
        <v>1355</v>
      </c>
      <c r="B473" t="s">
        <v>1633</v>
      </c>
      <c r="C473" t="s">
        <v>1362</v>
      </c>
      <c r="D473" t="s">
        <v>1634</v>
      </c>
      <c r="E473" t="s">
        <v>1364</v>
      </c>
      <c r="F473" t="s">
        <v>1600</v>
      </c>
      <c r="AF473" t="s">
        <v>1355</v>
      </c>
      <c r="AG473" t="s">
        <v>138</v>
      </c>
      <c r="AH473" t="b">
        <v>0</v>
      </c>
    </row>
    <row r="474" spans="1:34">
      <c r="A474" t="s">
        <v>1355</v>
      </c>
      <c r="B474" t="s">
        <v>1635</v>
      </c>
      <c r="C474" t="s">
        <v>1362</v>
      </c>
      <c r="D474" t="s">
        <v>1636</v>
      </c>
      <c r="E474" t="s">
        <v>1605</v>
      </c>
      <c r="F474" t="s">
        <v>1383</v>
      </c>
      <c r="AF474" t="s">
        <v>1355</v>
      </c>
      <c r="AG474" t="s">
        <v>138</v>
      </c>
      <c r="AH474" t="b">
        <v>0</v>
      </c>
    </row>
    <row r="475" spans="1:34">
      <c r="A475" t="s">
        <v>1355</v>
      </c>
      <c r="B475" t="s">
        <v>1637</v>
      </c>
      <c r="C475" t="s">
        <v>1362</v>
      </c>
      <c r="D475" t="s">
        <v>1638</v>
      </c>
      <c r="E475" t="s">
        <v>1364</v>
      </c>
      <c r="F475" t="s">
        <v>1639</v>
      </c>
      <c r="AF475" t="s">
        <v>1355</v>
      </c>
      <c r="AG475" t="s">
        <v>138</v>
      </c>
      <c r="AH475" t="b">
        <v>0</v>
      </c>
    </row>
    <row r="476" spans="1:34">
      <c r="A476" t="s">
        <v>1355</v>
      </c>
      <c r="B476" t="s">
        <v>1640</v>
      </c>
      <c r="C476" t="s">
        <v>1362</v>
      </c>
      <c r="D476" t="s">
        <v>1641</v>
      </c>
      <c r="E476" t="s">
        <v>1382</v>
      </c>
      <c r="F476" t="s">
        <v>1642</v>
      </c>
      <c r="AF476" t="s">
        <v>1355</v>
      </c>
      <c r="AG476" t="s">
        <v>138</v>
      </c>
      <c r="AH476" t="b">
        <v>0</v>
      </c>
    </row>
    <row r="477" spans="1:34">
      <c r="A477" t="s">
        <v>1355</v>
      </c>
      <c r="B477" t="s">
        <v>1643</v>
      </c>
      <c r="C477" t="s">
        <v>1362</v>
      </c>
      <c r="D477" t="s">
        <v>1644</v>
      </c>
      <c r="E477" t="s">
        <v>1364</v>
      </c>
      <c r="F477" t="s">
        <v>1379</v>
      </c>
      <c r="AF477" t="s">
        <v>1355</v>
      </c>
      <c r="AG477" t="s">
        <v>138</v>
      </c>
      <c r="AH477" t="b">
        <v>0</v>
      </c>
    </row>
    <row r="478" spans="1:34">
      <c r="A478" t="s">
        <v>1355</v>
      </c>
      <c r="B478" t="s">
        <v>1645</v>
      </c>
      <c r="C478" t="s">
        <v>1362</v>
      </c>
      <c r="D478" t="s">
        <v>1646</v>
      </c>
      <c r="E478" t="s">
        <v>1382</v>
      </c>
      <c r="F478" t="s">
        <v>1490</v>
      </c>
      <c r="AF478" t="s">
        <v>1355</v>
      </c>
      <c r="AG478" t="s">
        <v>138</v>
      </c>
      <c r="AH478" t="b">
        <v>0</v>
      </c>
    </row>
    <row r="479" spans="1:34">
      <c r="A479" t="s">
        <v>1355</v>
      </c>
      <c r="B479" t="s">
        <v>1647</v>
      </c>
      <c r="C479" t="s">
        <v>1462</v>
      </c>
      <c r="D479" t="s">
        <v>1648</v>
      </c>
      <c r="E479" t="s">
        <v>1464</v>
      </c>
      <c r="F479" t="s">
        <v>1649</v>
      </c>
      <c r="AF479" t="s">
        <v>1355</v>
      </c>
      <c r="AG479" t="s">
        <v>138</v>
      </c>
      <c r="AH479" t="b">
        <v>0</v>
      </c>
    </row>
    <row r="480" spans="1:34">
      <c r="A480" t="s">
        <v>1355</v>
      </c>
      <c r="B480" t="s">
        <v>42</v>
      </c>
      <c r="C480" t="s">
        <v>1362</v>
      </c>
      <c r="D480" t="s">
        <v>1650</v>
      </c>
      <c r="E480" t="s">
        <v>1364</v>
      </c>
      <c r="F480" t="s">
        <v>1651</v>
      </c>
      <c r="AF480" t="s">
        <v>1355</v>
      </c>
      <c r="AG480" t="s">
        <v>138</v>
      </c>
      <c r="AH480" t="b">
        <v>0</v>
      </c>
    </row>
    <row r="481" spans="1:34">
      <c r="A481" t="s">
        <v>1355</v>
      </c>
      <c r="B481" t="s">
        <v>1652</v>
      </c>
      <c r="C481" t="s">
        <v>1362</v>
      </c>
      <c r="D481" t="s">
        <v>1653</v>
      </c>
      <c r="E481" t="s">
        <v>1364</v>
      </c>
      <c r="F481" t="s">
        <v>1654</v>
      </c>
      <c r="AF481" t="s">
        <v>1355</v>
      </c>
      <c r="AG481" t="s">
        <v>138</v>
      </c>
      <c r="AH481" t="b">
        <v>0</v>
      </c>
    </row>
    <row r="482" spans="1:34">
      <c r="A482" t="s">
        <v>1355</v>
      </c>
      <c r="B482" t="s">
        <v>1655</v>
      </c>
      <c r="C482" t="s">
        <v>1362</v>
      </c>
      <c r="D482" t="s">
        <v>1656</v>
      </c>
      <c r="E482" t="s">
        <v>1364</v>
      </c>
      <c r="F482" t="s">
        <v>1657</v>
      </c>
      <c r="AF482" t="s">
        <v>1355</v>
      </c>
      <c r="AG482" t="s">
        <v>138</v>
      </c>
      <c r="AH482" t="b">
        <v>0</v>
      </c>
    </row>
    <row r="483" spans="1:34">
      <c r="A483" t="s">
        <v>1355</v>
      </c>
      <c r="B483" t="s">
        <v>1658</v>
      </c>
      <c r="C483" t="s">
        <v>1462</v>
      </c>
      <c r="D483" t="s">
        <v>1659</v>
      </c>
      <c r="E483" t="s">
        <v>1464</v>
      </c>
      <c r="F483" t="s">
        <v>1660</v>
      </c>
      <c r="AF483" t="s">
        <v>1355</v>
      </c>
      <c r="AG483" t="s">
        <v>138</v>
      </c>
      <c r="AH483" t="b">
        <v>0</v>
      </c>
    </row>
    <row r="484" spans="1:34">
      <c r="A484" t="s">
        <v>1355</v>
      </c>
      <c r="B484" t="s">
        <v>1661</v>
      </c>
      <c r="C484" t="s">
        <v>1362</v>
      </c>
      <c r="D484" t="s">
        <v>1662</v>
      </c>
      <c r="E484" t="s">
        <v>1364</v>
      </c>
      <c r="F484" t="s">
        <v>1663</v>
      </c>
      <c r="AF484" t="s">
        <v>1355</v>
      </c>
      <c r="AG484" t="s">
        <v>138</v>
      </c>
      <c r="AH484" t="b">
        <v>0</v>
      </c>
    </row>
    <row r="485" spans="1:34">
      <c r="A485" t="s">
        <v>1355</v>
      </c>
      <c r="B485" t="s">
        <v>1664</v>
      </c>
      <c r="C485" t="s">
        <v>1362</v>
      </c>
      <c r="D485" t="s">
        <v>1665</v>
      </c>
      <c r="E485" t="s">
        <v>1459</v>
      </c>
      <c r="F485" t="s">
        <v>1666</v>
      </c>
      <c r="AF485" t="s">
        <v>1355</v>
      </c>
      <c r="AG485" t="s">
        <v>138</v>
      </c>
      <c r="AH485" t="b">
        <v>0</v>
      </c>
    </row>
    <row r="486" spans="1:34">
      <c r="A486" t="s">
        <v>1355</v>
      </c>
      <c r="B486" t="s">
        <v>1667</v>
      </c>
      <c r="C486" t="s">
        <v>1362</v>
      </c>
      <c r="D486" t="s">
        <v>1668</v>
      </c>
      <c r="E486" t="s">
        <v>1364</v>
      </c>
      <c r="F486" t="s">
        <v>1669</v>
      </c>
      <c r="AF486" t="s">
        <v>1355</v>
      </c>
      <c r="AG486" t="s">
        <v>138</v>
      </c>
      <c r="AH486" t="b">
        <v>0</v>
      </c>
    </row>
    <row r="487" spans="1:34">
      <c r="A487" t="s">
        <v>1355</v>
      </c>
      <c r="B487" t="s">
        <v>1670</v>
      </c>
      <c r="C487" t="s">
        <v>1362</v>
      </c>
      <c r="D487" t="s">
        <v>1671</v>
      </c>
      <c r="E487" t="s">
        <v>1459</v>
      </c>
      <c r="F487" t="s">
        <v>1420</v>
      </c>
      <c r="AF487" t="s">
        <v>1355</v>
      </c>
      <c r="AG487" t="s">
        <v>138</v>
      </c>
      <c r="AH487" t="b">
        <v>0</v>
      </c>
    </row>
    <row r="488" spans="1:34">
      <c r="A488" t="s">
        <v>1355</v>
      </c>
      <c r="B488" t="s">
        <v>1672</v>
      </c>
      <c r="C488" t="s">
        <v>1362</v>
      </c>
      <c r="D488" t="s">
        <v>1673</v>
      </c>
      <c r="E488" t="s">
        <v>1364</v>
      </c>
      <c r="F488" t="s">
        <v>1379</v>
      </c>
      <c r="AF488" t="s">
        <v>1355</v>
      </c>
      <c r="AG488" t="s">
        <v>138</v>
      </c>
      <c r="AH488" t="b">
        <v>0</v>
      </c>
    </row>
    <row r="489" spans="1:34">
      <c r="A489" t="s">
        <v>1355</v>
      </c>
      <c r="B489" t="s">
        <v>41</v>
      </c>
      <c r="C489" t="s">
        <v>1362</v>
      </c>
      <c r="D489" t="s">
        <v>1674</v>
      </c>
      <c r="E489" t="s">
        <v>1459</v>
      </c>
      <c r="F489" t="s">
        <v>1420</v>
      </c>
      <c r="AF489" t="s">
        <v>1355</v>
      </c>
      <c r="AG489" t="s">
        <v>138</v>
      </c>
      <c r="AH489" t="b">
        <v>0</v>
      </c>
    </row>
    <row r="490" spans="1:34">
      <c r="A490" t="s">
        <v>1355</v>
      </c>
      <c r="B490" t="s">
        <v>1675</v>
      </c>
      <c r="C490" t="s">
        <v>1362</v>
      </c>
      <c r="D490" t="s">
        <v>1676</v>
      </c>
      <c r="E490" t="s">
        <v>1364</v>
      </c>
      <c r="F490" t="s">
        <v>1677</v>
      </c>
      <c r="AF490" t="s">
        <v>1355</v>
      </c>
      <c r="AG490" t="s">
        <v>138</v>
      </c>
      <c r="AH490" t="b">
        <v>0</v>
      </c>
    </row>
    <row r="491" spans="1:34">
      <c r="A491" t="s">
        <v>1355</v>
      </c>
      <c r="B491" t="s">
        <v>1678</v>
      </c>
      <c r="C491" t="s">
        <v>1462</v>
      </c>
      <c r="D491" t="s">
        <v>1679</v>
      </c>
      <c r="E491" t="s">
        <v>1464</v>
      </c>
      <c r="F491" t="s">
        <v>1490</v>
      </c>
      <c r="AF491" t="s">
        <v>1355</v>
      </c>
      <c r="AG491" t="s">
        <v>138</v>
      </c>
      <c r="AH491" t="b">
        <v>0</v>
      </c>
    </row>
    <row r="492" spans="1:34">
      <c r="A492" t="s">
        <v>1355</v>
      </c>
      <c r="B492" t="s">
        <v>1680</v>
      </c>
      <c r="C492" t="s">
        <v>1362</v>
      </c>
      <c r="D492" t="s">
        <v>1681</v>
      </c>
      <c r="E492" t="s">
        <v>1364</v>
      </c>
      <c r="F492" t="s">
        <v>1682</v>
      </c>
      <c r="AF492" t="s">
        <v>1355</v>
      </c>
      <c r="AG492" t="s">
        <v>138</v>
      </c>
      <c r="AH492" t="b">
        <v>0</v>
      </c>
    </row>
    <row r="493" spans="1:34">
      <c r="A493" t="s">
        <v>1355</v>
      </c>
      <c r="B493" t="s">
        <v>1683</v>
      </c>
      <c r="C493" t="s">
        <v>1362</v>
      </c>
      <c r="D493" t="s">
        <v>1684</v>
      </c>
      <c r="E493" t="s">
        <v>1484</v>
      </c>
      <c r="F493" t="s">
        <v>1685</v>
      </c>
      <c r="AF493" t="s">
        <v>1355</v>
      </c>
      <c r="AG493" t="s">
        <v>138</v>
      </c>
      <c r="AH493" t="b">
        <v>0</v>
      </c>
    </row>
    <row r="494" spans="1:34">
      <c r="A494" t="s">
        <v>1355</v>
      </c>
      <c r="B494" t="s">
        <v>1686</v>
      </c>
      <c r="C494" t="s">
        <v>1362</v>
      </c>
      <c r="D494" t="s">
        <v>1687</v>
      </c>
      <c r="E494" t="s">
        <v>1364</v>
      </c>
      <c r="F494" t="s">
        <v>1499</v>
      </c>
      <c r="AF494" t="s">
        <v>1355</v>
      </c>
      <c r="AG494" t="s">
        <v>138</v>
      </c>
      <c r="AH494" t="b">
        <v>0</v>
      </c>
    </row>
    <row r="495" spans="1:34">
      <c r="A495" t="s">
        <v>1355</v>
      </c>
      <c r="B495" t="s">
        <v>1688</v>
      </c>
      <c r="C495" t="s">
        <v>1362</v>
      </c>
      <c r="D495" t="s">
        <v>1689</v>
      </c>
      <c r="E495" t="s">
        <v>1364</v>
      </c>
      <c r="F495" t="s">
        <v>1622</v>
      </c>
      <c r="AF495" t="s">
        <v>1355</v>
      </c>
      <c r="AG495" t="s">
        <v>138</v>
      </c>
      <c r="AH495" t="b">
        <v>0</v>
      </c>
    </row>
    <row r="496" spans="1:34">
      <c r="A496" t="s">
        <v>1355</v>
      </c>
      <c r="B496" t="s">
        <v>1690</v>
      </c>
      <c r="C496" t="s">
        <v>1362</v>
      </c>
      <c r="D496" t="s">
        <v>1691</v>
      </c>
      <c r="E496" t="s">
        <v>1364</v>
      </c>
      <c r="F496" t="s">
        <v>1554</v>
      </c>
      <c r="AF496" t="s">
        <v>1355</v>
      </c>
      <c r="AG496" t="s">
        <v>138</v>
      </c>
      <c r="AH496" t="b">
        <v>0</v>
      </c>
    </row>
    <row r="497" spans="1:34">
      <c r="A497" t="s">
        <v>1355</v>
      </c>
      <c r="B497" t="s">
        <v>1692</v>
      </c>
      <c r="C497" t="s">
        <v>1362</v>
      </c>
      <c r="D497" t="s">
        <v>1693</v>
      </c>
      <c r="E497" t="s">
        <v>1364</v>
      </c>
      <c r="F497" t="s">
        <v>1694</v>
      </c>
      <c r="AF497" t="s">
        <v>1355</v>
      </c>
      <c r="AG497" t="s">
        <v>138</v>
      </c>
      <c r="AH497" t="b">
        <v>0</v>
      </c>
    </row>
    <row r="498" spans="1:34">
      <c r="A498" t="s">
        <v>1355</v>
      </c>
      <c r="B498" t="s">
        <v>1695</v>
      </c>
      <c r="C498" t="s">
        <v>1362</v>
      </c>
      <c r="D498" t="s">
        <v>1696</v>
      </c>
      <c r="E498" t="s">
        <v>1407</v>
      </c>
      <c r="F498" t="s">
        <v>1697</v>
      </c>
      <c r="AF498" t="s">
        <v>1355</v>
      </c>
      <c r="AG498" t="s">
        <v>138</v>
      </c>
      <c r="AH498" t="b">
        <v>0</v>
      </c>
    </row>
    <row r="499" spans="1:34">
      <c r="A499" t="s">
        <v>1355</v>
      </c>
      <c r="B499" t="s">
        <v>1698</v>
      </c>
      <c r="C499" t="s">
        <v>1362</v>
      </c>
      <c r="D499" t="s">
        <v>1699</v>
      </c>
      <c r="E499" t="s">
        <v>1605</v>
      </c>
      <c r="F499" t="s">
        <v>1383</v>
      </c>
      <c r="AF499" t="s">
        <v>1355</v>
      </c>
      <c r="AG499" t="s">
        <v>138</v>
      </c>
      <c r="AH499" t="b">
        <v>0</v>
      </c>
    </row>
    <row r="500" spans="1:34">
      <c r="A500" t="s">
        <v>1355</v>
      </c>
      <c r="B500" t="s">
        <v>1700</v>
      </c>
      <c r="C500" t="s">
        <v>1362</v>
      </c>
      <c r="D500" t="s">
        <v>1701</v>
      </c>
      <c r="E500" t="s">
        <v>1364</v>
      </c>
      <c r="F500" t="s">
        <v>1490</v>
      </c>
      <c r="AF500" t="s">
        <v>1355</v>
      </c>
      <c r="AG500" t="s">
        <v>138</v>
      </c>
      <c r="AH500" t="b">
        <v>0</v>
      </c>
    </row>
    <row r="501" spans="1:34">
      <c r="A501" t="s">
        <v>1355</v>
      </c>
      <c r="B501" t="s">
        <v>1702</v>
      </c>
      <c r="C501" t="s">
        <v>1362</v>
      </c>
      <c r="D501" t="s">
        <v>1703</v>
      </c>
      <c r="E501" t="s">
        <v>1364</v>
      </c>
      <c r="F501" t="s">
        <v>1704</v>
      </c>
      <c r="AF501" t="s">
        <v>1355</v>
      </c>
      <c r="AG501" t="s">
        <v>138</v>
      </c>
      <c r="AH501" t="b">
        <v>0</v>
      </c>
    </row>
    <row r="502" spans="1:34">
      <c r="A502" t="s">
        <v>1355</v>
      </c>
      <c r="B502" t="s">
        <v>1705</v>
      </c>
      <c r="C502" t="s">
        <v>1362</v>
      </c>
      <c r="D502" t="s">
        <v>1706</v>
      </c>
      <c r="E502" t="s">
        <v>1364</v>
      </c>
      <c r="F502" t="s">
        <v>1707</v>
      </c>
      <c r="AF502" t="s">
        <v>1355</v>
      </c>
      <c r="AG502" t="s">
        <v>138</v>
      </c>
      <c r="AH502" t="b">
        <v>0</v>
      </c>
    </row>
    <row r="503" spans="1:34">
      <c r="A503" t="s">
        <v>1355</v>
      </c>
      <c r="B503" t="s">
        <v>1708</v>
      </c>
      <c r="C503" t="s">
        <v>1362</v>
      </c>
      <c r="D503" t="s">
        <v>1709</v>
      </c>
      <c r="E503" t="s">
        <v>1364</v>
      </c>
      <c r="F503" t="s">
        <v>1436</v>
      </c>
      <c r="AF503" t="s">
        <v>1355</v>
      </c>
      <c r="AG503" t="s">
        <v>138</v>
      </c>
      <c r="AH503" t="b">
        <v>0</v>
      </c>
    </row>
    <row r="504" spans="1:34">
      <c r="A504" t="s">
        <v>1355</v>
      </c>
      <c r="B504" t="s">
        <v>1710</v>
      </c>
      <c r="C504" t="s">
        <v>1362</v>
      </c>
      <c r="D504" t="s">
        <v>1711</v>
      </c>
      <c r="E504" t="s">
        <v>1605</v>
      </c>
      <c r="F504" t="s">
        <v>1490</v>
      </c>
      <c r="AF504" t="s">
        <v>1355</v>
      </c>
      <c r="AG504" t="s">
        <v>138</v>
      </c>
      <c r="AH504" t="b">
        <v>0</v>
      </c>
    </row>
    <row r="505" spans="1:34">
      <c r="A505" t="s">
        <v>1355</v>
      </c>
      <c r="B505" t="s">
        <v>1712</v>
      </c>
      <c r="C505" t="s">
        <v>1362</v>
      </c>
      <c r="D505" t="s">
        <v>1713</v>
      </c>
      <c r="E505" t="s">
        <v>1364</v>
      </c>
      <c r="F505" t="s">
        <v>1383</v>
      </c>
      <c r="AF505" t="s">
        <v>1355</v>
      </c>
      <c r="AG505" t="s">
        <v>138</v>
      </c>
      <c r="AH505" t="b">
        <v>0</v>
      </c>
    </row>
    <row r="506" spans="1:34">
      <c r="A506" t="s">
        <v>1355</v>
      </c>
      <c r="B506" t="s">
        <v>1714</v>
      </c>
      <c r="C506" t="s">
        <v>1362</v>
      </c>
      <c r="D506" t="s">
        <v>1715</v>
      </c>
      <c r="E506" t="s">
        <v>1364</v>
      </c>
      <c r="F506" t="s">
        <v>1379</v>
      </c>
      <c r="AF506" t="s">
        <v>1355</v>
      </c>
      <c r="AG506" t="s">
        <v>138</v>
      </c>
      <c r="AH506" t="b">
        <v>0</v>
      </c>
    </row>
    <row r="507" spans="1:34">
      <c r="A507" t="s">
        <v>1355</v>
      </c>
      <c r="B507" t="s">
        <v>1716</v>
      </c>
      <c r="C507" t="s">
        <v>1362</v>
      </c>
      <c r="D507" t="s">
        <v>1717</v>
      </c>
      <c r="E507" t="s">
        <v>1459</v>
      </c>
      <c r="F507" t="s">
        <v>1420</v>
      </c>
      <c r="AF507" t="s">
        <v>1355</v>
      </c>
      <c r="AG507" t="s">
        <v>138</v>
      </c>
      <c r="AH507" t="b">
        <v>0</v>
      </c>
    </row>
    <row r="508" spans="1:34">
      <c r="A508" t="s">
        <v>1355</v>
      </c>
      <c r="B508" t="s">
        <v>1718</v>
      </c>
      <c r="C508" t="s">
        <v>1362</v>
      </c>
      <c r="D508" t="s">
        <v>1719</v>
      </c>
      <c r="E508" t="s">
        <v>1364</v>
      </c>
      <c r="F508" t="s">
        <v>1720</v>
      </c>
      <c r="AF508" t="s">
        <v>1355</v>
      </c>
      <c r="AG508" t="s">
        <v>138</v>
      </c>
      <c r="AH508" t="b">
        <v>0</v>
      </c>
    </row>
    <row r="509" spans="1:34">
      <c r="A509" t="s">
        <v>1355</v>
      </c>
      <c r="B509" t="s">
        <v>1721</v>
      </c>
      <c r="C509" t="s">
        <v>1362</v>
      </c>
      <c r="D509" t="s">
        <v>1722</v>
      </c>
      <c r="E509" t="s">
        <v>1364</v>
      </c>
      <c r="F509" t="s">
        <v>1723</v>
      </c>
      <c r="AF509" t="s">
        <v>1355</v>
      </c>
      <c r="AG509" t="s">
        <v>138</v>
      </c>
      <c r="AH509" t="b">
        <v>0</v>
      </c>
    </row>
    <row r="510" spans="1:34">
      <c r="A510" t="s">
        <v>1355</v>
      </c>
      <c r="B510" t="s">
        <v>1724</v>
      </c>
      <c r="C510" t="s">
        <v>1362</v>
      </c>
      <c r="D510" t="s">
        <v>1725</v>
      </c>
      <c r="E510" t="s">
        <v>1364</v>
      </c>
      <c r="F510" t="s">
        <v>1454</v>
      </c>
      <c r="AF510" t="s">
        <v>1355</v>
      </c>
      <c r="AG510" t="s">
        <v>138</v>
      </c>
      <c r="AH510" t="b">
        <v>0</v>
      </c>
    </row>
    <row r="511" spans="1:34">
      <c r="A511" t="s">
        <v>1355</v>
      </c>
      <c r="B511" t="s">
        <v>1726</v>
      </c>
      <c r="C511" t="s">
        <v>1362</v>
      </c>
      <c r="D511" t="s">
        <v>1727</v>
      </c>
      <c r="E511" t="s">
        <v>1382</v>
      </c>
      <c r="F511" t="s">
        <v>1490</v>
      </c>
      <c r="AF511" t="s">
        <v>1355</v>
      </c>
      <c r="AG511" t="s">
        <v>138</v>
      </c>
      <c r="AH511" t="b">
        <v>0</v>
      </c>
    </row>
    <row r="512" spans="1:34">
      <c r="A512" t="s">
        <v>1355</v>
      </c>
      <c r="B512" t="s">
        <v>1728</v>
      </c>
      <c r="C512" t="s">
        <v>1362</v>
      </c>
      <c r="D512" t="s">
        <v>1729</v>
      </c>
      <c r="E512" t="s">
        <v>1605</v>
      </c>
      <c r="F512" t="s">
        <v>1730</v>
      </c>
      <c r="AF512" t="s">
        <v>1355</v>
      </c>
      <c r="AG512" t="s">
        <v>138</v>
      </c>
      <c r="AH512" t="b">
        <v>0</v>
      </c>
    </row>
    <row r="513" spans="1:34">
      <c r="A513" t="s">
        <v>1355</v>
      </c>
      <c r="B513" t="s">
        <v>1731</v>
      </c>
      <c r="C513" t="s">
        <v>1362</v>
      </c>
      <c r="D513" t="s">
        <v>1732</v>
      </c>
      <c r="E513" t="s">
        <v>1382</v>
      </c>
      <c r="F513" t="s">
        <v>1383</v>
      </c>
      <c r="AF513" t="s">
        <v>1355</v>
      </c>
      <c r="AG513" t="s">
        <v>138</v>
      </c>
      <c r="AH513" t="b">
        <v>0</v>
      </c>
    </row>
    <row r="514" spans="1:34">
      <c r="A514" t="s">
        <v>1355</v>
      </c>
      <c r="B514" t="s">
        <v>1733</v>
      </c>
      <c r="C514" t="s">
        <v>1462</v>
      </c>
      <c r="D514" t="s">
        <v>1734</v>
      </c>
      <c r="E514" t="s">
        <v>1464</v>
      </c>
      <c r="F514" t="s">
        <v>1505</v>
      </c>
      <c r="AF514" t="s">
        <v>1355</v>
      </c>
      <c r="AG514" t="s">
        <v>138</v>
      </c>
      <c r="AH514" t="b">
        <v>0</v>
      </c>
    </row>
    <row r="515" spans="1:34">
      <c r="A515" t="s">
        <v>1355</v>
      </c>
      <c r="B515" t="s">
        <v>1735</v>
      </c>
      <c r="C515" t="s">
        <v>1362</v>
      </c>
      <c r="D515" t="s">
        <v>1736</v>
      </c>
      <c r="E515" t="s">
        <v>1364</v>
      </c>
      <c r="AF515" t="s">
        <v>1355</v>
      </c>
      <c r="AG515" t="s">
        <v>138</v>
      </c>
      <c r="AH515" t="b">
        <v>0</v>
      </c>
    </row>
    <row r="516" spans="1:34">
      <c r="A516" t="s">
        <v>1355</v>
      </c>
      <c r="B516" t="s">
        <v>1737</v>
      </c>
      <c r="C516" t="s">
        <v>1362</v>
      </c>
      <c r="D516" t="s">
        <v>1738</v>
      </c>
      <c r="E516" t="s">
        <v>1364</v>
      </c>
      <c r="F516" t="s">
        <v>1370</v>
      </c>
      <c r="AF516" t="s">
        <v>1355</v>
      </c>
      <c r="AG516" t="s">
        <v>138</v>
      </c>
      <c r="AH516" t="b">
        <v>0</v>
      </c>
    </row>
    <row r="517" spans="1:34">
      <c r="A517" t="s">
        <v>1355</v>
      </c>
      <c r="B517" t="s">
        <v>1739</v>
      </c>
      <c r="C517" t="s">
        <v>1362</v>
      </c>
      <c r="D517" t="s">
        <v>1740</v>
      </c>
      <c r="E517" t="s">
        <v>1364</v>
      </c>
      <c r="F517" t="s">
        <v>1379</v>
      </c>
      <c r="AF517" t="s">
        <v>1355</v>
      </c>
      <c r="AG517" t="s">
        <v>138</v>
      </c>
      <c r="AH517" t="b">
        <v>0</v>
      </c>
    </row>
    <row r="518" spans="1:34">
      <c r="A518" t="s">
        <v>1355</v>
      </c>
      <c r="B518" t="s">
        <v>1741</v>
      </c>
      <c r="C518" t="s">
        <v>1362</v>
      </c>
      <c r="D518" t="s">
        <v>1742</v>
      </c>
      <c r="E518" t="s">
        <v>1364</v>
      </c>
      <c r="F518" t="s">
        <v>1383</v>
      </c>
      <c r="AF518" t="s">
        <v>1355</v>
      </c>
      <c r="AG518" t="s">
        <v>138</v>
      </c>
      <c r="AH518" t="b">
        <v>0</v>
      </c>
    </row>
    <row r="519" spans="1:34">
      <c r="A519" t="s">
        <v>1355</v>
      </c>
      <c r="B519" t="s">
        <v>1743</v>
      </c>
      <c r="C519" t="s">
        <v>1362</v>
      </c>
      <c r="D519" t="s">
        <v>1744</v>
      </c>
      <c r="E519" t="s">
        <v>1364</v>
      </c>
      <c r="F519" t="s">
        <v>1383</v>
      </c>
      <c r="AF519" t="s">
        <v>1355</v>
      </c>
      <c r="AG519" t="s">
        <v>138</v>
      </c>
      <c r="AH519" t="b">
        <v>0</v>
      </c>
    </row>
    <row r="520" spans="1:34">
      <c r="A520" t="s">
        <v>1355</v>
      </c>
      <c r="B520" t="s">
        <v>1745</v>
      </c>
      <c r="C520" t="s">
        <v>1362</v>
      </c>
      <c r="D520" t="s">
        <v>1746</v>
      </c>
      <c r="E520" t="s">
        <v>1382</v>
      </c>
      <c r="F520" t="s">
        <v>1490</v>
      </c>
      <c r="AF520" t="s">
        <v>1355</v>
      </c>
      <c r="AG520" t="s">
        <v>138</v>
      </c>
      <c r="AH520" t="b">
        <v>0</v>
      </c>
    </row>
    <row r="521" spans="1:34">
      <c r="A521" t="s">
        <v>1355</v>
      </c>
      <c r="B521" t="s">
        <v>1747</v>
      </c>
      <c r="C521" t="s">
        <v>1362</v>
      </c>
      <c r="D521" t="s">
        <v>1748</v>
      </c>
      <c r="E521" t="s">
        <v>1364</v>
      </c>
      <c r="F521" t="s">
        <v>1383</v>
      </c>
      <c r="AF521" t="s">
        <v>1355</v>
      </c>
      <c r="AG521" t="s">
        <v>138</v>
      </c>
      <c r="AH521" t="b">
        <v>0</v>
      </c>
    </row>
    <row r="522" spans="1:34">
      <c r="A522" t="s">
        <v>1355</v>
      </c>
      <c r="B522" t="s">
        <v>1749</v>
      </c>
      <c r="C522" t="s">
        <v>1362</v>
      </c>
      <c r="D522" t="s">
        <v>1750</v>
      </c>
      <c r="E522" t="s">
        <v>1364</v>
      </c>
      <c r="F522" t="s">
        <v>1751</v>
      </c>
      <c r="AF522" t="s">
        <v>1355</v>
      </c>
      <c r="AG522" t="s">
        <v>138</v>
      </c>
      <c r="AH522" t="b">
        <v>0</v>
      </c>
    </row>
    <row r="523" spans="1:34">
      <c r="A523" t="s">
        <v>1355</v>
      </c>
      <c r="B523" t="s">
        <v>1752</v>
      </c>
      <c r="C523" t="s">
        <v>1362</v>
      </c>
      <c r="D523" t="s">
        <v>1753</v>
      </c>
      <c r="E523" t="s">
        <v>1364</v>
      </c>
      <c r="F523" t="s">
        <v>1562</v>
      </c>
      <c r="AF523" t="s">
        <v>1355</v>
      </c>
      <c r="AG523" t="s">
        <v>138</v>
      </c>
      <c r="AH523" t="b">
        <v>0</v>
      </c>
    </row>
    <row r="524" spans="1:34">
      <c r="A524" t="s">
        <v>1355</v>
      </c>
      <c r="B524" t="s">
        <v>1754</v>
      </c>
      <c r="C524" t="s">
        <v>1362</v>
      </c>
      <c r="D524" t="s">
        <v>1755</v>
      </c>
      <c r="E524" t="s">
        <v>1364</v>
      </c>
      <c r="F524" t="s">
        <v>1756</v>
      </c>
      <c r="AF524" t="s">
        <v>1355</v>
      </c>
      <c r="AG524" t="s">
        <v>138</v>
      </c>
      <c r="AH524" t="b">
        <v>0</v>
      </c>
    </row>
    <row r="525" spans="1:34">
      <c r="A525" t="s">
        <v>1355</v>
      </c>
      <c r="B525" t="s">
        <v>1757</v>
      </c>
      <c r="C525" t="s">
        <v>1362</v>
      </c>
      <c r="D525" t="s">
        <v>1758</v>
      </c>
      <c r="E525" t="s">
        <v>1382</v>
      </c>
      <c r="F525" t="s">
        <v>1423</v>
      </c>
      <c r="AF525" t="s">
        <v>1355</v>
      </c>
      <c r="AG525" t="s">
        <v>138</v>
      </c>
      <c r="AH525" t="b">
        <v>0</v>
      </c>
    </row>
    <row r="526" spans="1:34">
      <c r="A526" t="s">
        <v>1355</v>
      </c>
      <c r="B526" t="s">
        <v>1759</v>
      </c>
      <c r="C526" t="s">
        <v>1362</v>
      </c>
      <c r="D526" t="s">
        <v>1760</v>
      </c>
      <c r="E526" t="s">
        <v>1382</v>
      </c>
      <c r="F526" t="s">
        <v>1490</v>
      </c>
      <c r="AF526" t="s">
        <v>1355</v>
      </c>
      <c r="AG526" t="s">
        <v>138</v>
      </c>
      <c r="AH526" t="b">
        <v>0</v>
      </c>
    </row>
    <row r="527" spans="1:34">
      <c r="A527" t="s">
        <v>1355</v>
      </c>
      <c r="B527" t="s">
        <v>1761</v>
      </c>
      <c r="C527" t="s">
        <v>1362</v>
      </c>
      <c r="D527" t="s">
        <v>1762</v>
      </c>
      <c r="E527" t="s">
        <v>1364</v>
      </c>
      <c r="F527" t="s">
        <v>1763</v>
      </c>
      <c r="AF527" t="s">
        <v>1355</v>
      </c>
      <c r="AG527" t="s">
        <v>138</v>
      </c>
      <c r="AH527" t="b">
        <v>0</v>
      </c>
    </row>
    <row r="528" spans="1:34">
      <c r="A528" t="s">
        <v>1355</v>
      </c>
      <c r="B528" t="s">
        <v>1764</v>
      </c>
      <c r="C528" t="s">
        <v>1362</v>
      </c>
      <c r="D528" t="s">
        <v>1765</v>
      </c>
      <c r="E528" t="s">
        <v>1364</v>
      </c>
      <c r="F528" t="s">
        <v>1766</v>
      </c>
      <c r="AF528" t="s">
        <v>1355</v>
      </c>
      <c r="AG528" t="s">
        <v>138</v>
      </c>
      <c r="AH528" t="b">
        <v>0</v>
      </c>
    </row>
    <row r="529" spans="1:34">
      <c r="A529" t="s">
        <v>1355</v>
      </c>
      <c r="B529" t="s">
        <v>1767</v>
      </c>
      <c r="C529" t="s">
        <v>1462</v>
      </c>
      <c r="D529" t="s">
        <v>1768</v>
      </c>
      <c r="E529" t="s">
        <v>1464</v>
      </c>
      <c r="F529" t="s">
        <v>1379</v>
      </c>
      <c r="AF529" t="s">
        <v>1355</v>
      </c>
      <c r="AG529" t="s">
        <v>138</v>
      </c>
      <c r="AH529" t="b">
        <v>0</v>
      </c>
    </row>
    <row r="530" spans="1:34">
      <c r="A530" t="s">
        <v>1355</v>
      </c>
      <c r="B530" t="s">
        <v>1769</v>
      </c>
      <c r="C530" t="s">
        <v>1362</v>
      </c>
      <c r="D530" t="s">
        <v>1770</v>
      </c>
      <c r="E530" t="s">
        <v>1364</v>
      </c>
      <c r="F530" t="s">
        <v>1588</v>
      </c>
      <c r="AF530" t="s">
        <v>1355</v>
      </c>
      <c r="AG530" t="s">
        <v>138</v>
      </c>
      <c r="AH530" t="b">
        <v>0</v>
      </c>
    </row>
    <row r="531" spans="1:34">
      <c r="A531" t="s">
        <v>1355</v>
      </c>
      <c r="B531" t="s">
        <v>1771</v>
      </c>
      <c r="C531" t="s">
        <v>1362</v>
      </c>
      <c r="D531" t="s">
        <v>1772</v>
      </c>
      <c r="E531" t="s">
        <v>1364</v>
      </c>
      <c r="F531" t="s">
        <v>1694</v>
      </c>
      <c r="AF531" t="s">
        <v>1355</v>
      </c>
      <c r="AG531" t="s">
        <v>138</v>
      </c>
      <c r="AH531" t="b">
        <v>0</v>
      </c>
    </row>
    <row r="532" spans="1:34">
      <c r="A532" t="s">
        <v>1355</v>
      </c>
      <c r="B532" t="s">
        <v>1773</v>
      </c>
      <c r="C532" t="s">
        <v>1462</v>
      </c>
      <c r="D532" t="s">
        <v>1774</v>
      </c>
      <c r="E532" t="s">
        <v>1464</v>
      </c>
      <c r="F532" t="s">
        <v>1591</v>
      </c>
      <c r="AF532" t="s">
        <v>1355</v>
      </c>
      <c r="AG532" t="s">
        <v>138</v>
      </c>
      <c r="AH532" t="b">
        <v>0</v>
      </c>
    </row>
    <row r="533" spans="1:34">
      <c r="A533" t="s">
        <v>1355</v>
      </c>
      <c r="B533" t="s">
        <v>1775</v>
      </c>
      <c r="C533" t="s">
        <v>1362</v>
      </c>
      <c r="D533" t="s">
        <v>1776</v>
      </c>
      <c r="E533" t="s">
        <v>1382</v>
      </c>
      <c r="F533" t="s">
        <v>1657</v>
      </c>
      <c r="AF533" t="s">
        <v>1355</v>
      </c>
      <c r="AG533" t="s">
        <v>138</v>
      </c>
      <c r="AH533" t="b">
        <v>0</v>
      </c>
    </row>
    <row r="534" spans="1:34">
      <c r="A534" t="s">
        <v>1355</v>
      </c>
      <c r="B534" t="s">
        <v>1777</v>
      </c>
      <c r="C534" t="s">
        <v>1362</v>
      </c>
      <c r="D534" t="s">
        <v>1778</v>
      </c>
      <c r="E534" t="s">
        <v>1364</v>
      </c>
      <c r="F534" t="s">
        <v>1379</v>
      </c>
      <c r="AF534" t="s">
        <v>1355</v>
      </c>
      <c r="AG534" t="s">
        <v>138</v>
      </c>
      <c r="AH534" t="b">
        <v>0</v>
      </c>
    </row>
    <row r="535" spans="1:34">
      <c r="A535" t="s">
        <v>1355</v>
      </c>
      <c r="B535" t="s">
        <v>1779</v>
      </c>
      <c r="C535" t="s">
        <v>1362</v>
      </c>
      <c r="D535" t="s">
        <v>1780</v>
      </c>
      <c r="E535" t="s">
        <v>1364</v>
      </c>
      <c r="F535" t="s">
        <v>1426</v>
      </c>
      <c r="AF535" t="s">
        <v>1355</v>
      </c>
      <c r="AG535" t="s">
        <v>138</v>
      </c>
      <c r="AH535" t="b">
        <v>0</v>
      </c>
    </row>
    <row r="536" spans="1:34">
      <c r="A536" t="s">
        <v>1355</v>
      </c>
      <c r="B536" t="s">
        <v>1781</v>
      </c>
      <c r="C536" t="s">
        <v>1362</v>
      </c>
      <c r="D536" t="s">
        <v>1782</v>
      </c>
      <c r="E536" t="s">
        <v>1364</v>
      </c>
      <c r="F536" t="s">
        <v>1783</v>
      </c>
      <c r="AF536" t="s">
        <v>1355</v>
      </c>
      <c r="AG536" t="s">
        <v>138</v>
      </c>
      <c r="AH536" t="b">
        <v>0</v>
      </c>
    </row>
    <row r="537" spans="1:34">
      <c r="A537" t="s">
        <v>1355</v>
      </c>
      <c r="B537" t="s">
        <v>1784</v>
      </c>
      <c r="C537" t="s">
        <v>1462</v>
      </c>
      <c r="D537" t="s">
        <v>1785</v>
      </c>
      <c r="E537" t="s">
        <v>1464</v>
      </c>
      <c r="F537" t="s">
        <v>1786</v>
      </c>
      <c r="AF537" t="s">
        <v>1355</v>
      </c>
      <c r="AG537" t="s">
        <v>138</v>
      </c>
      <c r="AH537" t="b">
        <v>0</v>
      </c>
    </row>
    <row r="538" spans="1:34">
      <c r="A538" t="s">
        <v>1355</v>
      </c>
      <c r="B538" t="s">
        <v>1787</v>
      </c>
      <c r="C538" t="s">
        <v>1362</v>
      </c>
      <c r="D538" t="s">
        <v>1788</v>
      </c>
      <c r="E538" t="s">
        <v>1364</v>
      </c>
      <c r="F538" t="s">
        <v>1499</v>
      </c>
      <c r="AF538" t="s">
        <v>1355</v>
      </c>
      <c r="AG538" t="s">
        <v>138</v>
      </c>
      <c r="AH538" t="b">
        <v>0</v>
      </c>
    </row>
    <row r="539" spans="1:34">
      <c r="A539" t="s">
        <v>1355</v>
      </c>
      <c r="B539" t="s">
        <v>1789</v>
      </c>
      <c r="C539" t="s">
        <v>1362</v>
      </c>
      <c r="D539" t="s">
        <v>1790</v>
      </c>
      <c r="E539" t="s">
        <v>1364</v>
      </c>
      <c r="F539" t="s">
        <v>1630</v>
      </c>
      <c r="AF539" t="s">
        <v>1355</v>
      </c>
      <c r="AG539" t="s">
        <v>138</v>
      </c>
      <c r="AH539" t="b">
        <v>0</v>
      </c>
    </row>
    <row r="540" spans="1:34">
      <c r="A540" t="s">
        <v>1355</v>
      </c>
      <c r="B540" t="s">
        <v>1791</v>
      </c>
      <c r="C540" t="s">
        <v>1362</v>
      </c>
      <c r="D540" t="s">
        <v>1792</v>
      </c>
      <c r="E540" t="s">
        <v>1364</v>
      </c>
      <c r="F540" t="s">
        <v>1793</v>
      </c>
      <c r="AF540" t="s">
        <v>1355</v>
      </c>
      <c r="AG540" t="s">
        <v>138</v>
      </c>
      <c r="AH540" t="b">
        <v>0</v>
      </c>
    </row>
    <row r="541" spans="1:34">
      <c r="A541" t="s">
        <v>1355</v>
      </c>
      <c r="B541" t="s">
        <v>1794</v>
      </c>
      <c r="C541" t="s">
        <v>1362</v>
      </c>
      <c r="D541" t="s">
        <v>1795</v>
      </c>
      <c r="E541" t="s">
        <v>1364</v>
      </c>
      <c r="F541" t="s">
        <v>1796</v>
      </c>
      <c r="AF541" t="s">
        <v>1355</v>
      </c>
      <c r="AG541" t="s">
        <v>138</v>
      </c>
      <c r="AH541" t="b">
        <v>0</v>
      </c>
    </row>
    <row r="542" spans="1:34">
      <c r="A542" t="s">
        <v>1355</v>
      </c>
      <c r="B542" t="s">
        <v>1797</v>
      </c>
      <c r="C542" t="s">
        <v>1362</v>
      </c>
      <c r="D542" t="s">
        <v>1798</v>
      </c>
      <c r="E542" t="s">
        <v>1382</v>
      </c>
      <c r="F542" t="s">
        <v>1383</v>
      </c>
      <c r="AF542" t="s">
        <v>1355</v>
      </c>
      <c r="AG542" t="s">
        <v>138</v>
      </c>
      <c r="AH542" t="b">
        <v>0</v>
      </c>
    </row>
    <row r="543" spans="1:34">
      <c r="A543" t="s">
        <v>1355</v>
      </c>
      <c r="B543" t="s">
        <v>1799</v>
      </c>
      <c r="C543" t="s">
        <v>1362</v>
      </c>
      <c r="D543" t="s">
        <v>1800</v>
      </c>
      <c r="E543" t="s">
        <v>1364</v>
      </c>
      <c r="F543" t="s">
        <v>1373</v>
      </c>
      <c r="AF543" t="s">
        <v>1355</v>
      </c>
      <c r="AG543" t="s">
        <v>138</v>
      </c>
      <c r="AH543" t="b">
        <v>0</v>
      </c>
    </row>
    <row r="544" spans="1:34">
      <c r="A544" t="s">
        <v>1355</v>
      </c>
      <c r="B544" t="s">
        <v>1801</v>
      </c>
      <c r="C544" t="s">
        <v>1362</v>
      </c>
      <c r="D544" t="s">
        <v>1802</v>
      </c>
      <c r="E544" t="s">
        <v>1364</v>
      </c>
      <c r="F544" t="s">
        <v>1694</v>
      </c>
      <c r="AF544" t="s">
        <v>1355</v>
      </c>
      <c r="AG544" t="s">
        <v>138</v>
      </c>
      <c r="AH544" t="b">
        <v>0</v>
      </c>
    </row>
    <row r="545" spans="1:34">
      <c r="A545" t="s">
        <v>1355</v>
      </c>
      <c r="B545" t="s">
        <v>1803</v>
      </c>
      <c r="C545" t="s">
        <v>1362</v>
      </c>
      <c r="D545" t="s">
        <v>1804</v>
      </c>
      <c r="E545" t="s">
        <v>1382</v>
      </c>
      <c r="F545" t="s">
        <v>1454</v>
      </c>
      <c r="AF545" t="s">
        <v>1355</v>
      </c>
      <c r="AG545" t="s">
        <v>138</v>
      </c>
      <c r="AH545" t="b">
        <v>0</v>
      </c>
    </row>
    <row r="546" spans="1:34">
      <c r="A546" t="s">
        <v>1355</v>
      </c>
      <c r="B546" t="s">
        <v>1805</v>
      </c>
      <c r="C546" t="s">
        <v>1362</v>
      </c>
      <c r="D546" t="s">
        <v>1806</v>
      </c>
      <c r="E546" t="s">
        <v>1459</v>
      </c>
      <c r="F546" t="s">
        <v>1666</v>
      </c>
      <c r="AF546" t="s">
        <v>1355</v>
      </c>
      <c r="AG546" t="s">
        <v>138</v>
      </c>
      <c r="AH546" t="b">
        <v>0</v>
      </c>
    </row>
    <row r="547" spans="1:34">
      <c r="A547" t="s">
        <v>1355</v>
      </c>
      <c r="B547" t="s">
        <v>1807</v>
      </c>
      <c r="C547" t="s">
        <v>1362</v>
      </c>
      <c r="D547" t="s">
        <v>1808</v>
      </c>
      <c r="F547" t="s">
        <v>1809</v>
      </c>
      <c r="AF547" t="s">
        <v>1355</v>
      </c>
      <c r="AG547" t="s">
        <v>138</v>
      </c>
      <c r="AH547" t="b">
        <v>0</v>
      </c>
    </row>
    <row r="548" spans="1:34">
      <c r="A548" t="s">
        <v>1355</v>
      </c>
      <c r="B548" t="s">
        <v>1810</v>
      </c>
      <c r="C548" t="s">
        <v>1462</v>
      </c>
      <c r="D548" t="s">
        <v>1811</v>
      </c>
      <c r="E548" t="s">
        <v>1464</v>
      </c>
      <c r="F548" t="s">
        <v>1812</v>
      </c>
      <c r="AF548" t="s">
        <v>1355</v>
      </c>
      <c r="AG548" t="s">
        <v>138</v>
      </c>
      <c r="AH548" t="b">
        <v>0</v>
      </c>
    </row>
    <row r="549" spans="1:34">
      <c r="A549" t="s">
        <v>1355</v>
      </c>
      <c r="B549" t="s">
        <v>1813</v>
      </c>
      <c r="C549" t="s">
        <v>1362</v>
      </c>
      <c r="D549" t="s">
        <v>1814</v>
      </c>
      <c r="E549" t="s">
        <v>1364</v>
      </c>
      <c r="F549" t="s">
        <v>1815</v>
      </c>
      <c r="AF549" t="s">
        <v>1355</v>
      </c>
      <c r="AG549" t="s">
        <v>138</v>
      </c>
      <c r="AH549" t="b">
        <v>0</v>
      </c>
    </row>
    <row r="550" spans="1:34">
      <c r="A550" t="s">
        <v>1355</v>
      </c>
      <c r="B550" t="s">
        <v>1816</v>
      </c>
      <c r="C550" t="s">
        <v>1362</v>
      </c>
      <c r="D550" t="s">
        <v>1817</v>
      </c>
      <c r="E550" t="s">
        <v>1382</v>
      </c>
      <c r="F550" t="s">
        <v>1383</v>
      </c>
      <c r="AF550" t="s">
        <v>1355</v>
      </c>
      <c r="AG550" t="s">
        <v>138</v>
      </c>
      <c r="AH550" t="b">
        <v>0</v>
      </c>
    </row>
    <row r="551" spans="1:34">
      <c r="A551" t="s">
        <v>1355</v>
      </c>
      <c r="B551" t="s">
        <v>1818</v>
      </c>
      <c r="C551" t="s">
        <v>1367</v>
      </c>
      <c r="D551" t="s">
        <v>1819</v>
      </c>
      <c r="E551" t="s">
        <v>1369</v>
      </c>
      <c r="F551" t="s">
        <v>1630</v>
      </c>
      <c r="AF551" t="s">
        <v>1355</v>
      </c>
      <c r="AG551" t="s">
        <v>138</v>
      </c>
      <c r="AH551" t="b">
        <v>0</v>
      </c>
    </row>
    <row r="552" spans="1:34">
      <c r="A552" t="s">
        <v>1355</v>
      </c>
      <c r="B552" t="s">
        <v>1820</v>
      </c>
      <c r="C552" t="s">
        <v>1362</v>
      </c>
      <c r="D552" t="s">
        <v>1821</v>
      </c>
      <c r="AF552" t="s">
        <v>1355</v>
      </c>
      <c r="AG552" t="s">
        <v>138</v>
      </c>
      <c r="AH552" t="b">
        <v>0</v>
      </c>
    </row>
    <row r="553" spans="1:34">
      <c r="A553" t="s">
        <v>1355</v>
      </c>
      <c r="B553" t="s">
        <v>1822</v>
      </c>
      <c r="C553" t="s">
        <v>1362</v>
      </c>
      <c r="D553" t="s">
        <v>1823</v>
      </c>
      <c r="E553" t="s">
        <v>1364</v>
      </c>
      <c r="F553" t="s">
        <v>1824</v>
      </c>
      <c r="AF553" t="s">
        <v>1355</v>
      </c>
      <c r="AG553" t="s">
        <v>138</v>
      </c>
      <c r="AH553" t="b">
        <v>0</v>
      </c>
    </row>
    <row r="554" spans="1:34">
      <c r="A554" t="s">
        <v>1355</v>
      </c>
      <c r="B554" t="s">
        <v>1825</v>
      </c>
      <c r="C554" t="s">
        <v>1362</v>
      </c>
      <c r="D554" t="s">
        <v>1826</v>
      </c>
      <c r="E554" t="s">
        <v>1382</v>
      </c>
      <c r="F554" t="s">
        <v>1827</v>
      </c>
      <c r="AF554" t="s">
        <v>1355</v>
      </c>
      <c r="AG554" t="s">
        <v>138</v>
      </c>
      <c r="AH554" t="b">
        <v>0</v>
      </c>
    </row>
    <row r="555" spans="1:34">
      <c r="A555" t="s">
        <v>1355</v>
      </c>
      <c r="B555" t="s">
        <v>1828</v>
      </c>
      <c r="C555" t="s">
        <v>1362</v>
      </c>
      <c r="D555" t="s">
        <v>1829</v>
      </c>
      <c r="E555" t="s">
        <v>1382</v>
      </c>
      <c r="F555" t="s">
        <v>1830</v>
      </c>
      <c r="AF555" t="s">
        <v>1355</v>
      </c>
      <c r="AG555" t="s">
        <v>138</v>
      </c>
      <c r="AH555" t="b">
        <v>0</v>
      </c>
    </row>
    <row r="556" spans="1:34">
      <c r="A556" t="s">
        <v>1355</v>
      </c>
      <c r="B556" t="s">
        <v>1831</v>
      </c>
      <c r="C556" t="s">
        <v>1362</v>
      </c>
      <c r="D556" t="s">
        <v>1832</v>
      </c>
      <c r="E556" t="s">
        <v>1407</v>
      </c>
      <c r="F556" t="s">
        <v>1554</v>
      </c>
      <c r="AF556" t="s">
        <v>1355</v>
      </c>
      <c r="AG556" t="s">
        <v>138</v>
      </c>
      <c r="AH556" t="b">
        <v>0</v>
      </c>
    </row>
    <row r="557" spans="1:34">
      <c r="A557" t="s">
        <v>1355</v>
      </c>
      <c r="B557" t="s">
        <v>1833</v>
      </c>
      <c r="C557" t="s">
        <v>1362</v>
      </c>
      <c r="D557" t="s">
        <v>1834</v>
      </c>
      <c r="E557" t="s">
        <v>1364</v>
      </c>
      <c r="F557" t="s">
        <v>1835</v>
      </c>
      <c r="AF557" t="s">
        <v>1355</v>
      </c>
      <c r="AG557" t="s">
        <v>138</v>
      </c>
      <c r="AH557" t="b">
        <v>0</v>
      </c>
    </row>
    <row r="558" spans="1:34">
      <c r="A558" t="s">
        <v>1355</v>
      </c>
      <c r="B558" t="s">
        <v>1836</v>
      </c>
      <c r="C558" t="s">
        <v>1362</v>
      </c>
      <c r="D558" t="s">
        <v>1837</v>
      </c>
      <c r="E558" t="s">
        <v>1364</v>
      </c>
      <c r="F558" t="s">
        <v>1677</v>
      </c>
      <c r="AF558" t="s">
        <v>1355</v>
      </c>
      <c r="AG558" t="s">
        <v>138</v>
      </c>
      <c r="AH558" t="b">
        <v>0</v>
      </c>
    </row>
    <row r="559" spans="1:34">
      <c r="A559" t="s">
        <v>1355</v>
      </c>
      <c r="B559" t="s">
        <v>1838</v>
      </c>
      <c r="C559" t="s">
        <v>1362</v>
      </c>
      <c r="D559" t="s">
        <v>1839</v>
      </c>
      <c r="E559" t="s">
        <v>1364</v>
      </c>
      <c r="F559" t="s">
        <v>1454</v>
      </c>
      <c r="AF559" t="s">
        <v>1355</v>
      </c>
      <c r="AG559" t="s">
        <v>138</v>
      </c>
      <c r="AH559" t="b">
        <v>0</v>
      </c>
    </row>
    <row r="560" spans="1:34">
      <c r="A560" t="s">
        <v>1355</v>
      </c>
      <c r="B560" t="s">
        <v>1840</v>
      </c>
      <c r="C560" t="s">
        <v>1362</v>
      </c>
      <c r="D560" t="s">
        <v>1841</v>
      </c>
      <c r="E560" t="s">
        <v>1382</v>
      </c>
      <c r="F560" t="s">
        <v>1383</v>
      </c>
      <c r="AF560" t="s">
        <v>1355</v>
      </c>
      <c r="AG560" t="s">
        <v>138</v>
      </c>
      <c r="AH560" t="b">
        <v>0</v>
      </c>
    </row>
    <row r="561" spans="1:34">
      <c r="A561" t="s">
        <v>1355</v>
      </c>
      <c r="B561" t="s">
        <v>1842</v>
      </c>
      <c r="C561" t="s">
        <v>1362</v>
      </c>
      <c r="D561" t="s">
        <v>1843</v>
      </c>
      <c r="E561" t="s">
        <v>1364</v>
      </c>
      <c r="F561" t="s">
        <v>1454</v>
      </c>
      <c r="AF561" t="s">
        <v>1355</v>
      </c>
      <c r="AG561" t="s">
        <v>138</v>
      </c>
      <c r="AH561" t="b">
        <v>0</v>
      </c>
    </row>
    <row r="562" spans="1:34">
      <c r="A562" t="s">
        <v>1355</v>
      </c>
      <c r="B562" t="s">
        <v>1844</v>
      </c>
      <c r="C562" t="s">
        <v>1362</v>
      </c>
      <c r="D562" t="s">
        <v>1845</v>
      </c>
      <c r="E562" t="s">
        <v>1364</v>
      </c>
      <c r="F562" t="s">
        <v>1423</v>
      </c>
      <c r="AF562" t="s">
        <v>1355</v>
      </c>
      <c r="AG562" t="s">
        <v>138</v>
      </c>
      <c r="AH562" t="b">
        <v>0</v>
      </c>
    </row>
    <row r="563" spans="1:34">
      <c r="A563" t="s">
        <v>1355</v>
      </c>
      <c r="B563" t="s">
        <v>1846</v>
      </c>
      <c r="C563" t="s">
        <v>1362</v>
      </c>
      <c r="D563" t="s">
        <v>1847</v>
      </c>
      <c r="E563" t="s">
        <v>1848</v>
      </c>
      <c r="F563" t="s">
        <v>1401</v>
      </c>
      <c r="AF563" t="s">
        <v>1355</v>
      </c>
      <c r="AG563" t="s">
        <v>138</v>
      </c>
      <c r="AH563" t="b">
        <v>0</v>
      </c>
    </row>
    <row r="564" spans="1:34">
      <c r="A564" t="s">
        <v>1849</v>
      </c>
      <c r="B564" t="s">
        <v>1356</v>
      </c>
      <c r="C564" t="s">
        <v>1357</v>
      </c>
      <c r="D564" t="s">
        <v>1358</v>
      </c>
      <c r="E564" t="s">
        <v>1359</v>
      </c>
      <c r="F564" t="s">
        <v>1360</v>
      </c>
      <c r="AF564" t="s">
        <v>1849</v>
      </c>
      <c r="AG564" t="s">
        <v>138</v>
      </c>
      <c r="AH564" t="b">
        <v>0</v>
      </c>
    </row>
    <row r="565" spans="1:34">
      <c r="A565" t="s">
        <v>1849</v>
      </c>
      <c r="B565" t="s">
        <v>1680</v>
      </c>
      <c r="C565" t="s">
        <v>1362</v>
      </c>
      <c r="D565" t="s">
        <v>1681</v>
      </c>
      <c r="E565" t="s">
        <v>1364</v>
      </c>
      <c r="F565" t="s">
        <v>1682</v>
      </c>
      <c r="AF565" t="s">
        <v>1849</v>
      </c>
      <c r="AG565" t="s">
        <v>138</v>
      </c>
      <c r="AH565" t="b">
        <v>0</v>
      </c>
    </row>
    <row r="566" spans="1:34">
      <c r="A566" t="s">
        <v>1849</v>
      </c>
      <c r="B566" t="s">
        <v>1421</v>
      </c>
      <c r="C566" t="s">
        <v>1362</v>
      </c>
      <c r="D566" t="s">
        <v>1422</v>
      </c>
      <c r="E566" t="s">
        <v>1382</v>
      </c>
      <c r="F566" t="s">
        <v>1423</v>
      </c>
      <c r="AF566" t="s">
        <v>1849</v>
      </c>
      <c r="AG566" t="s">
        <v>138</v>
      </c>
      <c r="AH566" t="b">
        <v>0</v>
      </c>
    </row>
    <row r="567" spans="1:34">
      <c r="A567" t="s">
        <v>1849</v>
      </c>
      <c r="B567" t="s">
        <v>1757</v>
      </c>
      <c r="C567" t="s">
        <v>1362</v>
      </c>
      <c r="D567" t="s">
        <v>1758</v>
      </c>
      <c r="E567" t="s">
        <v>1382</v>
      </c>
      <c r="F567" t="s">
        <v>1423</v>
      </c>
      <c r="AF567" t="s">
        <v>1849</v>
      </c>
      <c r="AG567" t="s">
        <v>138</v>
      </c>
      <c r="AH567" t="b">
        <v>0</v>
      </c>
    </row>
    <row r="568" spans="1:34">
      <c r="A568" t="s">
        <v>1849</v>
      </c>
      <c r="B568" t="s">
        <v>1833</v>
      </c>
      <c r="C568" t="s">
        <v>1362</v>
      </c>
      <c r="D568" t="s">
        <v>1834</v>
      </c>
      <c r="E568" t="s">
        <v>1364</v>
      </c>
      <c r="F568" t="s">
        <v>1835</v>
      </c>
      <c r="AF568" t="s">
        <v>1849</v>
      </c>
      <c r="AG568" t="s">
        <v>138</v>
      </c>
      <c r="AH568" t="b">
        <v>0</v>
      </c>
    </row>
    <row r="569" spans="1:34">
      <c r="A569" t="s">
        <v>1849</v>
      </c>
      <c r="B569" t="s">
        <v>1844</v>
      </c>
      <c r="C569" t="s">
        <v>1362</v>
      </c>
      <c r="D569" t="s">
        <v>1845</v>
      </c>
      <c r="E569" t="s">
        <v>1364</v>
      </c>
      <c r="F569" t="s">
        <v>1423</v>
      </c>
      <c r="AF569" t="s">
        <v>1849</v>
      </c>
      <c r="AG569" t="s">
        <v>138</v>
      </c>
      <c r="AH569" t="b">
        <v>0</v>
      </c>
    </row>
    <row r="570" spans="1:34">
      <c r="A570" t="s">
        <v>1849</v>
      </c>
      <c r="B570" t="s">
        <v>1452</v>
      </c>
      <c r="C570" t="s">
        <v>1362</v>
      </c>
      <c r="D570" t="s">
        <v>1453</v>
      </c>
      <c r="E570" t="s">
        <v>1364</v>
      </c>
      <c r="F570" t="s">
        <v>1454</v>
      </c>
      <c r="AF570" t="s">
        <v>1849</v>
      </c>
      <c r="AG570" t="s">
        <v>138</v>
      </c>
      <c r="AH570" t="b">
        <v>0</v>
      </c>
    </row>
    <row r="571" spans="1:34">
      <c r="A571" t="s">
        <v>1849</v>
      </c>
      <c r="B571" t="s">
        <v>1538</v>
      </c>
      <c r="C571" t="s">
        <v>1462</v>
      </c>
      <c r="D571" t="s">
        <v>1539</v>
      </c>
      <c r="E571" t="s">
        <v>1464</v>
      </c>
      <c r="F571" t="s">
        <v>1454</v>
      </c>
      <c r="AF571" t="s">
        <v>1849</v>
      </c>
      <c r="AG571" t="s">
        <v>138</v>
      </c>
      <c r="AH571" t="b">
        <v>0</v>
      </c>
    </row>
    <row r="572" spans="1:34">
      <c r="A572" t="s">
        <v>1849</v>
      </c>
      <c r="B572" t="s">
        <v>1724</v>
      </c>
      <c r="C572" t="s">
        <v>1362</v>
      </c>
      <c r="D572" t="s">
        <v>1725</v>
      </c>
      <c r="E572" t="s">
        <v>1364</v>
      </c>
      <c r="F572" t="s">
        <v>1454</v>
      </c>
      <c r="AF572" t="s">
        <v>1849</v>
      </c>
      <c r="AG572" t="s">
        <v>138</v>
      </c>
      <c r="AH572" t="b">
        <v>0</v>
      </c>
    </row>
    <row r="573" spans="1:34">
      <c r="A573" t="s">
        <v>1849</v>
      </c>
      <c r="B573" t="s">
        <v>1803</v>
      </c>
      <c r="C573" t="s">
        <v>1362</v>
      </c>
      <c r="D573" t="s">
        <v>1804</v>
      </c>
      <c r="E573" t="s">
        <v>1382</v>
      </c>
      <c r="F573" t="s">
        <v>1454</v>
      </c>
      <c r="AF573" t="s">
        <v>1849</v>
      </c>
      <c r="AG573" t="s">
        <v>138</v>
      </c>
      <c r="AH573" t="b">
        <v>0</v>
      </c>
    </row>
    <row r="574" spans="1:34">
      <c r="A574" t="s">
        <v>1849</v>
      </c>
      <c r="B574" t="s">
        <v>1838</v>
      </c>
      <c r="C574" t="s">
        <v>1362</v>
      </c>
      <c r="D574" t="s">
        <v>1839</v>
      </c>
      <c r="E574" t="s">
        <v>1364</v>
      </c>
      <c r="F574" t="s">
        <v>1454</v>
      </c>
      <c r="AF574" t="s">
        <v>1849</v>
      </c>
      <c r="AG574" t="s">
        <v>138</v>
      </c>
      <c r="AH574" t="b">
        <v>0</v>
      </c>
    </row>
    <row r="575" spans="1:34">
      <c r="A575" t="s">
        <v>1849</v>
      </c>
      <c r="B575" t="s">
        <v>1842</v>
      </c>
      <c r="C575" t="s">
        <v>1362</v>
      </c>
      <c r="D575" t="s">
        <v>1843</v>
      </c>
      <c r="E575" t="s">
        <v>1364</v>
      </c>
      <c r="F575" t="s">
        <v>1454</v>
      </c>
      <c r="AF575" t="s">
        <v>1849</v>
      </c>
      <c r="AG575" t="s">
        <v>138</v>
      </c>
      <c r="AH575" t="b">
        <v>0</v>
      </c>
    </row>
    <row r="576" spans="1:34">
      <c r="A576" t="s">
        <v>1849</v>
      </c>
      <c r="B576" t="s">
        <v>1620</v>
      </c>
      <c r="C576" t="s">
        <v>1362</v>
      </c>
      <c r="D576" t="s">
        <v>1621</v>
      </c>
      <c r="E576" t="s">
        <v>1364</v>
      </c>
      <c r="F576" t="s">
        <v>1622</v>
      </c>
      <c r="AF576" t="s">
        <v>1849</v>
      </c>
      <c r="AG576" t="s">
        <v>138</v>
      </c>
      <c r="AH576" t="b">
        <v>0</v>
      </c>
    </row>
    <row r="577" spans="1:34">
      <c r="A577" t="s">
        <v>1849</v>
      </c>
      <c r="B577" t="s">
        <v>1688</v>
      </c>
      <c r="C577" t="s">
        <v>1362</v>
      </c>
      <c r="D577" t="s">
        <v>1689</v>
      </c>
      <c r="E577" t="s">
        <v>1364</v>
      </c>
      <c r="F577" t="s">
        <v>1622</v>
      </c>
      <c r="AF577" t="s">
        <v>1849</v>
      </c>
      <c r="AG577" t="s">
        <v>138</v>
      </c>
      <c r="AH577" t="b">
        <v>0</v>
      </c>
    </row>
    <row r="578" spans="1:34">
      <c r="A578" t="s">
        <v>1849</v>
      </c>
      <c r="B578" t="s">
        <v>1500</v>
      </c>
      <c r="C578" t="s">
        <v>1362</v>
      </c>
      <c r="D578" t="s">
        <v>1501</v>
      </c>
      <c r="E578" t="s">
        <v>1364</v>
      </c>
      <c r="F578" t="s">
        <v>1502</v>
      </c>
      <c r="AF578" t="s">
        <v>1849</v>
      </c>
      <c r="AG578" t="s">
        <v>138</v>
      </c>
      <c r="AH578" t="b">
        <v>0</v>
      </c>
    </row>
    <row r="579" spans="1:34">
      <c r="A579" t="s">
        <v>1849</v>
      </c>
      <c r="B579" t="s">
        <v>42</v>
      </c>
      <c r="C579" t="s">
        <v>1362</v>
      </c>
      <c r="D579" t="s">
        <v>1650</v>
      </c>
      <c r="E579" t="s">
        <v>1364</v>
      </c>
      <c r="F579" t="s">
        <v>1651</v>
      </c>
      <c r="AF579" t="s">
        <v>1849</v>
      </c>
      <c r="AG579" t="s">
        <v>138</v>
      </c>
      <c r="AH579" t="b">
        <v>0</v>
      </c>
    </row>
    <row r="580" spans="1:34">
      <c r="A580" t="s">
        <v>1849</v>
      </c>
      <c r="B580" t="s">
        <v>1749</v>
      </c>
      <c r="C580" t="s">
        <v>1362</v>
      </c>
      <c r="D580" t="s">
        <v>1750</v>
      </c>
      <c r="E580" t="s">
        <v>1364</v>
      </c>
      <c r="F580" t="s">
        <v>1751</v>
      </c>
      <c r="AF580" t="s">
        <v>1849</v>
      </c>
      <c r="AG580" t="s">
        <v>138</v>
      </c>
      <c r="AH580" t="b">
        <v>0</v>
      </c>
    </row>
    <row r="581" spans="1:34">
      <c r="A581" t="s">
        <v>1849</v>
      </c>
      <c r="B581" t="s">
        <v>1444</v>
      </c>
      <c r="C581" t="s">
        <v>1362</v>
      </c>
      <c r="D581" t="s">
        <v>1445</v>
      </c>
      <c r="E581" t="s">
        <v>1382</v>
      </c>
      <c r="F581" t="s">
        <v>1446</v>
      </c>
      <c r="AF581" t="s">
        <v>1849</v>
      </c>
      <c r="AG581" t="s">
        <v>138</v>
      </c>
      <c r="AH581" t="b">
        <v>0</v>
      </c>
    </row>
    <row r="582" spans="1:34">
      <c r="A582" t="s">
        <v>1849</v>
      </c>
      <c r="B582" t="s">
        <v>1514</v>
      </c>
      <c r="C582" t="s">
        <v>1362</v>
      </c>
      <c r="D582" t="s">
        <v>1515</v>
      </c>
      <c r="E582" t="s">
        <v>1382</v>
      </c>
      <c r="F582" t="s">
        <v>1392</v>
      </c>
      <c r="AF582" t="s">
        <v>1849</v>
      </c>
      <c r="AG582" t="s">
        <v>138</v>
      </c>
      <c r="AH582" t="b">
        <v>0</v>
      </c>
    </row>
    <row r="583" spans="1:34">
      <c r="A583" t="s">
        <v>1850</v>
      </c>
      <c r="B583" t="s">
        <v>1356</v>
      </c>
      <c r="C583" t="s">
        <v>1357</v>
      </c>
      <c r="D583" t="s">
        <v>1358</v>
      </c>
      <c r="E583" t="s">
        <v>1359</v>
      </c>
      <c r="F583" t="s">
        <v>1360</v>
      </c>
      <c r="AF583" t="s">
        <v>1850</v>
      </c>
      <c r="AG583" t="s">
        <v>138</v>
      </c>
      <c r="AH583" t="b">
        <v>0</v>
      </c>
    </row>
    <row r="584" spans="1:34">
      <c r="A584" t="s">
        <v>1850</v>
      </c>
      <c r="B584" t="s">
        <v>1805</v>
      </c>
      <c r="C584" t="s">
        <v>1362</v>
      </c>
      <c r="D584" t="s">
        <v>1806</v>
      </c>
      <c r="E584" t="s">
        <v>1459</v>
      </c>
      <c r="F584" t="s">
        <v>1666</v>
      </c>
      <c r="AF584" t="s">
        <v>1850</v>
      </c>
      <c r="AG584" t="s">
        <v>138</v>
      </c>
      <c r="AH584" t="b">
        <v>0</v>
      </c>
    </row>
    <row r="585" spans="1:34">
      <c r="A585" t="s">
        <v>1850</v>
      </c>
      <c r="B585" t="s">
        <v>1417</v>
      </c>
      <c r="C585" t="s">
        <v>1362</v>
      </c>
      <c r="D585" t="s">
        <v>1418</v>
      </c>
      <c r="E585" t="s">
        <v>1419</v>
      </c>
      <c r="F585" t="s">
        <v>1420</v>
      </c>
      <c r="AF585" t="s">
        <v>1850</v>
      </c>
      <c r="AG585" t="s">
        <v>138</v>
      </c>
      <c r="AH585" t="b">
        <v>0</v>
      </c>
    </row>
    <row r="586" spans="1:34">
      <c r="A586" t="s">
        <v>1850</v>
      </c>
      <c r="B586" t="s">
        <v>1442</v>
      </c>
      <c r="C586" t="s">
        <v>1362</v>
      </c>
      <c r="D586" t="s">
        <v>1443</v>
      </c>
      <c r="E586" t="s">
        <v>1419</v>
      </c>
      <c r="F586" t="s">
        <v>1420</v>
      </c>
      <c r="AF586" t="s">
        <v>1850</v>
      </c>
      <c r="AG586" t="s">
        <v>138</v>
      </c>
      <c r="AH586" t="b">
        <v>0</v>
      </c>
    </row>
    <row r="587" spans="1:34">
      <c r="A587" t="s">
        <v>1850</v>
      </c>
      <c r="B587" t="s">
        <v>1609</v>
      </c>
      <c r="C587" t="s">
        <v>1362</v>
      </c>
      <c r="D587" t="s">
        <v>1610</v>
      </c>
      <c r="E587" t="s">
        <v>1459</v>
      </c>
      <c r="F587" t="s">
        <v>1420</v>
      </c>
      <c r="AF587" t="s">
        <v>1850</v>
      </c>
      <c r="AG587" t="s">
        <v>138</v>
      </c>
      <c r="AH587" t="b">
        <v>0</v>
      </c>
    </row>
    <row r="588" spans="1:34">
      <c r="A588" t="s">
        <v>1850</v>
      </c>
      <c r="B588" t="s">
        <v>41</v>
      </c>
      <c r="C588" t="s">
        <v>1362</v>
      </c>
      <c r="D588" t="s">
        <v>1674</v>
      </c>
      <c r="E588" t="s">
        <v>1459</v>
      </c>
      <c r="F588" t="s">
        <v>1420</v>
      </c>
      <c r="AF588" t="s">
        <v>1850</v>
      </c>
      <c r="AG588" t="s">
        <v>138</v>
      </c>
      <c r="AH588" t="b">
        <v>0</v>
      </c>
    </row>
    <row r="589" spans="1:34">
      <c r="A589" t="s">
        <v>1850</v>
      </c>
      <c r="B589" t="s">
        <v>1716</v>
      </c>
      <c r="C589" t="s">
        <v>1362</v>
      </c>
      <c r="D589" t="s">
        <v>1717</v>
      </c>
      <c r="E589" t="s">
        <v>1459</v>
      </c>
      <c r="F589" t="s">
        <v>1420</v>
      </c>
      <c r="AF589" t="s">
        <v>1850</v>
      </c>
      <c r="AG589" t="s">
        <v>138</v>
      </c>
      <c r="AH589" t="b">
        <v>0</v>
      </c>
    </row>
    <row r="590" spans="1:34">
      <c r="A590" t="s">
        <v>1850</v>
      </c>
      <c r="B590" t="s">
        <v>1516</v>
      </c>
      <c r="C590" t="s">
        <v>1462</v>
      </c>
      <c r="D590" t="s">
        <v>1517</v>
      </c>
      <c r="E590" t="s">
        <v>1464</v>
      </c>
      <c r="F590" t="s">
        <v>1518</v>
      </c>
      <c r="AF590" t="s">
        <v>1850</v>
      </c>
      <c r="AG590" t="s">
        <v>138</v>
      </c>
      <c r="AH590" t="b">
        <v>0</v>
      </c>
    </row>
    <row r="591" spans="1:34">
      <c r="A591" t="s">
        <v>1850</v>
      </c>
      <c r="B591" t="s">
        <v>17</v>
      </c>
      <c r="C591" t="s">
        <v>1362</v>
      </c>
      <c r="D591" t="s">
        <v>1458</v>
      </c>
      <c r="E591" t="s">
        <v>1459</v>
      </c>
      <c r="F591" t="s">
        <v>1460</v>
      </c>
      <c r="AF591" t="s">
        <v>1850</v>
      </c>
      <c r="AG591" t="s">
        <v>138</v>
      </c>
      <c r="AH591" t="b">
        <v>0</v>
      </c>
    </row>
    <row r="592" spans="1:34">
      <c r="A592" t="s">
        <v>1850</v>
      </c>
      <c r="B592" t="s">
        <v>1647</v>
      </c>
      <c r="C592" t="s">
        <v>1462</v>
      </c>
      <c r="D592" t="s">
        <v>1648</v>
      </c>
      <c r="E592" t="s">
        <v>1464</v>
      </c>
      <c r="F592" t="s">
        <v>1649</v>
      </c>
      <c r="AF592" t="s">
        <v>1850</v>
      </c>
      <c r="AG592" t="s">
        <v>138</v>
      </c>
      <c r="AH592" t="b">
        <v>0</v>
      </c>
    </row>
    <row r="593" spans="1:34">
      <c r="A593" t="s">
        <v>1850</v>
      </c>
      <c r="B593" t="s">
        <v>1473</v>
      </c>
      <c r="C593" t="s">
        <v>1362</v>
      </c>
      <c r="D593" t="s">
        <v>1474</v>
      </c>
      <c r="E593" t="s">
        <v>1364</v>
      </c>
      <c r="F593" t="s">
        <v>1475</v>
      </c>
      <c r="AF593" t="s">
        <v>1850</v>
      </c>
      <c r="AG593" t="s">
        <v>138</v>
      </c>
      <c r="AH593" t="b">
        <v>0</v>
      </c>
    </row>
    <row r="594" spans="1:34">
      <c r="A594" t="s">
        <v>1850</v>
      </c>
      <c r="B594" t="s">
        <v>1611</v>
      </c>
      <c r="C594" t="s">
        <v>1362</v>
      </c>
      <c r="D594" t="s">
        <v>1612</v>
      </c>
      <c r="E594" t="s">
        <v>1364</v>
      </c>
      <c r="F594" t="s">
        <v>1613</v>
      </c>
      <c r="AF594" t="s">
        <v>1850</v>
      </c>
      <c r="AG594" t="s">
        <v>138</v>
      </c>
      <c r="AH594" t="b">
        <v>0</v>
      </c>
    </row>
    <row r="595" spans="1:34">
      <c r="A595" t="s">
        <v>1850</v>
      </c>
      <c r="B595" t="s">
        <v>1444</v>
      </c>
      <c r="C595" t="s">
        <v>1362</v>
      </c>
      <c r="D595" t="s">
        <v>1445</v>
      </c>
      <c r="E595" t="s">
        <v>1382</v>
      </c>
      <c r="F595" t="s">
        <v>1446</v>
      </c>
      <c r="AF595" t="s">
        <v>1850</v>
      </c>
      <c r="AG595" t="s">
        <v>138</v>
      </c>
      <c r="AH595" t="b">
        <v>0</v>
      </c>
    </row>
    <row r="596" spans="1:34">
      <c r="A596" t="s">
        <v>1851</v>
      </c>
      <c r="AF596" t="s">
        <v>1851</v>
      </c>
      <c r="AG596" t="s">
        <v>138</v>
      </c>
      <c r="AH596" t="b">
        <v>0</v>
      </c>
    </row>
    <row r="597" spans="1:34">
      <c r="A597" t="s">
        <v>1852</v>
      </c>
      <c r="B597" t="s">
        <v>16</v>
      </c>
      <c r="H597" t="s">
        <v>1853</v>
      </c>
      <c r="AF597" t="s">
        <v>1852</v>
      </c>
      <c r="AG597" t="s">
        <v>138</v>
      </c>
      <c r="AH597" t="b">
        <v>0</v>
      </c>
    </row>
    <row r="598" spans="1:34">
      <c r="A598" t="s">
        <v>1852</v>
      </c>
      <c r="B598" t="s">
        <v>1356</v>
      </c>
      <c r="C598" t="s">
        <v>1357</v>
      </c>
      <c r="D598" t="s">
        <v>1358</v>
      </c>
      <c r="E598" t="s">
        <v>1359</v>
      </c>
      <c r="F598" t="s">
        <v>1360</v>
      </c>
      <c r="H598" t="s">
        <v>1356</v>
      </c>
      <c r="I598" t="s">
        <v>1357</v>
      </c>
      <c r="J598" t="s">
        <v>1854</v>
      </c>
      <c r="K598" t="s">
        <v>1359</v>
      </c>
      <c r="AF598" t="s">
        <v>1852</v>
      </c>
      <c r="AG598" t="s">
        <v>138</v>
      </c>
      <c r="AH598" t="b">
        <v>0</v>
      </c>
    </row>
    <row r="599" spans="1:34">
      <c r="A599" t="s">
        <v>1852</v>
      </c>
      <c r="B599" t="s">
        <v>1361</v>
      </c>
      <c r="C599" t="s">
        <v>1362</v>
      </c>
      <c r="D599" t="s">
        <v>1363</v>
      </c>
      <c r="E599" t="s">
        <v>1364</v>
      </c>
      <c r="F599" t="s">
        <v>1365</v>
      </c>
      <c r="H599" t="s">
        <v>1680</v>
      </c>
      <c r="I599" t="s">
        <v>1362</v>
      </c>
      <c r="J599" t="s">
        <v>1681</v>
      </c>
      <c r="K599" t="s">
        <v>1364</v>
      </c>
      <c r="AF599" t="s">
        <v>1852</v>
      </c>
      <c r="AG599" t="s">
        <v>138</v>
      </c>
      <c r="AH599" t="b">
        <v>0</v>
      </c>
    </row>
    <row r="600" spans="1:34">
      <c r="A600" t="s">
        <v>1852</v>
      </c>
      <c r="B600" t="s">
        <v>1366</v>
      </c>
      <c r="C600" t="s">
        <v>1367</v>
      </c>
      <c r="D600" t="s">
        <v>1368</v>
      </c>
      <c r="E600" t="s">
        <v>1369</v>
      </c>
      <c r="F600" t="s">
        <v>1370</v>
      </c>
      <c r="H600" t="s">
        <v>1421</v>
      </c>
      <c r="I600" t="s">
        <v>1362</v>
      </c>
      <c r="J600" t="s">
        <v>1422</v>
      </c>
      <c r="K600" t="s">
        <v>1382</v>
      </c>
      <c r="AF600" t="s">
        <v>1852</v>
      </c>
      <c r="AG600" t="s">
        <v>138</v>
      </c>
      <c r="AH600" t="b">
        <v>0</v>
      </c>
    </row>
    <row r="601" spans="1:34">
      <c r="A601" t="s">
        <v>1852</v>
      </c>
      <c r="B601" t="s">
        <v>1371</v>
      </c>
      <c r="C601" t="s">
        <v>1362</v>
      </c>
      <c r="D601" t="s">
        <v>1372</v>
      </c>
      <c r="E601" t="s">
        <v>1364</v>
      </c>
      <c r="F601" t="s">
        <v>1373</v>
      </c>
      <c r="H601" t="s">
        <v>1757</v>
      </c>
      <c r="I601" t="s">
        <v>1362</v>
      </c>
      <c r="J601" t="s">
        <v>1758</v>
      </c>
      <c r="K601" t="s">
        <v>1382</v>
      </c>
      <c r="AF601" t="s">
        <v>1852</v>
      </c>
      <c r="AG601" t="s">
        <v>138</v>
      </c>
      <c r="AH601" t="b">
        <v>0</v>
      </c>
    </row>
    <row r="602" spans="1:34">
      <c r="A602" t="s">
        <v>1852</v>
      </c>
      <c r="B602" t="s">
        <v>1374</v>
      </c>
      <c r="C602" t="s">
        <v>1362</v>
      </c>
      <c r="D602" t="s">
        <v>1375</v>
      </c>
      <c r="E602" t="s">
        <v>1364</v>
      </c>
      <c r="F602" t="s">
        <v>1376</v>
      </c>
      <c r="H602" t="s">
        <v>1833</v>
      </c>
      <c r="I602" t="s">
        <v>1362</v>
      </c>
      <c r="J602" t="s">
        <v>1834</v>
      </c>
      <c r="K602" t="s">
        <v>1364</v>
      </c>
      <c r="AF602" t="s">
        <v>1852</v>
      </c>
      <c r="AG602" t="s">
        <v>138</v>
      </c>
      <c r="AH602" t="b">
        <v>0</v>
      </c>
    </row>
    <row r="603" spans="1:34">
      <c r="A603" t="s">
        <v>1852</v>
      </c>
      <c r="B603" t="s">
        <v>1377</v>
      </c>
      <c r="C603" t="s">
        <v>1367</v>
      </c>
      <c r="D603" t="s">
        <v>1378</v>
      </c>
      <c r="E603" t="s">
        <v>1369</v>
      </c>
      <c r="F603" t="s">
        <v>1379</v>
      </c>
      <c r="H603" t="s">
        <v>1844</v>
      </c>
      <c r="I603" t="s">
        <v>1362</v>
      </c>
      <c r="J603" t="s">
        <v>1845</v>
      </c>
      <c r="K603" t="s">
        <v>1364</v>
      </c>
      <c r="AF603" t="s">
        <v>1852</v>
      </c>
      <c r="AG603" t="s">
        <v>138</v>
      </c>
      <c r="AH603" t="b">
        <v>0</v>
      </c>
    </row>
    <row r="604" spans="1:34">
      <c r="A604" t="s">
        <v>1852</v>
      </c>
      <c r="B604" t="s">
        <v>1380</v>
      </c>
      <c r="C604" t="s">
        <v>1362</v>
      </c>
      <c r="D604" t="s">
        <v>1381</v>
      </c>
      <c r="E604" t="s">
        <v>1382</v>
      </c>
      <c r="F604" t="s">
        <v>1383</v>
      </c>
      <c r="H604" t="s">
        <v>1452</v>
      </c>
      <c r="I604" t="s">
        <v>1362</v>
      </c>
      <c r="J604" t="s">
        <v>1453</v>
      </c>
      <c r="K604" t="s">
        <v>1364</v>
      </c>
      <c r="AF604" t="s">
        <v>1852</v>
      </c>
      <c r="AG604" t="s">
        <v>138</v>
      </c>
      <c r="AH604" t="b">
        <v>0</v>
      </c>
    </row>
    <row r="605" spans="1:34">
      <c r="A605" t="s">
        <v>1852</v>
      </c>
      <c r="B605" t="s">
        <v>1384</v>
      </c>
      <c r="C605" t="s">
        <v>1362</v>
      </c>
      <c r="D605" t="s">
        <v>1385</v>
      </c>
      <c r="E605" t="s">
        <v>1364</v>
      </c>
      <c r="F605" t="s">
        <v>1386</v>
      </c>
      <c r="H605" t="s">
        <v>1538</v>
      </c>
      <c r="I605" t="s">
        <v>1462</v>
      </c>
      <c r="J605" t="s">
        <v>1539</v>
      </c>
      <c r="K605" t="s">
        <v>1464</v>
      </c>
      <c r="AF605" t="s">
        <v>1852</v>
      </c>
      <c r="AG605" t="s">
        <v>138</v>
      </c>
      <c r="AH605" t="b">
        <v>0</v>
      </c>
    </row>
    <row r="606" spans="1:34">
      <c r="A606" t="s">
        <v>1852</v>
      </c>
      <c r="B606" t="s">
        <v>1387</v>
      </c>
      <c r="C606" t="s">
        <v>1362</v>
      </c>
      <c r="D606" t="s">
        <v>1388</v>
      </c>
      <c r="E606" t="s">
        <v>1364</v>
      </c>
      <c r="F606" t="s">
        <v>1389</v>
      </c>
      <c r="H606" t="s">
        <v>1724</v>
      </c>
      <c r="I606" t="s">
        <v>1362</v>
      </c>
      <c r="J606" t="s">
        <v>1725</v>
      </c>
      <c r="K606" t="s">
        <v>1364</v>
      </c>
      <c r="AF606" t="s">
        <v>1852</v>
      </c>
      <c r="AG606" t="s">
        <v>138</v>
      </c>
      <c r="AH606" t="b">
        <v>0</v>
      </c>
    </row>
    <row r="607" spans="1:34">
      <c r="A607" t="s">
        <v>1852</v>
      </c>
      <c r="B607" t="s">
        <v>1390</v>
      </c>
      <c r="C607" t="s">
        <v>1362</v>
      </c>
      <c r="D607" t="s">
        <v>1391</v>
      </c>
      <c r="E607" t="s">
        <v>1364</v>
      </c>
      <c r="F607" t="s">
        <v>1392</v>
      </c>
      <c r="H607" t="s">
        <v>1803</v>
      </c>
      <c r="I607" t="s">
        <v>1362</v>
      </c>
      <c r="J607" t="s">
        <v>1804</v>
      </c>
      <c r="K607" t="s">
        <v>1382</v>
      </c>
      <c r="AF607" t="s">
        <v>1852</v>
      </c>
      <c r="AG607" t="s">
        <v>138</v>
      </c>
      <c r="AH607" t="b">
        <v>0</v>
      </c>
    </row>
    <row r="608" spans="1:34">
      <c r="A608" t="s">
        <v>1852</v>
      </c>
      <c r="B608" t="s">
        <v>1393</v>
      </c>
      <c r="C608" t="s">
        <v>1362</v>
      </c>
      <c r="D608" t="s">
        <v>1394</v>
      </c>
      <c r="E608" t="s">
        <v>1364</v>
      </c>
      <c r="F608" t="s">
        <v>1395</v>
      </c>
      <c r="H608" t="s">
        <v>1838</v>
      </c>
      <c r="I608" t="s">
        <v>1362</v>
      </c>
      <c r="J608" t="s">
        <v>1839</v>
      </c>
      <c r="K608" t="s">
        <v>1364</v>
      </c>
      <c r="AF608" t="s">
        <v>1852</v>
      </c>
      <c r="AG608" t="s">
        <v>138</v>
      </c>
      <c r="AH608" t="b">
        <v>0</v>
      </c>
    </row>
    <row r="609" spans="1:34">
      <c r="A609" t="s">
        <v>1852</v>
      </c>
      <c r="B609" t="s">
        <v>1396</v>
      </c>
      <c r="C609" t="s">
        <v>1362</v>
      </c>
      <c r="D609" t="s">
        <v>1397</v>
      </c>
      <c r="E609" t="s">
        <v>1364</v>
      </c>
      <c r="F609" t="s">
        <v>1398</v>
      </c>
      <c r="H609" t="s">
        <v>1842</v>
      </c>
      <c r="I609" t="s">
        <v>1362</v>
      </c>
      <c r="J609" t="s">
        <v>1843</v>
      </c>
      <c r="K609" t="s">
        <v>1364</v>
      </c>
      <c r="AF609" t="s">
        <v>1852</v>
      </c>
      <c r="AG609" t="s">
        <v>138</v>
      </c>
      <c r="AH609" t="b">
        <v>0</v>
      </c>
    </row>
    <row r="610" spans="1:34">
      <c r="A610" t="s">
        <v>1852</v>
      </c>
      <c r="B610" t="s">
        <v>1399</v>
      </c>
      <c r="C610" t="s">
        <v>1362</v>
      </c>
      <c r="D610" t="s">
        <v>1400</v>
      </c>
      <c r="E610" t="s">
        <v>1364</v>
      </c>
      <c r="F610" t="s">
        <v>1401</v>
      </c>
      <c r="H610" t="s">
        <v>1620</v>
      </c>
      <c r="I610" t="s">
        <v>1362</v>
      </c>
      <c r="J610" t="s">
        <v>1621</v>
      </c>
      <c r="K610" t="s">
        <v>1364</v>
      </c>
      <c r="AF610" t="s">
        <v>1852</v>
      </c>
      <c r="AG610" t="s">
        <v>138</v>
      </c>
      <c r="AH610" t="b">
        <v>0</v>
      </c>
    </row>
    <row r="611" spans="1:34">
      <c r="A611" t="s">
        <v>1852</v>
      </c>
      <c r="B611" t="s">
        <v>1402</v>
      </c>
      <c r="C611" t="s">
        <v>1362</v>
      </c>
      <c r="D611" t="s">
        <v>1403</v>
      </c>
      <c r="E611" t="s">
        <v>1364</v>
      </c>
      <c r="F611" t="s">
        <v>1404</v>
      </c>
      <c r="H611" t="s">
        <v>1688</v>
      </c>
      <c r="I611" t="s">
        <v>1362</v>
      </c>
      <c r="J611" t="s">
        <v>1689</v>
      </c>
      <c r="K611" t="s">
        <v>1364</v>
      </c>
      <c r="AF611" t="s">
        <v>1852</v>
      </c>
      <c r="AG611" t="s">
        <v>138</v>
      </c>
      <c r="AH611" t="b">
        <v>0</v>
      </c>
    </row>
    <row r="612" spans="1:34">
      <c r="A612" t="s">
        <v>1852</v>
      </c>
      <c r="B612" t="s">
        <v>1405</v>
      </c>
      <c r="C612" t="s">
        <v>1362</v>
      </c>
      <c r="D612" t="s">
        <v>1406</v>
      </c>
      <c r="E612" t="s">
        <v>1407</v>
      </c>
      <c r="F612" t="s">
        <v>1404</v>
      </c>
      <c r="H612" t="s">
        <v>1500</v>
      </c>
      <c r="I612" t="s">
        <v>1362</v>
      </c>
      <c r="J612" t="s">
        <v>1501</v>
      </c>
      <c r="K612" t="s">
        <v>1364</v>
      </c>
      <c r="AF612" t="s">
        <v>1852</v>
      </c>
      <c r="AG612" t="s">
        <v>138</v>
      </c>
      <c r="AH612" t="b">
        <v>0</v>
      </c>
    </row>
    <row r="613" spans="1:34">
      <c r="A613" t="s">
        <v>1852</v>
      </c>
      <c r="B613" t="s">
        <v>1408</v>
      </c>
      <c r="C613" t="s">
        <v>1362</v>
      </c>
      <c r="D613" t="s">
        <v>1409</v>
      </c>
      <c r="E613" t="s">
        <v>1364</v>
      </c>
      <c r="F613" t="s">
        <v>1410</v>
      </c>
      <c r="H613" t="s">
        <v>42</v>
      </c>
      <c r="I613" t="s">
        <v>1362</v>
      </c>
      <c r="J613" t="s">
        <v>1650</v>
      </c>
      <c r="K613" t="s">
        <v>1364</v>
      </c>
      <c r="AF613" t="s">
        <v>1852</v>
      </c>
      <c r="AG613" t="s">
        <v>138</v>
      </c>
      <c r="AH613" t="b">
        <v>0</v>
      </c>
    </row>
    <row r="614" spans="1:34">
      <c r="A614" t="s">
        <v>1852</v>
      </c>
      <c r="B614" t="s">
        <v>1411</v>
      </c>
      <c r="C614" t="s">
        <v>1362</v>
      </c>
      <c r="D614" t="s">
        <v>1412</v>
      </c>
      <c r="E614" t="s">
        <v>1364</v>
      </c>
      <c r="F614" t="s">
        <v>1413</v>
      </c>
      <c r="H614" t="s">
        <v>1749</v>
      </c>
      <c r="I614" t="s">
        <v>1362</v>
      </c>
      <c r="J614" t="s">
        <v>1750</v>
      </c>
      <c r="K614" t="s">
        <v>1364</v>
      </c>
      <c r="AF614" t="s">
        <v>1852</v>
      </c>
      <c r="AG614" t="s">
        <v>138</v>
      </c>
      <c r="AH614" t="b">
        <v>0</v>
      </c>
    </row>
    <row r="615" spans="1:34">
      <c r="A615" t="s">
        <v>1852</v>
      </c>
      <c r="B615" t="s">
        <v>1414</v>
      </c>
      <c r="C615" t="s">
        <v>1362</v>
      </c>
      <c r="D615" t="s">
        <v>1415</v>
      </c>
      <c r="E615" t="s">
        <v>1364</v>
      </c>
      <c r="F615" t="s">
        <v>1416</v>
      </c>
      <c r="H615" t="s">
        <v>1444</v>
      </c>
      <c r="I615" t="s">
        <v>1362</v>
      </c>
      <c r="J615" t="s">
        <v>1445</v>
      </c>
      <c r="K615" t="s">
        <v>1382</v>
      </c>
      <c r="AF615" t="s">
        <v>1852</v>
      </c>
      <c r="AG615" t="s">
        <v>138</v>
      </c>
      <c r="AH615" t="b">
        <v>0</v>
      </c>
    </row>
    <row r="616" spans="1:34">
      <c r="A616" t="s">
        <v>1852</v>
      </c>
      <c r="B616" t="s">
        <v>1417</v>
      </c>
      <c r="C616" t="s">
        <v>1362</v>
      </c>
      <c r="D616" t="s">
        <v>1418</v>
      </c>
      <c r="E616" t="s">
        <v>1419</v>
      </c>
      <c r="F616" t="s">
        <v>1420</v>
      </c>
      <c r="H616" t="s">
        <v>1514</v>
      </c>
      <c r="I616" t="s">
        <v>1362</v>
      </c>
      <c r="J616" t="s">
        <v>1515</v>
      </c>
      <c r="K616" t="s">
        <v>1382</v>
      </c>
      <c r="AF616" t="s">
        <v>1852</v>
      </c>
      <c r="AG616" t="s">
        <v>138</v>
      </c>
      <c r="AH616" t="b">
        <v>0</v>
      </c>
    </row>
    <row r="617" spans="1:34">
      <c r="A617" t="s">
        <v>1852</v>
      </c>
      <c r="B617" t="s">
        <v>1421</v>
      </c>
      <c r="C617" t="s">
        <v>1362</v>
      </c>
      <c r="D617" t="s">
        <v>1422</v>
      </c>
      <c r="E617" t="s">
        <v>1382</v>
      </c>
      <c r="F617" t="s">
        <v>1423</v>
      </c>
      <c r="AF617" t="s">
        <v>1852</v>
      </c>
      <c r="AG617" t="s">
        <v>138</v>
      </c>
      <c r="AH617" t="b">
        <v>0</v>
      </c>
    </row>
    <row r="618" spans="1:34">
      <c r="A618" t="s">
        <v>1852</v>
      </c>
      <c r="B618" t="s">
        <v>1424</v>
      </c>
      <c r="C618" t="s">
        <v>1362</v>
      </c>
      <c r="D618" t="s">
        <v>1425</v>
      </c>
      <c r="E618" t="s">
        <v>1382</v>
      </c>
      <c r="F618" t="s">
        <v>1426</v>
      </c>
      <c r="AF618" t="s">
        <v>1852</v>
      </c>
      <c r="AG618" t="s">
        <v>138</v>
      </c>
      <c r="AH618" t="b">
        <v>0</v>
      </c>
    </row>
    <row r="619" spans="1:34">
      <c r="A619" t="s">
        <v>1852</v>
      </c>
      <c r="B619" t="s">
        <v>1427</v>
      </c>
      <c r="C619" t="s">
        <v>1362</v>
      </c>
      <c r="D619" t="s">
        <v>1428</v>
      </c>
      <c r="E619" t="s">
        <v>1364</v>
      </c>
      <c r="F619" t="s">
        <v>1383</v>
      </c>
      <c r="H619" t="s">
        <v>5</v>
      </c>
      <c r="AF619" t="s">
        <v>1852</v>
      </c>
      <c r="AG619" t="s">
        <v>138</v>
      </c>
      <c r="AH619" t="b">
        <v>0</v>
      </c>
    </row>
    <row r="620" spans="1:34">
      <c r="A620" t="s">
        <v>1852</v>
      </c>
      <c r="B620" t="s">
        <v>1429</v>
      </c>
      <c r="C620" t="s">
        <v>1362</v>
      </c>
      <c r="D620" t="s">
        <v>1430</v>
      </c>
      <c r="E620" t="s">
        <v>1364</v>
      </c>
      <c r="F620" t="s">
        <v>1431</v>
      </c>
      <c r="H620" t="s">
        <v>6</v>
      </c>
      <c r="AF620" t="s">
        <v>1852</v>
      </c>
      <c r="AG620" t="s">
        <v>138</v>
      </c>
      <c r="AH620" t="b">
        <v>0</v>
      </c>
    </row>
    <row r="621" spans="1:34">
      <c r="A621" t="s">
        <v>1852</v>
      </c>
      <c r="B621" t="s">
        <v>1432</v>
      </c>
      <c r="C621" t="s">
        <v>1362</v>
      </c>
      <c r="D621" t="s">
        <v>1433</v>
      </c>
      <c r="E621" t="s">
        <v>1364</v>
      </c>
      <c r="F621" t="s">
        <v>1416</v>
      </c>
      <c r="H621" t="s">
        <v>200</v>
      </c>
      <c r="AF621" t="s">
        <v>1852</v>
      </c>
      <c r="AG621" t="s">
        <v>138</v>
      </c>
      <c r="AH621" t="b">
        <v>0</v>
      </c>
    </row>
    <row r="622" spans="1:34">
      <c r="A622" t="s">
        <v>1852</v>
      </c>
      <c r="B622" t="s">
        <v>1434</v>
      </c>
      <c r="C622" t="s">
        <v>1362</v>
      </c>
      <c r="D622" t="s">
        <v>1435</v>
      </c>
      <c r="E622" t="s">
        <v>1364</v>
      </c>
      <c r="F622" t="s">
        <v>1436</v>
      </c>
      <c r="AF622" t="s">
        <v>1852</v>
      </c>
      <c r="AG622" t="s">
        <v>138</v>
      </c>
      <c r="AH622" t="b">
        <v>0</v>
      </c>
    </row>
    <row r="623" spans="1:34">
      <c r="A623" t="s">
        <v>1852</v>
      </c>
      <c r="B623" t="s">
        <v>1437</v>
      </c>
      <c r="C623" t="s">
        <v>1362</v>
      </c>
      <c r="D623" t="s">
        <v>1438</v>
      </c>
      <c r="E623" t="s">
        <v>1364</v>
      </c>
      <c r="H623" t="s">
        <v>7</v>
      </c>
      <c r="AF623" t="s">
        <v>1852</v>
      </c>
      <c r="AG623" t="s">
        <v>138</v>
      </c>
      <c r="AH623" t="b">
        <v>0</v>
      </c>
    </row>
    <row r="624" spans="1:34">
      <c r="A624" t="s">
        <v>1852</v>
      </c>
      <c r="B624" t="s">
        <v>1439</v>
      </c>
      <c r="C624" t="s">
        <v>1362</v>
      </c>
      <c r="D624" t="s">
        <v>1440</v>
      </c>
      <c r="E624" t="s">
        <v>1364</v>
      </c>
      <c r="F624" t="s">
        <v>1441</v>
      </c>
      <c r="H624" t="s">
        <v>8</v>
      </c>
      <c r="AF624" t="s">
        <v>1852</v>
      </c>
      <c r="AG624" t="s">
        <v>138</v>
      </c>
      <c r="AH624" t="b">
        <v>0</v>
      </c>
    </row>
    <row r="625" spans="1:34">
      <c r="A625" t="s">
        <v>1852</v>
      </c>
      <c r="B625" t="s">
        <v>1442</v>
      </c>
      <c r="C625" t="s">
        <v>1362</v>
      </c>
      <c r="D625" t="s">
        <v>1443</v>
      </c>
      <c r="E625" t="s">
        <v>1419</v>
      </c>
      <c r="F625" t="s">
        <v>1420</v>
      </c>
      <c r="H625" t="s">
        <v>207</v>
      </c>
      <c r="AF625" t="s">
        <v>1852</v>
      </c>
      <c r="AG625" t="s">
        <v>138</v>
      </c>
      <c r="AH625" t="b">
        <v>0</v>
      </c>
    </row>
    <row r="626" spans="1:34">
      <c r="A626" t="s">
        <v>1852</v>
      </c>
      <c r="B626" t="s">
        <v>1444</v>
      </c>
      <c r="C626" t="s">
        <v>1362</v>
      </c>
      <c r="D626" t="s">
        <v>1445</v>
      </c>
      <c r="E626" t="s">
        <v>1382</v>
      </c>
      <c r="F626" t="s">
        <v>1446</v>
      </c>
      <c r="H626" t="s">
        <v>210</v>
      </c>
      <c r="AF626" t="s">
        <v>1852</v>
      </c>
      <c r="AG626" t="s">
        <v>138</v>
      </c>
      <c r="AH626" t="b">
        <v>0</v>
      </c>
    </row>
    <row r="627" spans="1:34">
      <c r="A627" t="s">
        <v>1852</v>
      </c>
      <c r="B627" t="s">
        <v>1447</v>
      </c>
      <c r="C627" t="s">
        <v>1362</v>
      </c>
      <c r="D627" t="s">
        <v>1448</v>
      </c>
      <c r="E627" t="s">
        <v>1364</v>
      </c>
      <c r="F627" t="s">
        <v>1383</v>
      </c>
      <c r="H627" t="s">
        <v>212</v>
      </c>
      <c r="I627" t="s">
        <v>1855</v>
      </c>
      <c r="AF627" t="s">
        <v>1852</v>
      </c>
      <c r="AG627" t="s">
        <v>138</v>
      </c>
      <c r="AH627" t="b">
        <v>0</v>
      </c>
    </row>
    <row r="628" spans="1:34">
      <c r="A628" t="s">
        <v>1852</v>
      </c>
      <c r="B628" t="s">
        <v>1449</v>
      </c>
      <c r="C628" t="s">
        <v>1362</v>
      </c>
      <c r="D628" t="s">
        <v>1450</v>
      </c>
      <c r="F628" t="s">
        <v>1451</v>
      </c>
      <c r="H628" t="s">
        <v>213</v>
      </c>
      <c r="I628" t="s">
        <v>205</v>
      </c>
      <c r="AF628" t="s">
        <v>1852</v>
      </c>
      <c r="AG628" t="s">
        <v>138</v>
      </c>
      <c r="AH628" t="b">
        <v>0</v>
      </c>
    </row>
    <row r="629" spans="1:34">
      <c r="A629" t="s">
        <v>1852</v>
      </c>
      <c r="B629" t="s">
        <v>1452</v>
      </c>
      <c r="C629" t="s">
        <v>1362</v>
      </c>
      <c r="D629" t="s">
        <v>1453</v>
      </c>
      <c r="E629" t="s">
        <v>1364</v>
      </c>
      <c r="F629" t="s">
        <v>1454</v>
      </c>
      <c r="H629" t="s">
        <v>215</v>
      </c>
      <c r="I629" t="s">
        <v>206</v>
      </c>
      <c r="AF629" t="s">
        <v>1852</v>
      </c>
      <c r="AG629" t="s">
        <v>138</v>
      </c>
      <c r="AH629" t="b">
        <v>0</v>
      </c>
    </row>
    <row r="630" spans="1:34">
      <c r="A630" t="s">
        <v>1852</v>
      </c>
      <c r="B630" t="s">
        <v>1455</v>
      </c>
      <c r="C630" t="s">
        <v>1362</v>
      </c>
      <c r="D630" t="s">
        <v>1456</v>
      </c>
      <c r="E630" t="s">
        <v>1364</v>
      </c>
      <c r="F630" t="s">
        <v>1457</v>
      </c>
      <c r="AF630" t="s">
        <v>1852</v>
      </c>
      <c r="AG630" t="s">
        <v>138</v>
      </c>
      <c r="AH630" t="b">
        <v>0</v>
      </c>
    </row>
    <row r="631" spans="1:34">
      <c r="A631" t="s">
        <v>1852</v>
      </c>
      <c r="B631" t="s">
        <v>17</v>
      </c>
      <c r="C631" t="s">
        <v>1362</v>
      </c>
      <c r="D631" t="s">
        <v>1458</v>
      </c>
      <c r="E631" t="s">
        <v>1459</v>
      </c>
      <c r="F631" t="s">
        <v>1460</v>
      </c>
      <c r="AF631" t="s">
        <v>1852</v>
      </c>
      <c r="AG631" t="s">
        <v>138</v>
      </c>
      <c r="AH631" t="b">
        <v>0</v>
      </c>
    </row>
    <row r="632" spans="1:34">
      <c r="A632" t="s">
        <v>1852</v>
      </c>
      <c r="B632" t="s">
        <v>1461</v>
      </c>
      <c r="C632" t="s">
        <v>1462</v>
      </c>
      <c r="D632" t="s">
        <v>1463</v>
      </c>
      <c r="E632" t="s">
        <v>1464</v>
      </c>
      <c r="AF632" t="s">
        <v>1852</v>
      </c>
      <c r="AG632" t="s">
        <v>138</v>
      </c>
      <c r="AH632" t="b">
        <v>0</v>
      </c>
    </row>
    <row r="633" spans="1:34">
      <c r="A633" t="s">
        <v>1852</v>
      </c>
      <c r="B633" t="s">
        <v>1465</v>
      </c>
      <c r="C633" t="s">
        <v>1362</v>
      </c>
      <c r="D633" t="s">
        <v>1466</v>
      </c>
      <c r="F633" t="s">
        <v>1467</v>
      </c>
      <c r="AF633" t="s">
        <v>1852</v>
      </c>
      <c r="AG633" t="s">
        <v>138</v>
      </c>
      <c r="AH633" t="b">
        <v>0</v>
      </c>
    </row>
    <row r="634" spans="1:34">
      <c r="A634" t="s">
        <v>1852</v>
      </c>
      <c r="B634" t="s">
        <v>1468</v>
      </c>
      <c r="C634" t="s">
        <v>1462</v>
      </c>
      <c r="D634" t="s">
        <v>1469</v>
      </c>
      <c r="E634" t="s">
        <v>1464</v>
      </c>
      <c r="F634" t="s">
        <v>1470</v>
      </c>
      <c r="AF634" t="s">
        <v>1852</v>
      </c>
      <c r="AG634" t="s">
        <v>138</v>
      </c>
      <c r="AH634" t="b">
        <v>0</v>
      </c>
    </row>
    <row r="635" spans="1:34">
      <c r="A635" t="s">
        <v>1852</v>
      </c>
      <c r="B635" t="s">
        <v>1471</v>
      </c>
      <c r="C635" t="s">
        <v>1362</v>
      </c>
      <c r="D635" t="s">
        <v>1472</v>
      </c>
      <c r="E635" t="s">
        <v>1364</v>
      </c>
      <c r="F635" t="s">
        <v>1451</v>
      </c>
      <c r="AF635" t="s">
        <v>1852</v>
      </c>
      <c r="AG635" t="s">
        <v>138</v>
      </c>
      <c r="AH635" t="b">
        <v>0</v>
      </c>
    </row>
    <row r="636" spans="1:34">
      <c r="A636" t="s">
        <v>1852</v>
      </c>
      <c r="B636" t="s">
        <v>1473</v>
      </c>
      <c r="C636" t="s">
        <v>1362</v>
      </c>
      <c r="D636" t="s">
        <v>1474</v>
      </c>
      <c r="E636" t="s">
        <v>1364</v>
      </c>
      <c r="F636" t="s">
        <v>1475</v>
      </c>
      <c r="AF636" t="s">
        <v>1852</v>
      </c>
      <c r="AG636" t="s">
        <v>138</v>
      </c>
      <c r="AH636" t="b">
        <v>0</v>
      </c>
    </row>
    <row r="637" spans="1:34">
      <c r="A637" t="s">
        <v>1852</v>
      </c>
      <c r="B637" t="s">
        <v>1476</v>
      </c>
      <c r="C637" t="s">
        <v>1362</v>
      </c>
      <c r="D637" t="s">
        <v>1477</v>
      </c>
      <c r="E637" t="s">
        <v>1364</v>
      </c>
      <c r="F637" t="s">
        <v>1478</v>
      </c>
      <c r="AF637" t="s">
        <v>1852</v>
      </c>
      <c r="AG637" t="s">
        <v>138</v>
      </c>
      <c r="AH637" t="b">
        <v>0</v>
      </c>
    </row>
    <row r="638" spans="1:34">
      <c r="A638" t="s">
        <v>1852</v>
      </c>
      <c r="B638" t="s">
        <v>1479</v>
      </c>
      <c r="C638" t="s">
        <v>1362</v>
      </c>
      <c r="D638" t="s">
        <v>1480</v>
      </c>
      <c r="E638" t="s">
        <v>1364</v>
      </c>
      <c r="F638" t="s">
        <v>1481</v>
      </c>
      <c r="AF638" t="s">
        <v>1852</v>
      </c>
      <c r="AG638" t="s">
        <v>138</v>
      </c>
      <c r="AH638" t="b">
        <v>0</v>
      </c>
    </row>
    <row r="639" spans="1:34">
      <c r="A639" t="s">
        <v>1852</v>
      </c>
      <c r="B639" t="s">
        <v>1482</v>
      </c>
      <c r="C639" t="s">
        <v>1362</v>
      </c>
      <c r="D639" t="s">
        <v>1483</v>
      </c>
      <c r="E639" t="s">
        <v>1484</v>
      </c>
      <c r="F639" t="s">
        <v>1370</v>
      </c>
      <c r="AF639" t="s">
        <v>1852</v>
      </c>
      <c r="AG639" t="s">
        <v>138</v>
      </c>
      <c r="AH639" t="b">
        <v>0</v>
      </c>
    </row>
    <row r="640" spans="1:34">
      <c r="A640" t="s">
        <v>1852</v>
      </c>
      <c r="B640" t="s">
        <v>1485</v>
      </c>
      <c r="C640" t="s">
        <v>1362</v>
      </c>
      <c r="D640" t="s">
        <v>1486</v>
      </c>
      <c r="E640" t="s">
        <v>1364</v>
      </c>
      <c r="F640" t="s">
        <v>1487</v>
      </c>
      <c r="H640" t="s">
        <v>1856</v>
      </c>
      <c r="AF640" t="s">
        <v>1852</v>
      </c>
      <c r="AG640" t="s">
        <v>138</v>
      </c>
      <c r="AH640" t="b">
        <v>0</v>
      </c>
    </row>
    <row r="641" spans="1:34">
      <c r="A641" t="s">
        <v>1852</v>
      </c>
      <c r="B641" t="s">
        <v>1488</v>
      </c>
      <c r="C641" t="s">
        <v>1362</v>
      </c>
      <c r="D641" t="s">
        <v>1489</v>
      </c>
      <c r="E641" t="s">
        <v>1382</v>
      </c>
      <c r="F641" t="s">
        <v>1490</v>
      </c>
      <c r="H641" t="s">
        <v>209</v>
      </c>
      <c r="AF641" t="s">
        <v>1852</v>
      </c>
      <c r="AG641" t="s">
        <v>138</v>
      </c>
      <c r="AH641" t="b">
        <v>0</v>
      </c>
    </row>
    <row r="642" spans="1:34">
      <c r="A642" t="s">
        <v>1852</v>
      </c>
      <c r="B642" t="s">
        <v>1491</v>
      </c>
      <c r="C642" t="s">
        <v>1362</v>
      </c>
      <c r="D642" t="s">
        <v>1492</v>
      </c>
      <c r="E642" t="s">
        <v>1364</v>
      </c>
      <c r="F642" t="s">
        <v>1493</v>
      </c>
      <c r="H642" t="s">
        <v>211</v>
      </c>
      <c r="AF642" t="s">
        <v>1852</v>
      </c>
      <c r="AG642" t="s">
        <v>138</v>
      </c>
      <c r="AH642" t="b">
        <v>0</v>
      </c>
    </row>
    <row r="643" spans="1:34">
      <c r="A643" t="s">
        <v>1852</v>
      </c>
      <c r="B643" t="s">
        <v>1494</v>
      </c>
      <c r="C643" t="s">
        <v>1362</v>
      </c>
      <c r="D643" t="s">
        <v>1495</v>
      </c>
      <c r="E643" t="s">
        <v>1364</v>
      </c>
      <c r="F643" t="s">
        <v>1496</v>
      </c>
      <c r="H643" t="s">
        <v>206</v>
      </c>
      <c r="AF643" t="s">
        <v>1852</v>
      </c>
      <c r="AG643" t="s">
        <v>138</v>
      </c>
      <c r="AH643" t="b">
        <v>0</v>
      </c>
    </row>
    <row r="644" spans="1:34">
      <c r="A644" t="s">
        <v>1852</v>
      </c>
      <c r="B644" t="s">
        <v>1497</v>
      </c>
      <c r="C644" t="s">
        <v>1362</v>
      </c>
      <c r="D644" t="s">
        <v>1498</v>
      </c>
      <c r="E644" t="s">
        <v>1364</v>
      </c>
      <c r="F644" t="s">
        <v>1499</v>
      </c>
      <c r="H644" t="s">
        <v>214</v>
      </c>
      <c r="AF644" t="s">
        <v>1852</v>
      </c>
      <c r="AG644" t="s">
        <v>138</v>
      </c>
      <c r="AH644" t="b">
        <v>0</v>
      </c>
    </row>
    <row r="645" spans="1:34">
      <c r="A645" t="s">
        <v>1852</v>
      </c>
      <c r="B645" t="s">
        <v>1500</v>
      </c>
      <c r="C645" t="s">
        <v>1362</v>
      </c>
      <c r="D645" t="s">
        <v>1501</v>
      </c>
      <c r="E645" t="s">
        <v>1364</v>
      </c>
      <c r="F645" t="s">
        <v>1502</v>
      </c>
      <c r="AF645" t="s">
        <v>1852</v>
      </c>
      <c r="AG645" t="s">
        <v>138</v>
      </c>
      <c r="AH645" t="b">
        <v>0</v>
      </c>
    </row>
    <row r="646" spans="1:34">
      <c r="A646" t="s">
        <v>1852</v>
      </c>
      <c r="B646" t="s">
        <v>1503</v>
      </c>
      <c r="C646" t="s">
        <v>1362</v>
      </c>
      <c r="D646" t="s">
        <v>1504</v>
      </c>
      <c r="E646" t="s">
        <v>1364</v>
      </c>
      <c r="F646" t="s">
        <v>1505</v>
      </c>
      <c r="H646" t="s">
        <v>9</v>
      </c>
      <c r="AF646" t="s">
        <v>1852</v>
      </c>
      <c r="AG646" t="s">
        <v>138</v>
      </c>
      <c r="AH646" t="b">
        <v>0</v>
      </c>
    </row>
    <row r="647" spans="1:34">
      <c r="A647" t="s">
        <v>1852</v>
      </c>
      <c r="B647" t="s">
        <v>1506</v>
      </c>
      <c r="C647" t="s">
        <v>1462</v>
      </c>
      <c r="D647" t="s">
        <v>1507</v>
      </c>
      <c r="E647" t="s">
        <v>1464</v>
      </c>
      <c r="F647" t="s">
        <v>1395</v>
      </c>
      <c r="H647" t="s">
        <v>10</v>
      </c>
      <c r="AF647" t="s">
        <v>1852</v>
      </c>
      <c r="AG647" t="s">
        <v>138</v>
      </c>
      <c r="AH647" t="b">
        <v>0</v>
      </c>
    </row>
    <row r="648" spans="1:34">
      <c r="A648" t="s">
        <v>1852</v>
      </c>
      <c r="B648" t="s">
        <v>1508</v>
      </c>
      <c r="C648" t="s">
        <v>1362</v>
      </c>
      <c r="D648" t="s">
        <v>1509</v>
      </c>
      <c r="E648" t="s">
        <v>1364</v>
      </c>
      <c r="F648" t="s">
        <v>1510</v>
      </c>
      <c r="H648" t="s">
        <v>37</v>
      </c>
      <c r="AF648" t="s">
        <v>1852</v>
      </c>
      <c r="AG648" t="s">
        <v>138</v>
      </c>
      <c r="AH648" t="b">
        <v>0</v>
      </c>
    </row>
    <row r="649" spans="1:34">
      <c r="A649" t="s">
        <v>1852</v>
      </c>
      <c r="B649" t="s">
        <v>1511</v>
      </c>
      <c r="C649" t="s">
        <v>1362</v>
      </c>
      <c r="D649" t="s">
        <v>1512</v>
      </c>
      <c r="E649" t="s">
        <v>1364</v>
      </c>
      <c r="F649" t="s">
        <v>1513</v>
      </c>
      <c r="H649" t="s">
        <v>192</v>
      </c>
      <c r="AF649" t="s">
        <v>1852</v>
      </c>
      <c r="AG649" t="s">
        <v>138</v>
      </c>
      <c r="AH649" t="b">
        <v>0</v>
      </c>
    </row>
    <row r="650" spans="1:34">
      <c r="A650" t="s">
        <v>1852</v>
      </c>
      <c r="B650" t="s">
        <v>1514</v>
      </c>
      <c r="C650" t="s">
        <v>1362</v>
      </c>
      <c r="D650" t="s">
        <v>1515</v>
      </c>
      <c r="E650" t="s">
        <v>1382</v>
      </c>
      <c r="F650" t="s">
        <v>1392</v>
      </c>
      <c r="H650" t="s">
        <v>193</v>
      </c>
      <c r="AF650" t="s">
        <v>1852</v>
      </c>
      <c r="AG650" t="s">
        <v>138</v>
      </c>
      <c r="AH650" t="b">
        <v>0</v>
      </c>
    </row>
    <row r="651" spans="1:34">
      <c r="A651" t="s">
        <v>1852</v>
      </c>
      <c r="B651" t="s">
        <v>1516</v>
      </c>
      <c r="C651" t="s">
        <v>1462</v>
      </c>
      <c r="D651" t="s">
        <v>1517</v>
      </c>
      <c r="E651" t="s">
        <v>1464</v>
      </c>
      <c r="F651" t="s">
        <v>1518</v>
      </c>
      <c r="H651" t="s">
        <v>194</v>
      </c>
      <c r="AF651" t="s">
        <v>1852</v>
      </c>
      <c r="AG651" t="s">
        <v>138</v>
      </c>
      <c r="AH651" t="b">
        <v>0</v>
      </c>
    </row>
    <row r="652" spans="1:34">
      <c r="A652" t="s">
        <v>1852</v>
      </c>
      <c r="B652" t="s">
        <v>1519</v>
      </c>
      <c r="C652" t="s">
        <v>1362</v>
      </c>
      <c r="D652" t="s">
        <v>1520</v>
      </c>
      <c r="E652" t="s">
        <v>1364</v>
      </c>
      <c r="F652" t="s">
        <v>1521</v>
      </c>
      <c r="AF652" t="s">
        <v>1852</v>
      </c>
      <c r="AG652" t="s">
        <v>138</v>
      </c>
      <c r="AH652" t="b">
        <v>0</v>
      </c>
    </row>
    <row r="653" spans="1:34">
      <c r="A653" t="s">
        <v>1852</v>
      </c>
      <c r="B653" t="s">
        <v>1522</v>
      </c>
      <c r="C653" t="s">
        <v>1462</v>
      </c>
      <c r="D653" t="s">
        <v>1523</v>
      </c>
      <c r="E653" t="s">
        <v>1464</v>
      </c>
      <c r="F653" t="s">
        <v>1389</v>
      </c>
      <c r="H653" t="s">
        <v>11</v>
      </c>
      <c r="AF653" t="s">
        <v>1852</v>
      </c>
      <c r="AG653" t="s">
        <v>138</v>
      </c>
      <c r="AH653" t="b">
        <v>0</v>
      </c>
    </row>
    <row r="654" spans="1:34">
      <c r="A654" t="s">
        <v>1852</v>
      </c>
      <c r="B654" t="s">
        <v>1524</v>
      </c>
      <c r="C654" t="s">
        <v>1362</v>
      </c>
      <c r="D654" t="s">
        <v>1525</v>
      </c>
      <c r="E654" t="s">
        <v>1382</v>
      </c>
      <c r="F654" t="s">
        <v>1383</v>
      </c>
      <c r="H654" t="s">
        <v>12</v>
      </c>
      <c r="AF654" t="s">
        <v>1852</v>
      </c>
      <c r="AG654" t="s">
        <v>138</v>
      </c>
      <c r="AH654" t="b">
        <v>0</v>
      </c>
    </row>
    <row r="655" spans="1:34">
      <c r="A655" t="s">
        <v>1852</v>
      </c>
      <c r="B655" t="s">
        <v>1526</v>
      </c>
      <c r="C655" t="s">
        <v>1362</v>
      </c>
      <c r="D655" t="s">
        <v>1527</v>
      </c>
      <c r="E655" t="s">
        <v>1364</v>
      </c>
      <c r="F655" t="s">
        <v>1383</v>
      </c>
      <c r="H655" t="s">
        <v>196</v>
      </c>
      <c r="AF655" t="s">
        <v>1852</v>
      </c>
      <c r="AG655" t="s">
        <v>138</v>
      </c>
      <c r="AH655" t="b">
        <v>0</v>
      </c>
    </row>
    <row r="656" spans="1:34">
      <c r="A656" t="s">
        <v>1852</v>
      </c>
      <c r="B656" t="s">
        <v>1528</v>
      </c>
      <c r="C656" t="s">
        <v>1362</v>
      </c>
      <c r="D656" t="s">
        <v>1529</v>
      </c>
      <c r="E656" t="s">
        <v>1364</v>
      </c>
      <c r="F656" t="s">
        <v>1373</v>
      </c>
      <c r="H656" t="s">
        <v>197</v>
      </c>
      <c r="AF656" t="s">
        <v>1852</v>
      </c>
      <c r="AG656" t="s">
        <v>138</v>
      </c>
      <c r="AH656" t="b">
        <v>0</v>
      </c>
    </row>
    <row r="657" spans="1:34">
      <c r="A657" t="s">
        <v>1852</v>
      </c>
      <c r="B657" t="s">
        <v>1530</v>
      </c>
      <c r="C657" t="s">
        <v>1362</v>
      </c>
      <c r="D657" t="s">
        <v>1531</v>
      </c>
      <c r="E657" t="s">
        <v>1407</v>
      </c>
      <c r="F657" t="s">
        <v>1532</v>
      </c>
      <c r="H657" t="s">
        <v>198</v>
      </c>
      <c r="AF657" t="s">
        <v>1852</v>
      </c>
      <c r="AG657" t="s">
        <v>138</v>
      </c>
      <c r="AH657" t="b">
        <v>0</v>
      </c>
    </row>
    <row r="658" spans="1:34">
      <c r="A658" t="s">
        <v>1852</v>
      </c>
      <c r="B658" t="s">
        <v>1533</v>
      </c>
      <c r="C658" t="s">
        <v>1362</v>
      </c>
      <c r="D658" t="s">
        <v>1534</v>
      </c>
      <c r="E658" t="s">
        <v>1484</v>
      </c>
      <c r="F658" t="s">
        <v>1379</v>
      </c>
      <c r="AF658" t="s">
        <v>1852</v>
      </c>
      <c r="AG658" t="s">
        <v>138</v>
      </c>
      <c r="AH658" t="b">
        <v>0</v>
      </c>
    </row>
    <row r="659" spans="1:34">
      <c r="A659" t="s">
        <v>1852</v>
      </c>
      <c r="B659" t="s">
        <v>1535</v>
      </c>
      <c r="C659" t="s">
        <v>1462</v>
      </c>
      <c r="D659" t="s">
        <v>1536</v>
      </c>
      <c r="E659" t="s">
        <v>1464</v>
      </c>
      <c r="F659" t="s">
        <v>1537</v>
      </c>
      <c r="AF659" t="s">
        <v>1852</v>
      </c>
      <c r="AG659" t="s">
        <v>138</v>
      </c>
      <c r="AH659" t="b">
        <v>0</v>
      </c>
    </row>
    <row r="660" spans="1:34">
      <c r="A660" t="s">
        <v>1852</v>
      </c>
      <c r="B660" t="s">
        <v>1538</v>
      </c>
      <c r="C660" t="s">
        <v>1462</v>
      </c>
      <c r="D660" t="s">
        <v>1539</v>
      </c>
      <c r="E660" t="s">
        <v>1464</v>
      </c>
      <c r="F660" t="s">
        <v>1454</v>
      </c>
      <c r="AF660" t="s">
        <v>1852</v>
      </c>
      <c r="AG660" t="s">
        <v>138</v>
      </c>
      <c r="AH660" t="b">
        <v>0</v>
      </c>
    </row>
    <row r="661" spans="1:34">
      <c r="A661" t="s">
        <v>1852</v>
      </c>
      <c r="B661" t="s">
        <v>1540</v>
      </c>
      <c r="C661" t="s">
        <v>1362</v>
      </c>
      <c r="D661" t="s">
        <v>1541</v>
      </c>
      <c r="E661" t="s">
        <v>1364</v>
      </c>
      <c r="F661" t="s">
        <v>1542</v>
      </c>
      <c r="AF661" t="s">
        <v>1852</v>
      </c>
      <c r="AG661" t="s">
        <v>138</v>
      </c>
      <c r="AH661" t="b">
        <v>0</v>
      </c>
    </row>
    <row r="662" spans="1:34">
      <c r="A662" t="s">
        <v>1852</v>
      </c>
      <c r="B662" t="s">
        <v>1543</v>
      </c>
      <c r="C662" t="s">
        <v>1462</v>
      </c>
      <c r="D662" t="s">
        <v>1544</v>
      </c>
      <c r="E662" t="s">
        <v>1464</v>
      </c>
      <c r="F662" t="s">
        <v>1379</v>
      </c>
      <c r="AF662" t="s">
        <v>1852</v>
      </c>
      <c r="AG662" t="s">
        <v>138</v>
      </c>
      <c r="AH662" t="b">
        <v>0</v>
      </c>
    </row>
    <row r="663" spans="1:34">
      <c r="A663" t="s">
        <v>1852</v>
      </c>
      <c r="B663" t="s">
        <v>1545</v>
      </c>
      <c r="C663" t="s">
        <v>1362</v>
      </c>
      <c r="D663" t="s">
        <v>1546</v>
      </c>
      <c r="E663" t="s">
        <v>1364</v>
      </c>
      <c r="F663" t="s">
        <v>1547</v>
      </c>
      <c r="AF663" t="s">
        <v>1852</v>
      </c>
      <c r="AG663" t="s">
        <v>138</v>
      </c>
      <c r="AH663" t="b">
        <v>0</v>
      </c>
    </row>
    <row r="664" spans="1:34">
      <c r="A664" t="s">
        <v>1852</v>
      </c>
      <c r="B664" t="s">
        <v>1548</v>
      </c>
      <c r="C664" t="s">
        <v>1362</v>
      </c>
      <c r="D664" t="s">
        <v>1549</v>
      </c>
      <c r="E664" t="s">
        <v>1407</v>
      </c>
      <c r="F664" t="s">
        <v>1404</v>
      </c>
      <c r="AF664" t="s">
        <v>1852</v>
      </c>
      <c r="AG664" t="s">
        <v>138</v>
      </c>
      <c r="AH664" t="b">
        <v>0</v>
      </c>
    </row>
    <row r="665" spans="1:34">
      <c r="A665" t="s">
        <v>1852</v>
      </c>
      <c r="B665" t="s">
        <v>1550</v>
      </c>
      <c r="C665" t="s">
        <v>1362</v>
      </c>
      <c r="D665" t="s">
        <v>1551</v>
      </c>
      <c r="E665" t="s">
        <v>1364</v>
      </c>
      <c r="F665" t="s">
        <v>1416</v>
      </c>
      <c r="AF665" t="s">
        <v>1852</v>
      </c>
      <c r="AG665" t="s">
        <v>138</v>
      </c>
      <c r="AH665" t="b">
        <v>0</v>
      </c>
    </row>
    <row r="666" spans="1:34">
      <c r="A666" t="s">
        <v>1852</v>
      </c>
      <c r="B666" t="s">
        <v>1552</v>
      </c>
      <c r="C666" t="s">
        <v>1362</v>
      </c>
      <c r="D666" t="s">
        <v>1553</v>
      </c>
      <c r="E666" t="s">
        <v>1407</v>
      </c>
      <c r="F666" t="s">
        <v>1554</v>
      </c>
      <c r="AF666" t="s">
        <v>1852</v>
      </c>
      <c r="AG666" t="s">
        <v>138</v>
      </c>
      <c r="AH666" t="b">
        <v>0</v>
      </c>
    </row>
    <row r="667" spans="1:34">
      <c r="A667" t="s">
        <v>1852</v>
      </c>
      <c r="B667" t="s">
        <v>1555</v>
      </c>
      <c r="C667" t="s">
        <v>1362</v>
      </c>
      <c r="D667" t="s">
        <v>1556</v>
      </c>
      <c r="E667" t="s">
        <v>1364</v>
      </c>
      <c r="F667" t="s">
        <v>1395</v>
      </c>
      <c r="AF667" t="s">
        <v>1852</v>
      </c>
      <c r="AG667" t="s">
        <v>138</v>
      </c>
      <c r="AH667" t="b">
        <v>0</v>
      </c>
    </row>
    <row r="668" spans="1:34">
      <c r="A668" t="s">
        <v>1852</v>
      </c>
      <c r="B668" t="s">
        <v>1557</v>
      </c>
      <c r="C668" t="s">
        <v>1362</v>
      </c>
      <c r="D668" t="s">
        <v>1558</v>
      </c>
      <c r="E668" t="s">
        <v>1407</v>
      </c>
      <c r="F668" t="s">
        <v>1559</v>
      </c>
      <c r="AF668" t="s">
        <v>1852</v>
      </c>
      <c r="AG668" t="s">
        <v>138</v>
      </c>
      <c r="AH668" t="b">
        <v>0</v>
      </c>
    </row>
    <row r="669" spans="1:34">
      <c r="A669" t="s">
        <v>1852</v>
      </c>
      <c r="B669" t="s">
        <v>1560</v>
      </c>
      <c r="C669" t="s">
        <v>1462</v>
      </c>
      <c r="D669" t="s">
        <v>1561</v>
      </c>
      <c r="E669" t="s">
        <v>1464</v>
      </c>
      <c r="F669" t="s">
        <v>1562</v>
      </c>
      <c r="AF669" t="s">
        <v>1852</v>
      </c>
      <c r="AG669" t="s">
        <v>138</v>
      </c>
      <c r="AH669" t="b">
        <v>0</v>
      </c>
    </row>
    <row r="670" spans="1:34">
      <c r="A670" t="s">
        <v>1852</v>
      </c>
      <c r="B670" t="s">
        <v>1563</v>
      </c>
      <c r="C670" t="s">
        <v>1362</v>
      </c>
      <c r="D670" t="s">
        <v>1564</v>
      </c>
      <c r="E670" t="s">
        <v>1382</v>
      </c>
      <c r="F670" t="s">
        <v>1565</v>
      </c>
      <c r="AF670" t="s">
        <v>1852</v>
      </c>
      <c r="AG670" t="s">
        <v>138</v>
      </c>
      <c r="AH670" t="b">
        <v>0</v>
      </c>
    </row>
    <row r="671" spans="1:34">
      <c r="A671" t="s">
        <v>1852</v>
      </c>
      <c r="B671" t="s">
        <v>1566</v>
      </c>
      <c r="C671" t="s">
        <v>1362</v>
      </c>
      <c r="D671" t="s">
        <v>1567</v>
      </c>
      <c r="E671" t="s">
        <v>1407</v>
      </c>
      <c r="F671" t="s">
        <v>1568</v>
      </c>
      <c r="AF671" t="s">
        <v>1852</v>
      </c>
      <c r="AG671" t="s">
        <v>138</v>
      </c>
      <c r="AH671" t="b">
        <v>0</v>
      </c>
    </row>
    <row r="672" spans="1:34">
      <c r="A672" t="s">
        <v>1852</v>
      </c>
      <c r="B672" t="s">
        <v>1569</v>
      </c>
      <c r="C672" t="s">
        <v>1362</v>
      </c>
      <c r="D672" t="s">
        <v>1570</v>
      </c>
      <c r="E672" t="s">
        <v>1364</v>
      </c>
      <c r="F672" t="s">
        <v>1383</v>
      </c>
      <c r="AF672" t="s">
        <v>1852</v>
      </c>
      <c r="AG672" t="s">
        <v>138</v>
      </c>
      <c r="AH672" t="b">
        <v>0</v>
      </c>
    </row>
    <row r="673" spans="1:34">
      <c r="A673" t="s">
        <v>1852</v>
      </c>
      <c r="B673" t="s">
        <v>1571</v>
      </c>
      <c r="C673" t="s">
        <v>1362</v>
      </c>
      <c r="D673" t="s">
        <v>1572</v>
      </c>
      <c r="E673" t="s">
        <v>1364</v>
      </c>
      <c r="F673" t="s">
        <v>1573</v>
      </c>
      <c r="AF673" t="s">
        <v>1852</v>
      </c>
      <c r="AG673" t="s">
        <v>138</v>
      </c>
      <c r="AH673" t="b">
        <v>0</v>
      </c>
    </row>
    <row r="674" spans="1:34">
      <c r="A674" t="s">
        <v>1852</v>
      </c>
      <c r="B674" t="s">
        <v>1574</v>
      </c>
      <c r="C674" t="s">
        <v>1362</v>
      </c>
      <c r="D674" t="s">
        <v>1575</v>
      </c>
      <c r="E674" t="s">
        <v>1364</v>
      </c>
      <c r="F674" t="s">
        <v>1487</v>
      </c>
      <c r="AF674" t="s">
        <v>1852</v>
      </c>
      <c r="AG674" t="s">
        <v>138</v>
      </c>
      <c r="AH674" t="b">
        <v>0</v>
      </c>
    </row>
    <row r="675" spans="1:34">
      <c r="A675" t="s">
        <v>1852</v>
      </c>
      <c r="B675" t="s">
        <v>1576</v>
      </c>
      <c r="C675" t="s">
        <v>1462</v>
      </c>
      <c r="D675" t="s">
        <v>1577</v>
      </c>
      <c r="E675" t="s">
        <v>1464</v>
      </c>
      <c r="F675" t="s">
        <v>1457</v>
      </c>
      <c r="AF675" t="s">
        <v>1852</v>
      </c>
      <c r="AG675" t="s">
        <v>138</v>
      </c>
      <c r="AH675" t="b">
        <v>0</v>
      </c>
    </row>
    <row r="676" spans="1:34">
      <c r="A676" t="s">
        <v>1852</v>
      </c>
      <c r="B676" t="s">
        <v>1578</v>
      </c>
      <c r="C676" t="s">
        <v>1362</v>
      </c>
      <c r="D676" t="s">
        <v>1579</v>
      </c>
      <c r="E676" t="s">
        <v>1364</v>
      </c>
      <c r="F676" t="s">
        <v>1383</v>
      </c>
      <c r="AF676" t="s">
        <v>1852</v>
      </c>
      <c r="AG676" t="s">
        <v>138</v>
      </c>
      <c r="AH676" t="b">
        <v>0</v>
      </c>
    </row>
    <row r="677" spans="1:34">
      <c r="A677" t="s">
        <v>1852</v>
      </c>
      <c r="B677" t="s">
        <v>1580</v>
      </c>
      <c r="C677" t="s">
        <v>1362</v>
      </c>
      <c r="D677" t="s">
        <v>1581</v>
      </c>
      <c r="E677" t="s">
        <v>1364</v>
      </c>
      <c r="F677" t="s">
        <v>1582</v>
      </c>
      <c r="AF677" t="s">
        <v>1852</v>
      </c>
      <c r="AG677" t="s">
        <v>138</v>
      </c>
      <c r="AH677" t="b">
        <v>0</v>
      </c>
    </row>
    <row r="678" spans="1:34">
      <c r="A678" t="s">
        <v>1852</v>
      </c>
      <c r="B678" t="s">
        <v>1583</v>
      </c>
      <c r="C678" t="s">
        <v>1362</v>
      </c>
      <c r="D678" t="s">
        <v>1584</v>
      </c>
      <c r="E678" t="s">
        <v>1382</v>
      </c>
      <c r="F678" t="s">
        <v>1585</v>
      </c>
      <c r="AF678" t="s">
        <v>1852</v>
      </c>
      <c r="AG678" t="s">
        <v>138</v>
      </c>
      <c r="AH678" t="b">
        <v>0</v>
      </c>
    </row>
    <row r="679" spans="1:34">
      <c r="A679" t="s">
        <v>1852</v>
      </c>
      <c r="B679" t="s">
        <v>1586</v>
      </c>
      <c r="C679" t="s">
        <v>1362</v>
      </c>
      <c r="D679" t="s">
        <v>1587</v>
      </c>
      <c r="E679" t="s">
        <v>1364</v>
      </c>
      <c r="F679" t="s">
        <v>1588</v>
      </c>
      <c r="AF679" t="s">
        <v>1852</v>
      </c>
      <c r="AG679" t="s">
        <v>138</v>
      </c>
      <c r="AH679" t="b">
        <v>0</v>
      </c>
    </row>
    <row r="680" spans="1:34">
      <c r="A680" t="s">
        <v>1852</v>
      </c>
      <c r="B680" t="s">
        <v>1589</v>
      </c>
      <c r="C680" t="s">
        <v>1362</v>
      </c>
      <c r="D680" t="s">
        <v>1590</v>
      </c>
      <c r="E680" t="s">
        <v>1364</v>
      </c>
      <c r="F680" t="s">
        <v>1591</v>
      </c>
      <c r="AF680" t="s">
        <v>1852</v>
      </c>
      <c r="AG680" t="s">
        <v>138</v>
      </c>
      <c r="AH680" t="b">
        <v>0</v>
      </c>
    </row>
    <row r="681" spans="1:34">
      <c r="A681" t="s">
        <v>1852</v>
      </c>
      <c r="B681" t="s">
        <v>1592</v>
      </c>
      <c r="C681" t="s">
        <v>1362</v>
      </c>
      <c r="D681" t="s">
        <v>1593</v>
      </c>
      <c r="E681" t="s">
        <v>1364</v>
      </c>
      <c r="F681" t="s">
        <v>1594</v>
      </c>
      <c r="AF681" t="s">
        <v>1852</v>
      </c>
      <c r="AG681" t="s">
        <v>138</v>
      </c>
      <c r="AH681" t="b">
        <v>0</v>
      </c>
    </row>
    <row r="682" spans="1:34">
      <c r="A682" t="s">
        <v>1852</v>
      </c>
      <c r="B682" t="s">
        <v>1595</v>
      </c>
      <c r="C682" t="s">
        <v>1362</v>
      </c>
      <c r="D682" t="s">
        <v>1596</v>
      </c>
      <c r="E682" t="s">
        <v>1382</v>
      </c>
      <c r="F682" t="s">
        <v>1597</v>
      </c>
      <c r="AF682" t="s">
        <v>1852</v>
      </c>
      <c r="AG682" t="s">
        <v>138</v>
      </c>
      <c r="AH682" t="b">
        <v>0</v>
      </c>
    </row>
    <row r="683" spans="1:34">
      <c r="A683" t="s">
        <v>1852</v>
      </c>
      <c r="B683" t="s">
        <v>1598</v>
      </c>
      <c r="C683" t="s">
        <v>1362</v>
      </c>
      <c r="D683" t="s">
        <v>1599</v>
      </c>
      <c r="E683" t="s">
        <v>1364</v>
      </c>
      <c r="F683" t="s">
        <v>1600</v>
      </c>
      <c r="AF683" t="s">
        <v>1852</v>
      </c>
      <c r="AG683" t="s">
        <v>138</v>
      </c>
      <c r="AH683" t="b">
        <v>0</v>
      </c>
    </row>
    <row r="684" spans="1:34">
      <c r="A684" t="s">
        <v>1852</v>
      </c>
      <c r="B684" t="s">
        <v>1601</v>
      </c>
      <c r="C684" t="s">
        <v>1362</v>
      </c>
      <c r="D684" t="s">
        <v>1602</v>
      </c>
      <c r="E684" t="s">
        <v>1382</v>
      </c>
      <c r="F684" t="s">
        <v>1597</v>
      </c>
      <c r="AF684" t="s">
        <v>1852</v>
      </c>
      <c r="AG684" t="s">
        <v>138</v>
      </c>
      <c r="AH684" t="b">
        <v>0</v>
      </c>
    </row>
    <row r="685" spans="1:34">
      <c r="A685" t="s">
        <v>1852</v>
      </c>
      <c r="B685" t="s">
        <v>1603</v>
      </c>
      <c r="C685" t="s">
        <v>1362</v>
      </c>
      <c r="D685" t="s">
        <v>1604</v>
      </c>
      <c r="E685" t="s">
        <v>1605</v>
      </c>
      <c r="F685" t="s">
        <v>1383</v>
      </c>
      <c r="AF685" t="s">
        <v>1852</v>
      </c>
      <c r="AG685" t="s">
        <v>138</v>
      </c>
      <c r="AH685" t="b">
        <v>0</v>
      </c>
    </row>
    <row r="686" spans="1:34">
      <c r="A686" t="s">
        <v>1852</v>
      </c>
      <c r="B686" t="s">
        <v>1606</v>
      </c>
      <c r="C686" t="s">
        <v>1462</v>
      </c>
      <c r="D686" t="s">
        <v>1607</v>
      </c>
      <c r="E686" t="s">
        <v>1464</v>
      </c>
      <c r="F686" t="s">
        <v>1608</v>
      </c>
      <c r="AF686" t="s">
        <v>1852</v>
      </c>
      <c r="AG686" t="s">
        <v>138</v>
      </c>
      <c r="AH686" t="b">
        <v>0</v>
      </c>
    </row>
    <row r="687" spans="1:34">
      <c r="A687" t="s">
        <v>1852</v>
      </c>
      <c r="B687" t="s">
        <v>1609</v>
      </c>
      <c r="C687" t="s">
        <v>1362</v>
      </c>
      <c r="D687" t="s">
        <v>1610</v>
      </c>
      <c r="E687" t="s">
        <v>1459</v>
      </c>
      <c r="F687" t="s">
        <v>1420</v>
      </c>
      <c r="AF687" t="s">
        <v>1852</v>
      </c>
      <c r="AG687" t="s">
        <v>138</v>
      </c>
      <c r="AH687" t="b">
        <v>0</v>
      </c>
    </row>
    <row r="688" spans="1:34">
      <c r="A688" t="s">
        <v>1852</v>
      </c>
      <c r="B688" t="s">
        <v>1611</v>
      </c>
      <c r="C688" t="s">
        <v>1362</v>
      </c>
      <c r="D688" t="s">
        <v>1612</v>
      </c>
      <c r="E688" t="s">
        <v>1364</v>
      </c>
      <c r="F688" t="s">
        <v>1613</v>
      </c>
      <c r="AF688" t="s">
        <v>1852</v>
      </c>
      <c r="AG688" t="s">
        <v>138</v>
      </c>
      <c r="AH688" t="b">
        <v>0</v>
      </c>
    </row>
    <row r="689" spans="1:34">
      <c r="A689" t="s">
        <v>1852</v>
      </c>
      <c r="B689" t="s">
        <v>1614</v>
      </c>
      <c r="C689" t="s">
        <v>1462</v>
      </c>
      <c r="D689" t="s">
        <v>1615</v>
      </c>
      <c r="E689" t="s">
        <v>1464</v>
      </c>
      <c r="F689" t="s">
        <v>1467</v>
      </c>
      <c r="AF689" t="s">
        <v>1852</v>
      </c>
      <c r="AG689" t="s">
        <v>138</v>
      </c>
      <c r="AH689" t="b">
        <v>0</v>
      </c>
    </row>
    <row r="690" spans="1:34">
      <c r="A690" t="s">
        <v>1852</v>
      </c>
      <c r="B690" t="s">
        <v>1616</v>
      </c>
      <c r="C690" t="s">
        <v>1362</v>
      </c>
      <c r="D690" t="s">
        <v>1617</v>
      </c>
      <c r="E690" t="s">
        <v>1364</v>
      </c>
      <c r="F690" t="s">
        <v>1562</v>
      </c>
      <c r="AF690" t="s">
        <v>1852</v>
      </c>
      <c r="AG690" t="s">
        <v>138</v>
      </c>
      <c r="AH690" t="b">
        <v>0</v>
      </c>
    </row>
    <row r="691" spans="1:34">
      <c r="A691" t="s">
        <v>1852</v>
      </c>
      <c r="B691" t="s">
        <v>1618</v>
      </c>
      <c r="C691" t="s">
        <v>1362</v>
      </c>
      <c r="D691" t="s">
        <v>1619</v>
      </c>
      <c r="E691" t="s">
        <v>1364</v>
      </c>
      <c r="F691" t="s">
        <v>1490</v>
      </c>
      <c r="AF691" t="s">
        <v>1852</v>
      </c>
      <c r="AG691" t="s">
        <v>138</v>
      </c>
      <c r="AH691" t="b">
        <v>0</v>
      </c>
    </row>
    <row r="692" spans="1:34">
      <c r="A692" t="s">
        <v>1852</v>
      </c>
      <c r="B692" t="s">
        <v>1620</v>
      </c>
      <c r="C692" t="s">
        <v>1362</v>
      </c>
      <c r="D692" t="s">
        <v>1621</v>
      </c>
      <c r="E692" t="s">
        <v>1364</v>
      </c>
      <c r="F692" t="s">
        <v>1622</v>
      </c>
      <c r="AF692" t="s">
        <v>1852</v>
      </c>
      <c r="AG692" t="s">
        <v>138</v>
      </c>
      <c r="AH692" t="b">
        <v>0</v>
      </c>
    </row>
    <row r="693" spans="1:34">
      <c r="A693" t="s">
        <v>1852</v>
      </c>
      <c r="B693" t="s">
        <v>1623</v>
      </c>
      <c r="C693" t="s">
        <v>1362</v>
      </c>
      <c r="D693" t="s">
        <v>1624</v>
      </c>
      <c r="E693" t="s">
        <v>1364</v>
      </c>
      <c r="F693" t="s">
        <v>1625</v>
      </c>
      <c r="AF693" t="s">
        <v>1852</v>
      </c>
      <c r="AG693" t="s">
        <v>138</v>
      </c>
      <c r="AH693" t="b">
        <v>0</v>
      </c>
    </row>
    <row r="694" spans="1:34">
      <c r="A694" t="s">
        <v>1852</v>
      </c>
      <c r="B694" t="s">
        <v>1626</v>
      </c>
      <c r="C694" t="s">
        <v>1362</v>
      </c>
      <c r="D694" t="s">
        <v>1627</v>
      </c>
      <c r="E694" t="s">
        <v>1484</v>
      </c>
      <c r="F694" t="s">
        <v>1379</v>
      </c>
      <c r="AF694" t="s">
        <v>1852</v>
      </c>
      <c r="AG694" t="s">
        <v>138</v>
      </c>
      <c r="AH694" t="b">
        <v>0</v>
      </c>
    </row>
    <row r="695" spans="1:34">
      <c r="A695" t="s">
        <v>1852</v>
      </c>
      <c r="B695" t="s">
        <v>1628</v>
      </c>
      <c r="C695" t="s">
        <v>1362</v>
      </c>
      <c r="D695" t="s">
        <v>1629</v>
      </c>
      <c r="E695" t="s">
        <v>1364</v>
      </c>
      <c r="F695" t="s">
        <v>1630</v>
      </c>
      <c r="AF695" t="s">
        <v>1852</v>
      </c>
      <c r="AG695" t="s">
        <v>138</v>
      </c>
      <c r="AH695" t="b">
        <v>0</v>
      </c>
    </row>
    <row r="696" spans="1:34">
      <c r="A696" t="s">
        <v>1852</v>
      </c>
      <c r="B696" t="s">
        <v>1631</v>
      </c>
      <c r="C696" t="s">
        <v>1362</v>
      </c>
      <c r="D696" t="s">
        <v>1632</v>
      </c>
      <c r="E696" t="s">
        <v>1364</v>
      </c>
      <c r="F696" t="s">
        <v>1630</v>
      </c>
      <c r="AF696" t="s">
        <v>1852</v>
      </c>
      <c r="AG696" t="s">
        <v>138</v>
      </c>
      <c r="AH696" t="b">
        <v>0</v>
      </c>
    </row>
    <row r="697" spans="1:34">
      <c r="A697" t="s">
        <v>1852</v>
      </c>
      <c r="B697" t="s">
        <v>1633</v>
      </c>
      <c r="C697" t="s">
        <v>1362</v>
      </c>
      <c r="D697" t="s">
        <v>1634</v>
      </c>
      <c r="E697" t="s">
        <v>1364</v>
      </c>
      <c r="F697" t="s">
        <v>1600</v>
      </c>
      <c r="AF697" t="s">
        <v>1852</v>
      </c>
      <c r="AG697" t="s">
        <v>138</v>
      </c>
      <c r="AH697" t="b">
        <v>0</v>
      </c>
    </row>
    <row r="698" spans="1:34">
      <c r="A698" t="s">
        <v>1852</v>
      </c>
      <c r="B698" t="s">
        <v>1635</v>
      </c>
      <c r="C698" t="s">
        <v>1362</v>
      </c>
      <c r="D698" t="s">
        <v>1636</v>
      </c>
      <c r="E698" t="s">
        <v>1605</v>
      </c>
      <c r="F698" t="s">
        <v>1383</v>
      </c>
      <c r="AF698" t="s">
        <v>1852</v>
      </c>
      <c r="AG698" t="s">
        <v>138</v>
      </c>
      <c r="AH698" t="b">
        <v>0</v>
      </c>
    </row>
    <row r="699" spans="1:34">
      <c r="A699" t="s">
        <v>1852</v>
      </c>
      <c r="B699" t="s">
        <v>1637</v>
      </c>
      <c r="C699" t="s">
        <v>1362</v>
      </c>
      <c r="D699" t="s">
        <v>1638</v>
      </c>
      <c r="E699" t="s">
        <v>1364</v>
      </c>
      <c r="F699" t="s">
        <v>1639</v>
      </c>
      <c r="AF699" t="s">
        <v>1852</v>
      </c>
      <c r="AG699" t="s">
        <v>138</v>
      </c>
      <c r="AH699" t="b">
        <v>0</v>
      </c>
    </row>
    <row r="700" spans="1:34">
      <c r="A700" t="s">
        <v>1852</v>
      </c>
      <c r="B700" t="s">
        <v>1640</v>
      </c>
      <c r="C700" t="s">
        <v>1362</v>
      </c>
      <c r="D700" t="s">
        <v>1641</v>
      </c>
      <c r="E700" t="s">
        <v>1382</v>
      </c>
      <c r="F700" t="s">
        <v>1642</v>
      </c>
      <c r="AF700" t="s">
        <v>1852</v>
      </c>
      <c r="AG700" t="s">
        <v>138</v>
      </c>
      <c r="AH700" t="b">
        <v>0</v>
      </c>
    </row>
    <row r="701" spans="1:34">
      <c r="A701" t="s">
        <v>1852</v>
      </c>
      <c r="B701" t="s">
        <v>1643</v>
      </c>
      <c r="C701" t="s">
        <v>1362</v>
      </c>
      <c r="D701" t="s">
        <v>1644</v>
      </c>
      <c r="E701" t="s">
        <v>1364</v>
      </c>
      <c r="F701" t="s">
        <v>1379</v>
      </c>
      <c r="AF701" t="s">
        <v>1852</v>
      </c>
      <c r="AG701" t="s">
        <v>138</v>
      </c>
      <c r="AH701" t="b">
        <v>0</v>
      </c>
    </row>
    <row r="702" spans="1:34">
      <c r="A702" t="s">
        <v>1852</v>
      </c>
      <c r="B702" t="s">
        <v>1645</v>
      </c>
      <c r="C702" t="s">
        <v>1362</v>
      </c>
      <c r="D702" t="s">
        <v>1646</v>
      </c>
      <c r="E702" t="s">
        <v>1382</v>
      </c>
      <c r="F702" t="s">
        <v>1490</v>
      </c>
      <c r="AF702" t="s">
        <v>1852</v>
      </c>
      <c r="AG702" t="s">
        <v>138</v>
      </c>
      <c r="AH702" t="b">
        <v>0</v>
      </c>
    </row>
    <row r="703" spans="1:34">
      <c r="A703" t="s">
        <v>1852</v>
      </c>
      <c r="B703" t="s">
        <v>1647</v>
      </c>
      <c r="C703" t="s">
        <v>1462</v>
      </c>
      <c r="D703" t="s">
        <v>1648</v>
      </c>
      <c r="E703" t="s">
        <v>1464</v>
      </c>
      <c r="F703" t="s">
        <v>1649</v>
      </c>
      <c r="AF703" t="s">
        <v>1852</v>
      </c>
      <c r="AG703" t="s">
        <v>138</v>
      </c>
      <c r="AH703" t="b">
        <v>0</v>
      </c>
    </row>
    <row r="704" spans="1:34">
      <c r="A704" t="s">
        <v>1852</v>
      </c>
      <c r="B704" t="s">
        <v>42</v>
      </c>
      <c r="C704" t="s">
        <v>1362</v>
      </c>
      <c r="D704" t="s">
        <v>1650</v>
      </c>
      <c r="E704" t="s">
        <v>1364</v>
      </c>
      <c r="F704" t="s">
        <v>1651</v>
      </c>
      <c r="AF704" t="s">
        <v>1852</v>
      </c>
      <c r="AG704" t="s">
        <v>138</v>
      </c>
      <c r="AH704" t="b">
        <v>0</v>
      </c>
    </row>
    <row r="705" spans="1:34">
      <c r="A705" t="s">
        <v>1852</v>
      </c>
      <c r="B705" t="s">
        <v>1652</v>
      </c>
      <c r="C705" t="s">
        <v>1362</v>
      </c>
      <c r="D705" t="s">
        <v>1653</v>
      </c>
      <c r="E705" t="s">
        <v>1364</v>
      </c>
      <c r="F705" t="s">
        <v>1654</v>
      </c>
      <c r="AF705" t="s">
        <v>1852</v>
      </c>
      <c r="AG705" t="s">
        <v>138</v>
      </c>
      <c r="AH705" t="b">
        <v>0</v>
      </c>
    </row>
    <row r="706" spans="1:34">
      <c r="A706" t="s">
        <v>1852</v>
      </c>
      <c r="B706" t="s">
        <v>1655</v>
      </c>
      <c r="C706" t="s">
        <v>1362</v>
      </c>
      <c r="D706" t="s">
        <v>1656</v>
      </c>
      <c r="E706" t="s">
        <v>1364</v>
      </c>
      <c r="F706" t="s">
        <v>1657</v>
      </c>
      <c r="AF706" t="s">
        <v>1852</v>
      </c>
      <c r="AG706" t="s">
        <v>138</v>
      </c>
      <c r="AH706" t="b">
        <v>0</v>
      </c>
    </row>
    <row r="707" spans="1:34">
      <c r="A707" t="s">
        <v>1852</v>
      </c>
      <c r="B707" t="s">
        <v>1658</v>
      </c>
      <c r="C707" t="s">
        <v>1462</v>
      </c>
      <c r="D707" t="s">
        <v>1659</v>
      </c>
      <c r="E707" t="s">
        <v>1464</v>
      </c>
      <c r="F707" t="s">
        <v>1660</v>
      </c>
      <c r="AF707" t="s">
        <v>1852</v>
      </c>
      <c r="AG707" t="s">
        <v>138</v>
      </c>
      <c r="AH707" t="b">
        <v>0</v>
      </c>
    </row>
    <row r="708" spans="1:34">
      <c r="A708" t="s">
        <v>1852</v>
      </c>
      <c r="B708" t="s">
        <v>1661</v>
      </c>
      <c r="C708" t="s">
        <v>1362</v>
      </c>
      <c r="D708" t="s">
        <v>1662</v>
      </c>
      <c r="E708" t="s">
        <v>1364</v>
      </c>
      <c r="F708" t="s">
        <v>1663</v>
      </c>
      <c r="AF708" t="s">
        <v>1852</v>
      </c>
      <c r="AG708" t="s">
        <v>138</v>
      </c>
      <c r="AH708" t="b">
        <v>0</v>
      </c>
    </row>
    <row r="709" spans="1:34">
      <c r="A709" t="s">
        <v>1852</v>
      </c>
      <c r="B709" t="s">
        <v>1664</v>
      </c>
      <c r="C709" t="s">
        <v>1362</v>
      </c>
      <c r="D709" t="s">
        <v>1665</v>
      </c>
      <c r="E709" t="s">
        <v>1459</v>
      </c>
      <c r="F709" t="s">
        <v>1666</v>
      </c>
      <c r="AF709" t="s">
        <v>1852</v>
      </c>
      <c r="AG709" t="s">
        <v>138</v>
      </c>
      <c r="AH709" t="b">
        <v>0</v>
      </c>
    </row>
    <row r="710" spans="1:34">
      <c r="A710" t="s">
        <v>1852</v>
      </c>
      <c r="B710" t="s">
        <v>1667</v>
      </c>
      <c r="C710" t="s">
        <v>1362</v>
      </c>
      <c r="D710" t="s">
        <v>1668</v>
      </c>
      <c r="E710" t="s">
        <v>1364</v>
      </c>
      <c r="F710" t="s">
        <v>1669</v>
      </c>
      <c r="AF710" t="s">
        <v>1852</v>
      </c>
      <c r="AG710" t="s">
        <v>138</v>
      </c>
      <c r="AH710" t="b">
        <v>0</v>
      </c>
    </row>
    <row r="711" spans="1:34">
      <c r="A711" t="s">
        <v>1852</v>
      </c>
      <c r="B711" t="s">
        <v>1670</v>
      </c>
      <c r="C711" t="s">
        <v>1362</v>
      </c>
      <c r="D711" t="s">
        <v>1671</v>
      </c>
      <c r="E711" t="s">
        <v>1459</v>
      </c>
      <c r="F711" t="s">
        <v>1420</v>
      </c>
      <c r="AF711" t="s">
        <v>1852</v>
      </c>
      <c r="AG711" t="s">
        <v>138</v>
      </c>
      <c r="AH711" t="b">
        <v>0</v>
      </c>
    </row>
    <row r="712" spans="1:34">
      <c r="A712" t="s">
        <v>1852</v>
      </c>
      <c r="B712" t="s">
        <v>1672</v>
      </c>
      <c r="C712" t="s">
        <v>1362</v>
      </c>
      <c r="D712" t="s">
        <v>1673</v>
      </c>
      <c r="E712" t="s">
        <v>1364</v>
      </c>
      <c r="F712" t="s">
        <v>1379</v>
      </c>
      <c r="AF712" t="s">
        <v>1852</v>
      </c>
      <c r="AG712" t="s">
        <v>138</v>
      </c>
      <c r="AH712" t="b">
        <v>0</v>
      </c>
    </row>
    <row r="713" spans="1:34">
      <c r="A713" t="s">
        <v>1852</v>
      </c>
      <c r="B713" t="s">
        <v>41</v>
      </c>
      <c r="C713" t="s">
        <v>1362</v>
      </c>
      <c r="D713" t="s">
        <v>1674</v>
      </c>
      <c r="E713" t="s">
        <v>1459</v>
      </c>
      <c r="F713" t="s">
        <v>1420</v>
      </c>
      <c r="AF713" t="s">
        <v>1852</v>
      </c>
      <c r="AG713" t="s">
        <v>138</v>
      </c>
      <c r="AH713" t="b">
        <v>0</v>
      </c>
    </row>
    <row r="714" spans="1:34">
      <c r="A714" t="s">
        <v>1852</v>
      </c>
      <c r="B714" t="s">
        <v>1675</v>
      </c>
      <c r="C714" t="s">
        <v>1362</v>
      </c>
      <c r="D714" t="s">
        <v>1676</v>
      </c>
      <c r="E714" t="s">
        <v>1364</v>
      </c>
      <c r="F714" t="s">
        <v>1677</v>
      </c>
      <c r="AF714" t="s">
        <v>1852</v>
      </c>
      <c r="AG714" t="s">
        <v>138</v>
      </c>
      <c r="AH714" t="b">
        <v>0</v>
      </c>
    </row>
    <row r="715" spans="1:34">
      <c r="A715" t="s">
        <v>1852</v>
      </c>
      <c r="B715" t="s">
        <v>1678</v>
      </c>
      <c r="C715" t="s">
        <v>1462</v>
      </c>
      <c r="D715" t="s">
        <v>1679</v>
      </c>
      <c r="E715" t="s">
        <v>1464</v>
      </c>
      <c r="F715" t="s">
        <v>1490</v>
      </c>
      <c r="AF715" t="s">
        <v>1852</v>
      </c>
      <c r="AG715" t="s">
        <v>138</v>
      </c>
      <c r="AH715" t="b">
        <v>0</v>
      </c>
    </row>
    <row r="716" spans="1:34">
      <c r="A716" t="s">
        <v>1852</v>
      </c>
      <c r="B716" t="s">
        <v>1680</v>
      </c>
      <c r="C716" t="s">
        <v>1362</v>
      </c>
      <c r="D716" t="s">
        <v>1681</v>
      </c>
      <c r="E716" t="s">
        <v>1364</v>
      </c>
      <c r="F716" t="s">
        <v>1682</v>
      </c>
      <c r="AF716" t="s">
        <v>1852</v>
      </c>
      <c r="AG716" t="s">
        <v>138</v>
      </c>
      <c r="AH716" t="b">
        <v>0</v>
      </c>
    </row>
    <row r="717" spans="1:34">
      <c r="A717" t="s">
        <v>1852</v>
      </c>
      <c r="B717" t="s">
        <v>1683</v>
      </c>
      <c r="C717" t="s">
        <v>1362</v>
      </c>
      <c r="D717" t="s">
        <v>1684</v>
      </c>
      <c r="E717" t="s">
        <v>1484</v>
      </c>
      <c r="F717" t="s">
        <v>1685</v>
      </c>
      <c r="AF717" t="s">
        <v>1852</v>
      </c>
      <c r="AG717" t="s">
        <v>138</v>
      </c>
      <c r="AH717" t="b">
        <v>0</v>
      </c>
    </row>
    <row r="718" spans="1:34">
      <c r="A718" t="s">
        <v>1852</v>
      </c>
      <c r="B718" t="s">
        <v>1686</v>
      </c>
      <c r="C718" t="s">
        <v>1362</v>
      </c>
      <c r="D718" t="s">
        <v>1687</v>
      </c>
      <c r="E718" t="s">
        <v>1364</v>
      </c>
      <c r="F718" t="s">
        <v>1499</v>
      </c>
      <c r="AF718" t="s">
        <v>1852</v>
      </c>
      <c r="AG718" t="s">
        <v>138</v>
      </c>
      <c r="AH718" t="b">
        <v>0</v>
      </c>
    </row>
    <row r="719" spans="1:34">
      <c r="A719" t="s">
        <v>1852</v>
      </c>
      <c r="B719" t="s">
        <v>1688</v>
      </c>
      <c r="C719" t="s">
        <v>1362</v>
      </c>
      <c r="D719" t="s">
        <v>1689</v>
      </c>
      <c r="E719" t="s">
        <v>1364</v>
      </c>
      <c r="F719" t="s">
        <v>1622</v>
      </c>
      <c r="AF719" t="s">
        <v>1852</v>
      </c>
      <c r="AG719" t="s">
        <v>138</v>
      </c>
      <c r="AH719" t="b">
        <v>0</v>
      </c>
    </row>
    <row r="720" spans="1:34">
      <c r="A720" t="s">
        <v>1852</v>
      </c>
      <c r="B720" t="s">
        <v>1690</v>
      </c>
      <c r="C720" t="s">
        <v>1362</v>
      </c>
      <c r="D720" t="s">
        <v>1691</v>
      </c>
      <c r="E720" t="s">
        <v>1364</v>
      </c>
      <c r="F720" t="s">
        <v>1554</v>
      </c>
      <c r="AF720" t="s">
        <v>1852</v>
      </c>
      <c r="AG720" t="s">
        <v>138</v>
      </c>
      <c r="AH720" t="b">
        <v>0</v>
      </c>
    </row>
    <row r="721" spans="1:34">
      <c r="A721" t="s">
        <v>1852</v>
      </c>
      <c r="B721" t="s">
        <v>1692</v>
      </c>
      <c r="C721" t="s">
        <v>1362</v>
      </c>
      <c r="D721" t="s">
        <v>1693</v>
      </c>
      <c r="E721" t="s">
        <v>1364</v>
      </c>
      <c r="F721" t="s">
        <v>1694</v>
      </c>
      <c r="AF721" t="s">
        <v>1852</v>
      </c>
      <c r="AG721" t="s">
        <v>138</v>
      </c>
      <c r="AH721" t="b">
        <v>0</v>
      </c>
    </row>
    <row r="722" spans="1:34">
      <c r="A722" t="s">
        <v>1852</v>
      </c>
      <c r="B722" t="s">
        <v>1695</v>
      </c>
      <c r="C722" t="s">
        <v>1362</v>
      </c>
      <c r="D722" t="s">
        <v>1696</v>
      </c>
      <c r="E722" t="s">
        <v>1407</v>
      </c>
      <c r="F722" t="s">
        <v>1697</v>
      </c>
      <c r="AF722" t="s">
        <v>1852</v>
      </c>
      <c r="AG722" t="s">
        <v>138</v>
      </c>
      <c r="AH722" t="b">
        <v>0</v>
      </c>
    </row>
    <row r="723" spans="1:34">
      <c r="A723" t="s">
        <v>1852</v>
      </c>
      <c r="B723" t="s">
        <v>1698</v>
      </c>
      <c r="C723" t="s">
        <v>1362</v>
      </c>
      <c r="D723" t="s">
        <v>1699</v>
      </c>
      <c r="E723" t="s">
        <v>1605</v>
      </c>
      <c r="F723" t="s">
        <v>1383</v>
      </c>
      <c r="AF723" t="s">
        <v>1852</v>
      </c>
      <c r="AG723" t="s">
        <v>138</v>
      </c>
      <c r="AH723" t="b">
        <v>0</v>
      </c>
    </row>
    <row r="724" spans="1:34">
      <c r="A724" t="s">
        <v>1852</v>
      </c>
      <c r="B724" t="s">
        <v>1700</v>
      </c>
      <c r="C724" t="s">
        <v>1362</v>
      </c>
      <c r="D724" t="s">
        <v>1701</v>
      </c>
      <c r="E724" t="s">
        <v>1364</v>
      </c>
      <c r="F724" t="s">
        <v>1490</v>
      </c>
      <c r="AF724" t="s">
        <v>1852</v>
      </c>
      <c r="AG724" t="s">
        <v>138</v>
      </c>
      <c r="AH724" t="b">
        <v>0</v>
      </c>
    </row>
    <row r="725" spans="1:34">
      <c r="A725" t="s">
        <v>1852</v>
      </c>
      <c r="B725" t="s">
        <v>1702</v>
      </c>
      <c r="C725" t="s">
        <v>1362</v>
      </c>
      <c r="D725" t="s">
        <v>1703</v>
      </c>
      <c r="E725" t="s">
        <v>1364</v>
      </c>
      <c r="F725" t="s">
        <v>1704</v>
      </c>
      <c r="AF725" t="s">
        <v>1852</v>
      </c>
      <c r="AG725" t="s">
        <v>138</v>
      </c>
      <c r="AH725" t="b">
        <v>0</v>
      </c>
    </row>
    <row r="726" spans="1:34">
      <c r="A726" t="s">
        <v>1852</v>
      </c>
      <c r="B726" t="s">
        <v>1705</v>
      </c>
      <c r="C726" t="s">
        <v>1362</v>
      </c>
      <c r="D726" t="s">
        <v>1706</v>
      </c>
      <c r="E726" t="s">
        <v>1364</v>
      </c>
      <c r="F726" t="s">
        <v>1707</v>
      </c>
      <c r="AF726" t="s">
        <v>1852</v>
      </c>
      <c r="AG726" t="s">
        <v>138</v>
      </c>
      <c r="AH726" t="b">
        <v>0</v>
      </c>
    </row>
    <row r="727" spans="1:34">
      <c r="A727" t="s">
        <v>1852</v>
      </c>
      <c r="B727" t="s">
        <v>1708</v>
      </c>
      <c r="C727" t="s">
        <v>1362</v>
      </c>
      <c r="D727" t="s">
        <v>1709</v>
      </c>
      <c r="E727" t="s">
        <v>1364</v>
      </c>
      <c r="F727" t="s">
        <v>1436</v>
      </c>
      <c r="AF727" t="s">
        <v>1852</v>
      </c>
      <c r="AG727" t="s">
        <v>138</v>
      </c>
      <c r="AH727" t="b">
        <v>0</v>
      </c>
    </row>
    <row r="728" spans="1:34">
      <c r="A728" t="s">
        <v>1852</v>
      </c>
      <c r="B728" t="s">
        <v>1710</v>
      </c>
      <c r="C728" t="s">
        <v>1362</v>
      </c>
      <c r="D728" t="s">
        <v>1711</v>
      </c>
      <c r="E728" t="s">
        <v>1605</v>
      </c>
      <c r="F728" t="s">
        <v>1490</v>
      </c>
      <c r="AF728" t="s">
        <v>1852</v>
      </c>
      <c r="AG728" t="s">
        <v>138</v>
      </c>
      <c r="AH728" t="b">
        <v>0</v>
      </c>
    </row>
    <row r="729" spans="1:34">
      <c r="A729" t="s">
        <v>1852</v>
      </c>
      <c r="B729" t="s">
        <v>1712</v>
      </c>
      <c r="C729" t="s">
        <v>1362</v>
      </c>
      <c r="D729" t="s">
        <v>1713</v>
      </c>
      <c r="E729" t="s">
        <v>1364</v>
      </c>
      <c r="F729" t="s">
        <v>1383</v>
      </c>
      <c r="AF729" t="s">
        <v>1852</v>
      </c>
      <c r="AG729" t="s">
        <v>138</v>
      </c>
      <c r="AH729" t="b">
        <v>0</v>
      </c>
    </row>
    <row r="730" spans="1:34">
      <c r="A730" t="s">
        <v>1852</v>
      </c>
      <c r="B730" t="s">
        <v>1714</v>
      </c>
      <c r="C730" t="s">
        <v>1362</v>
      </c>
      <c r="D730" t="s">
        <v>1715</v>
      </c>
      <c r="E730" t="s">
        <v>1364</v>
      </c>
      <c r="F730" t="s">
        <v>1379</v>
      </c>
      <c r="AF730" t="s">
        <v>1852</v>
      </c>
      <c r="AG730" t="s">
        <v>138</v>
      </c>
      <c r="AH730" t="b">
        <v>0</v>
      </c>
    </row>
    <row r="731" spans="1:34">
      <c r="A731" t="s">
        <v>1852</v>
      </c>
      <c r="B731" t="s">
        <v>1716</v>
      </c>
      <c r="C731" t="s">
        <v>1362</v>
      </c>
      <c r="D731" t="s">
        <v>1717</v>
      </c>
      <c r="E731" t="s">
        <v>1459</v>
      </c>
      <c r="F731" t="s">
        <v>1420</v>
      </c>
      <c r="AF731" t="s">
        <v>1852</v>
      </c>
      <c r="AG731" t="s">
        <v>138</v>
      </c>
      <c r="AH731" t="b">
        <v>0</v>
      </c>
    </row>
    <row r="732" spans="1:34">
      <c r="A732" t="s">
        <v>1852</v>
      </c>
      <c r="B732" t="s">
        <v>1718</v>
      </c>
      <c r="C732" t="s">
        <v>1362</v>
      </c>
      <c r="D732" t="s">
        <v>1719</v>
      </c>
      <c r="E732" t="s">
        <v>1364</v>
      </c>
      <c r="F732" t="s">
        <v>1720</v>
      </c>
      <c r="AF732" t="s">
        <v>1852</v>
      </c>
      <c r="AG732" t="s">
        <v>138</v>
      </c>
      <c r="AH732" t="b">
        <v>0</v>
      </c>
    </row>
    <row r="733" spans="1:34">
      <c r="A733" t="s">
        <v>1852</v>
      </c>
      <c r="B733" t="s">
        <v>1721</v>
      </c>
      <c r="C733" t="s">
        <v>1362</v>
      </c>
      <c r="D733" t="s">
        <v>1722</v>
      </c>
      <c r="E733" t="s">
        <v>1364</v>
      </c>
      <c r="F733" t="s">
        <v>1723</v>
      </c>
      <c r="AF733" t="s">
        <v>1852</v>
      </c>
      <c r="AG733" t="s">
        <v>138</v>
      </c>
      <c r="AH733" t="b">
        <v>0</v>
      </c>
    </row>
    <row r="734" spans="1:34">
      <c r="A734" t="s">
        <v>1852</v>
      </c>
      <c r="B734" t="s">
        <v>1724</v>
      </c>
      <c r="C734" t="s">
        <v>1362</v>
      </c>
      <c r="D734" t="s">
        <v>1725</v>
      </c>
      <c r="E734" t="s">
        <v>1364</v>
      </c>
      <c r="F734" t="s">
        <v>1454</v>
      </c>
      <c r="AF734" t="s">
        <v>1852</v>
      </c>
      <c r="AG734" t="s">
        <v>138</v>
      </c>
      <c r="AH734" t="b">
        <v>0</v>
      </c>
    </row>
    <row r="735" spans="1:34">
      <c r="A735" t="s">
        <v>1852</v>
      </c>
      <c r="B735" t="s">
        <v>1726</v>
      </c>
      <c r="C735" t="s">
        <v>1362</v>
      </c>
      <c r="D735" t="s">
        <v>1727</v>
      </c>
      <c r="E735" t="s">
        <v>1382</v>
      </c>
      <c r="F735" t="s">
        <v>1490</v>
      </c>
      <c r="AF735" t="s">
        <v>1852</v>
      </c>
      <c r="AG735" t="s">
        <v>138</v>
      </c>
      <c r="AH735" t="b">
        <v>0</v>
      </c>
    </row>
    <row r="736" spans="1:34">
      <c r="A736" t="s">
        <v>1852</v>
      </c>
      <c r="B736" t="s">
        <v>1728</v>
      </c>
      <c r="C736" t="s">
        <v>1362</v>
      </c>
      <c r="D736" t="s">
        <v>1729</v>
      </c>
      <c r="E736" t="s">
        <v>1605</v>
      </c>
      <c r="F736" t="s">
        <v>1730</v>
      </c>
      <c r="AF736" t="s">
        <v>1852</v>
      </c>
      <c r="AG736" t="s">
        <v>138</v>
      </c>
      <c r="AH736" t="b">
        <v>0</v>
      </c>
    </row>
    <row r="737" spans="1:34">
      <c r="A737" t="s">
        <v>1852</v>
      </c>
      <c r="B737" t="s">
        <v>1731</v>
      </c>
      <c r="C737" t="s">
        <v>1362</v>
      </c>
      <c r="D737" t="s">
        <v>1732</v>
      </c>
      <c r="E737" t="s">
        <v>1382</v>
      </c>
      <c r="F737" t="s">
        <v>1383</v>
      </c>
      <c r="AF737" t="s">
        <v>1852</v>
      </c>
      <c r="AG737" t="s">
        <v>138</v>
      </c>
      <c r="AH737" t="b">
        <v>0</v>
      </c>
    </row>
    <row r="738" spans="1:34">
      <c r="A738" t="s">
        <v>1852</v>
      </c>
      <c r="B738" t="s">
        <v>1733</v>
      </c>
      <c r="C738" t="s">
        <v>1462</v>
      </c>
      <c r="D738" t="s">
        <v>1734</v>
      </c>
      <c r="E738" t="s">
        <v>1464</v>
      </c>
      <c r="F738" t="s">
        <v>1505</v>
      </c>
      <c r="AF738" t="s">
        <v>1852</v>
      </c>
      <c r="AG738" t="s">
        <v>138</v>
      </c>
      <c r="AH738" t="b">
        <v>0</v>
      </c>
    </row>
    <row r="739" spans="1:34">
      <c r="A739" t="s">
        <v>1852</v>
      </c>
      <c r="B739" t="s">
        <v>1735</v>
      </c>
      <c r="C739" t="s">
        <v>1362</v>
      </c>
      <c r="D739" t="s">
        <v>1736</v>
      </c>
      <c r="E739" t="s">
        <v>1364</v>
      </c>
      <c r="AF739" t="s">
        <v>1852</v>
      </c>
      <c r="AG739" t="s">
        <v>138</v>
      </c>
      <c r="AH739" t="b">
        <v>0</v>
      </c>
    </row>
    <row r="740" spans="1:34">
      <c r="A740" t="s">
        <v>1852</v>
      </c>
      <c r="B740" t="s">
        <v>1737</v>
      </c>
      <c r="C740" t="s">
        <v>1362</v>
      </c>
      <c r="D740" t="s">
        <v>1738</v>
      </c>
      <c r="E740" t="s">
        <v>1364</v>
      </c>
      <c r="F740" t="s">
        <v>1370</v>
      </c>
      <c r="AF740" t="s">
        <v>1852</v>
      </c>
      <c r="AG740" t="s">
        <v>138</v>
      </c>
      <c r="AH740" t="b">
        <v>0</v>
      </c>
    </row>
    <row r="741" spans="1:34">
      <c r="A741" t="s">
        <v>1852</v>
      </c>
      <c r="B741" t="s">
        <v>1739</v>
      </c>
      <c r="C741" t="s">
        <v>1362</v>
      </c>
      <c r="D741" t="s">
        <v>1740</v>
      </c>
      <c r="E741" t="s">
        <v>1364</v>
      </c>
      <c r="F741" t="s">
        <v>1379</v>
      </c>
      <c r="AF741" t="s">
        <v>1852</v>
      </c>
      <c r="AG741" t="s">
        <v>138</v>
      </c>
      <c r="AH741" t="b">
        <v>0</v>
      </c>
    </row>
    <row r="742" spans="1:34">
      <c r="A742" t="s">
        <v>1852</v>
      </c>
      <c r="B742" t="s">
        <v>1741</v>
      </c>
      <c r="C742" t="s">
        <v>1362</v>
      </c>
      <c r="D742" t="s">
        <v>1742</v>
      </c>
      <c r="E742" t="s">
        <v>1364</v>
      </c>
      <c r="F742" t="s">
        <v>1383</v>
      </c>
      <c r="AF742" t="s">
        <v>1852</v>
      </c>
      <c r="AG742" t="s">
        <v>138</v>
      </c>
      <c r="AH742" t="b">
        <v>0</v>
      </c>
    </row>
    <row r="743" spans="1:34">
      <c r="A743" t="s">
        <v>1852</v>
      </c>
      <c r="B743" t="s">
        <v>1743</v>
      </c>
      <c r="C743" t="s">
        <v>1362</v>
      </c>
      <c r="D743" t="s">
        <v>1744</v>
      </c>
      <c r="E743" t="s">
        <v>1364</v>
      </c>
      <c r="F743" t="s">
        <v>1383</v>
      </c>
      <c r="AF743" t="s">
        <v>1852</v>
      </c>
      <c r="AG743" t="s">
        <v>138</v>
      </c>
      <c r="AH743" t="b">
        <v>0</v>
      </c>
    </row>
    <row r="744" spans="1:34">
      <c r="A744" t="s">
        <v>1852</v>
      </c>
      <c r="B744" t="s">
        <v>1745</v>
      </c>
      <c r="C744" t="s">
        <v>1362</v>
      </c>
      <c r="D744" t="s">
        <v>1746</v>
      </c>
      <c r="E744" t="s">
        <v>1382</v>
      </c>
      <c r="F744" t="s">
        <v>1490</v>
      </c>
      <c r="AF744" t="s">
        <v>1852</v>
      </c>
      <c r="AG744" t="s">
        <v>138</v>
      </c>
      <c r="AH744" t="b">
        <v>0</v>
      </c>
    </row>
    <row r="745" spans="1:34">
      <c r="A745" t="s">
        <v>1852</v>
      </c>
      <c r="B745" t="s">
        <v>1747</v>
      </c>
      <c r="C745" t="s">
        <v>1362</v>
      </c>
      <c r="D745" t="s">
        <v>1748</v>
      </c>
      <c r="E745" t="s">
        <v>1364</v>
      </c>
      <c r="F745" t="s">
        <v>1383</v>
      </c>
      <c r="AF745" t="s">
        <v>1852</v>
      </c>
      <c r="AG745" t="s">
        <v>138</v>
      </c>
      <c r="AH745" t="b">
        <v>0</v>
      </c>
    </row>
    <row r="746" spans="1:34">
      <c r="A746" t="s">
        <v>1852</v>
      </c>
      <c r="B746" t="s">
        <v>1749</v>
      </c>
      <c r="C746" t="s">
        <v>1362</v>
      </c>
      <c r="D746" t="s">
        <v>1750</v>
      </c>
      <c r="E746" t="s">
        <v>1364</v>
      </c>
      <c r="F746" t="s">
        <v>1751</v>
      </c>
      <c r="AF746" t="s">
        <v>1852</v>
      </c>
      <c r="AG746" t="s">
        <v>138</v>
      </c>
      <c r="AH746" t="b">
        <v>0</v>
      </c>
    </row>
    <row r="747" spans="1:34">
      <c r="A747" t="s">
        <v>1852</v>
      </c>
      <c r="B747" t="s">
        <v>1752</v>
      </c>
      <c r="C747" t="s">
        <v>1362</v>
      </c>
      <c r="D747" t="s">
        <v>1753</v>
      </c>
      <c r="E747" t="s">
        <v>1364</v>
      </c>
      <c r="F747" t="s">
        <v>1562</v>
      </c>
      <c r="AF747" t="s">
        <v>1852</v>
      </c>
      <c r="AG747" t="s">
        <v>138</v>
      </c>
      <c r="AH747" t="b">
        <v>0</v>
      </c>
    </row>
    <row r="748" spans="1:34">
      <c r="A748" t="s">
        <v>1852</v>
      </c>
      <c r="B748" t="s">
        <v>1754</v>
      </c>
      <c r="C748" t="s">
        <v>1362</v>
      </c>
      <c r="D748" t="s">
        <v>1755</v>
      </c>
      <c r="E748" t="s">
        <v>1364</v>
      </c>
      <c r="F748" t="s">
        <v>1756</v>
      </c>
      <c r="AF748" t="s">
        <v>1852</v>
      </c>
      <c r="AG748" t="s">
        <v>138</v>
      </c>
      <c r="AH748" t="b">
        <v>0</v>
      </c>
    </row>
    <row r="749" spans="1:34">
      <c r="A749" t="s">
        <v>1852</v>
      </c>
      <c r="B749" t="s">
        <v>1757</v>
      </c>
      <c r="C749" t="s">
        <v>1362</v>
      </c>
      <c r="D749" t="s">
        <v>1758</v>
      </c>
      <c r="E749" t="s">
        <v>1382</v>
      </c>
      <c r="F749" t="s">
        <v>1423</v>
      </c>
      <c r="AF749" t="s">
        <v>1852</v>
      </c>
      <c r="AG749" t="s">
        <v>138</v>
      </c>
      <c r="AH749" t="b">
        <v>0</v>
      </c>
    </row>
    <row r="750" spans="1:34">
      <c r="A750" t="s">
        <v>1852</v>
      </c>
      <c r="B750" t="s">
        <v>1759</v>
      </c>
      <c r="C750" t="s">
        <v>1362</v>
      </c>
      <c r="D750" t="s">
        <v>1760</v>
      </c>
      <c r="E750" t="s">
        <v>1382</v>
      </c>
      <c r="F750" t="s">
        <v>1490</v>
      </c>
      <c r="AF750" t="s">
        <v>1852</v>
      </c>
      <c r="AG750" t="s">
        <v>138</v>
      </c>
      <c r="AH750" t="b">
        <v>0</v>
      </c>
    </row>
    <row r="751" spans="1:34">
      <c r="A751" t="s">
        <v>1852</v>
      </c>
      <c r="B751" t="s">
        <v>1761</v>
      </c>
      <c r="C751" t="s">
        <v>1362</v>
      </c>
      <c r="D751" t="s">
        <v>1762</v>
      </c>
      <c r="E751" t="s">
        <v>1364</v>
      </c>
      <c r="F751" t="s">
        <v>1763</v>
      </c>
      <c r="AF751" t="s">
        <v>1852</v>
      </c>
      <c r="AG751" t="s">
        <v>138</v>
      </c>
      <c r="AH751" t="b">
        <v>0</v>
      </c>
    </row>
    <row r="752" spans="1:34">
      <c r="A752" t="s">
        <v>1852</v>
      </c>
      <c r="B752" t="s">
        <v>1764</v>
      </c>
      <c r="C752" t="s">
        <v>1362</v>
      </c>
      <c r="D752" t="s">
        <v>1765</v>
      </c>
      <c r="E752" t="s">
        <v>1364</v>
      </c>
      <c r="F752" t="s">
        <v>1766</v>
      </c>
      <c r="AF752" t="s">
        <v>1852</v>
      </c>
      <c r="AG752" t="s">
        <v>138</v>
      </c>
      <c r="AH752" t="b">
        <v>0</v>
      </c>
    </row>
    <row r="753" spans="1:34">
      <c r="A753" t="s">
        <v>1852</v>
      </c>
      <c r="B753" t="s">
        <v>1767</v>
      </c>
      <c r="C753" t="s">
        <v>1462</v>
      </c>
      <c r="D753" t="s">
        <v>1768</v>
      </c>
      <c r="E753" t="s">
        <v>1464</v>
      </c>
      <c r="F753" t="s">
        <v>1379</v>
      </c>
      <c r="AF753" t="s">
        <v>1852</v>
      </c>
      <c r="AG753" t="s">
        <v>138</v>
      </c>
      <c r="AH753" t="b">
        <v>0</v>
      </c>
    </row>
    <row r="754" spans="1:34">
      <c r="A754" t="s">
        <v>1852</v>
      </c>
      <c r="B754" t="s">
        <v>1769</v>
      </c>
      <c r="C754" t="s">
        <v>1362</v>
      </c>
      <c r="D754" t="s">
        <v>1770</v>
      </c>
      <c r="E754" t="s">
        <v>1364</v>
      </c>
      <c r="F754" t="s">
        <v>1588</v>
      </c>
      <c r="AF754" t="s">
        <v>1852</v>
      </c>
      <c r="AG754" t="s">
        <v>138</v>
      </c>
      <c r="AH754" t="b">
        <v>0</v>
      </c>
    </row>
    <row r="755" spans="1:34">
      <c r="A755" t="s">
        <v>1852</v>
      </c>
      <c r="B755" t="s">
        <v>1771</v>
      </c>
      <c r="C755" t="s">
        <v>1362</v>
      </c>
      <c r="D755" t="s">
        <v>1772</v>
      </c>
      <c r="E755" t="s">
        <v>1364</v>
      </c>
      <c r="F755" t="s">
        <v>1694</v>
      </c>
      <c r="AF755" t="s">
        <v>1852</v>
      </c>
      <c r="AG755" t="s">
        <v>138</v>
      </c>
      <c r="AH755" t="b">
        <v>0</v>
      </c>
    </row>
    <row r="756" spans="1:34">
      <c r="A756" t="s">
        <v>1852</v>
      </c>
      <c r="B756" t="s">
        <v>1773</v>
      </c>
      <c r="C756" t="s">
        <v>1462</v>
      </c>
      <c r="D756" t="s">
        <v>1774</v>
      </c>
      <c r="E756" t="s">
        <v>1464</v>
      </c>
      <c r="F756" t="s">
        <v>1591</v>
      </c>
      <c r="AF756" t="s">
        <v>1852</v>
      </c>
      <c r="AG756" t="s">
        <v>138</v>
      </c>
      <c r="AH756" t="b">
        <v>0</v>
      </c>
    </row>
    <row r="757" spans="1:34">
      <c r="A757" t="s">
        <v>1852</v>
      </c>
      <c r="B757" t="s">
        <v>1775</v>
      </c>
      <c r="C757" t="s">
        <v>1362</v>
      </c>
      <c r="D757" t="s">
        <v>1776</v>
      </c>
      <c r="E757" t="s">
        <v>1382</v>
      </c>
      <c r="F757" t="s">
        <v>1657</v>
      </c>
      <c r="AF757" t="s">
        <v>1852</v>
      </c>
      <c r="AG757" t="s">
        <v>138</v>
      </c>
      <c r="AH757" t="b">
        <v>0</v>
      </c>
    </row>
    <row r="758" spans="1:34">
      <c r="A758" t="s">
        <v>1852</v>
      </c>
      <c r="B758" t="s">
        <v>1777</v>
      </c>
      <c r="C758" t="s">
        <v>1362</v>
      </c>
      <c r="D758" t="s">
        <v>1778</v>
      </c>
      <c r="E758" t="s">
        <v>1364</v>
      </c>
      <c r="F758" t="s">
        <v>1379</v>
      </c>
      <c r="AF758" t="s">
        <v>1852</v>
      </c>
      <c r="AG758" t="s">
        <v>138</v>
      </c>
      <c r="AH758" t="b">
        <v>0</v>
      </c>
    </row>
    <row r="759" spans="1:34">
      <c r="A759" t="s">
        <v>1852</v>
      </c>
      <c r="B759" t="s">
        <v>1779</v>
      </c>
      <c r="C759" t="s">
        <v>1362</v>
      </c>
      <c r="D759" t="s">
        <v>1780</v>
      </c>
      <c r="E759" t="s">
        <v>1364</v>
      </c>
      <c r="F759" t="s">
        <v>1426</v>
      </c>
      <c r="AF759" t="s">
        <v>1852</v>
      </c>
      <c r="AG759" t="s">
        <v>138</v>
      </c>
      <c r="AH759" t="b">
        <v>0</v>
      </c>
    </row>
    <row r="760" spans="1:34">
      <c r="A760" t="s">
        <v>1852</v>
      </c>
      <c r="B760" t="s">
        <v>1781</v>
      </c>
      <c r="C760" t="s">
        <v>1362</v>
      </c>
      <c r="D760" t="s">
        <v>1782</v>
      </c>
      <c r="E760" t="s">
        <v>1364</v>
      </c>
      <c r="F760" t="s">
        <v>1783</v>
      </c>
      <c r="AF760" t="s">
        <v>1852</v>
      </c>
      <c r="AG760" t="s">
        <v>138</v>
      </c>
      <c r="AH760" t="b">
        <v>0</v>
      </c>
    </row>
    <row r="761" spans="1:34">
      <c r="A761" t="s">
        <v>1852</v>
      </c>
      <c r="B761" t="s">
        <v>1784</v>
      </c>
      <c r="C761" t="s">
        <v>1462</v>
      </c>
      <c r="D761" t="s">
        <v>1785</v>
      </c>
      <c r="E761" t="s">
        <v>1464</v>
      </c>
      <c r="F761" t="s">
        <v>1786</v>
      </c>
      <c r="AF761" t="s">
        <v>1852</v>
      </c>
      <c r="AG761" t="s">
        <v>138</v>
      </c>
      <c r="AH761" t="b">
        <v>0</v>
      </c>
    </row>
    <row r="762" spans="1:34">
      <c r="A762" t="s">
        <v>1852</v>
      </c>
      <c r="B762" t="s">
        <v>1787</v>
      </c>
      <c r="C762" t="s">
        <v>1362</v>
      </c>
      <c r="D762" t="s">
        <v>1788</v>
      </c>
      <c r="E762" t="s">
        <v>1364</v>
      </c>
      <c r="F762" t="s">
        <v>1499</v>
      </c>
      <c r="AF762" t="s">
        <v>1852</v>
      </c>
      <c r="AG762" t="s">
        <v>138</v>
      </c>
      <c r="AH762" t="b">
        <v>0</v>
      </c>
    </row>
    <row r="763" spans="1:34">
      <c r="A763" t="s">
        <v>1852</v>
      </c>
      <c r="B763" t="s">
        <v>1789</v>
      </c>
      <c r="C763" t="s">
        <v>1362</v>
      </c>
      <c r="D763" t="s">
        <v>1790</v>
      </c>
      <c r="E763" t="s">
        <v>1364</v>
      </c>
      <c r="F763" t="s">
        <v>1630</v>
      </c>
      <c r="AF763" t="s">
        <v>1852</v>
      </c>
      <c r="AG763" t="s">
        <v>138</v>
      </c>
      <c r="AH763" t="b">
        <v>0</v>
      </c>
    </row>
    <row r="764" spans="1:34">
      <c r="A764" t="s">
        <v>1852</v>
      </c>
      <c r="B764" t="s">
        <v>1791</v>
      </c>
      <c r="C764" t="s">
        <v>1362</v>
      </c>
      <c r="D764" t="s">
        <v>1792</v>
      </c>
      <c r="E764" t="s">
        <v>1364</v>
      </c>
      <c r="F764" t="s">
        <v>1793</v>
      </c>
      <c r="AF764" t="s">
        <v>1852</v>
      </c>
      <c r="AG764" t="s">
        <v>138</v>
      </c>
      <c r="AH764" t="b">
        <v>0</v>
      </c>
    </row>
    <row r="765" spans="1:34">
      <c r="A765" t="s">
        <v>1852</v>
      </c>
      <c r="B765" t="s">
        <v>1794</v>
      </c>
      <c r="C765" t="s">
        <v>1362</v>
      </c>
      <c r="D765" t="s">
        <v>1795</v>
      </c>
      <c r="E765" t="s">
        <v>1364</v>
      </c>
      <c r="F765" t="s">
        <v>1796</v>
      </c>
      <c r="AF765" t="s">
        <v>1852</v>
      </c>
      <c r="AG765" t="s">
        <v>138</v>
      </c>
      <c r="AH765" t="b">
        <v>0</v>
      </c>
    </row>
    <row r="766" spans="1:34">
      <c r="A766" t="s">
        <v>1852</v>
      </c>
      <c r="B766" t="s">
        <v>1797</v>
      </c>
      <c r="C766" t="s">
        <v>1362</v>
      </c>
      <c r="D766" t="s">
        <v>1798</v>
      </c>
      <c r="E766" t="s">
        <v>1382</v>
      </c>
      <c r="F766" t="s">
        <v>1383</v>
      </c>
      <c r="AF766" t="s">
        <v>1852</v>
      </c>
      <c r="AG766" t="s">
        <v>138</v>
      </c>
      <c r="AH766" t="b">
        <v>0</v>
      </c>
    </row>
    <row r="767" spans="1:34">
      <c r="A767" t="s">
        <v>1852</v>
      </c>
      <c r="B767" t="s">
        <v>1799</v>
      </c>
      <c r="C767" t="s">
        <v>1362</v>
      </c>
      <c r="D767" t="s">
        <v>1800</v>
      </c>
      <c r="E767" t="s">
        <v>1364</v>
      </c>
      <c r="F767" t="s">
        <v>1373</v>
      </c>
      <c r="AF767" t="s">
        <v>1852</v>
      </c>
      <c r="AG767" t="s">
        <v>138</v>
      </c>
      <c r="AH767" t="b">
        <v>0</v>
      </c>
    </row>
    <row r="768" spans="1:34">
      <c r="A768" t="s">
        <v>1852</v>
      </c>
      <c r="B768" t="s">
        <v>1801</v>
      </c>
      <c r="C768" t="s">
        <v>1362</v>
      </c>
      <c r="D768" t="s">
        <v>1802</v>
      </c>
      <c r="E768" t="s">
        <v>1364</v>
      </c>
      <c r="F768" t="s">
        <v>1694</v>
      </c>
      <c r="AF768" t="s">
        <v>1852</v>
      </c>
      <c r="AG768" t="s">
        <v>138</v>
      </c>
      <c r="AH768" t="b">
        <v>0</v>
      </c>
    </row>
    <row r="769" spans="1:34">
      <c r="A769" t="s">
        <v>1852</v>
      </c>
      <c r="B769" t="s">
        <v>1803</v>
      </c>
      <c r="C769" t="s">
        <v>1362</v>
      </c>
      <c r="D769" t="s">
        <v>1804</v>
      </c>
      <c r="E769" t="s">
        <v>1382</v>
      </c>
      <c r="F769" t="s">
        <v>1454</v>
      </c>
      <c r="AF769" t="s">
        <v>1852</v>
      </c>
      <c r="AG769" t="s">
        <v>138</v>
      </c>
      <c r="AH769" t="b">
        <v>0</v>
      </c>
    </row>
    <row r="770" spans="1:34">
      <c r="A770" t="s">
        <v>1852</v>
      </c>
      <c r="B770" t="s">
        <v>1805</v>
      </c>
      <c r="C770" t="s">
        <v>1362</v>
      </c>
      <c r="D770" t="s">
        <v>1806</v>
      </c>
      <c r="E770" t="s">
        <v>1459</v>
      </c>
      <c r="F770" t="s">
        <v>1666</v>
      </c>
      <c r="AF770" t="s">
        <v>1852</v>
      </c>
      <c r="AG770" t="s">
        <v>138</v>
      </c>
      <c r="AH770" t="b">
        <v>0</v>
      </c>
    </row>
    <row r="771" spans="1:34">
      <c r="A771" t="s">
        <v>1852</v>
      </c>
      <c r="B771" t="s">
        <v>1807</v>
      </c>
      <c r="C771" t="s">
        <v>1362</v>
      </c>
      <c r="D771" t="s">
        <v>1808</v>
      </c>
      <c r="F771" t="s">
        <v>1809</v>
      </c>
      <c r="AF771" t="s">
        <v>1852</v>
      </c>
      <c r="AG771" t="s">
        <v>138</v>
      </c>
      <c r="AH771" t="b">
        <v>0</v>
      </c>
    </row>
    <row r="772" spans="1:34">
      <c r="A772" t="s">
        <v>1852</v>
      </c>
      <c r="B772" t="s">
        <v>1810</v>
      </c>
      <c r="C772" t="s">
        <v>1462</v>
      </c>
      <c r="D772" t="s">
        <v>1811</v>
      </c>
      <c r="E772" t="s">
        <v>1464</v>
      </c>
      <c r="F772" t="s">
        <v>1812</v>
      </c>
      <c r="AF772" t="s">
        <v>1852</v>
      </c>
      <c r="AG772" t="s">
        <v>138</v>
      </c>
      <c r="AH772" t="b">
        <v>0</v>
      </c>
    </row>
    <row r="773" spans="1:34">
      <c r="A773" t="s">
        <v>1852</v>
      </c>
      <c r="B773" t="s">
        <v>1813</v>
      </c>
      <c r="C773" t="s">
        <v>1362</v>
      </c>
      <c r="D773" t="s">
        <v>1814</v>
      </c>
      <c r="E773" t="s">
        <v>1364</v>
      </c>
      <c r="F773" t="s">
        <v>1815</v>
      </c>
      <c r="AF773" t="s">
        <v>1852</v>
      </c>
      <c r="AG773" t="s">
        <v>138</v>
      </c>
      <c r="AH773" t="b">
        <v>0</v>
      </c>
    </row>
    <row r="774" spans="1:34">
      <c r="A774" t="s">
        <v>1852</v>
      </c>
      <c r="B774" t="s">
        <v>1816</v>
      </c>
      <c r="C774" t="s">
        <v>1362</v>
      </c>
      <c r="D774" t="s">
        <v>1817</v>
      </c>
      <c r="E774" t="s">
        <v>1382</v>
      </c>
      <c r="F774" t="s">
        <v>1383</v>
      </c>
      <c r="AF774" t="s">
        <v>1852</v>
      </c>
      <c r="AG774" t="s">
        <v>138</v>
      </c>
      <c r="AH774" t="b">
        <v>0</v>
      </c>
    </row>
    <row r="775" spans="1:34">
      <c r="A775" t="s">
        <v>1852</v>
      </c>
      <c r="B775" t="s">
        <v>1818</v>
      </c>
      <c r="C775" t="s">
        <v>1367</v>
      </c>
      <c r="D775" t="s">
        <v>1819</v>
      </c>
      <c r="E775" t="s">
        <v>1369</v>
      </c>
      <c r="F775" t="s">
        <v>1630</v>
      </c>
      <c r="AF775" t="s">
        <v>1852</v>
      </c>
      <c r="AG775" t="s">
        <v>138</v>
      </c>
      <c r="AH775" t="b">
        <v>0</v>
      </c>
    </row>
    <row r="776" spans="1:34">
      <c r="A776" t="s">
        <v>1852</v>
      </c>
      <c r="B776" t="s">
        <v>1820</v>
      </c>
      <c r="C776" t="s">
        <v>1362</v>
      </c>
      <c r="D776" t="s">
        <v>1821</v>
      </c>
      <c r="AF776" t="s">
        <v>1852</v>
      </c>
      <c r="AG776" t="s">
        <v>138</v>
      </c>
      <c r="AH776" t="b">
        <v>0</v>
      </c>
    </row>
    <row r="777" spans="1:34">
      <c r="A777" t="s">
        <v>1852</v>
      </c>
      <c r="B777" t="s">
        <v>1822</v>
      </c>
      <c r="C777" t="s">
        <v>1362</v>
      </c>
      <c r="D777" t="s">
        <v>1823</v>
      </c>
      <c r="E777" t="s">
        <v>1364</v>
      </c>
      <c r="F777" t="s">
        <v>1824</v>
      </c>
      <c r="AF777" t="s">
        <v>1852</v>
      </c>
      <c r="AG777" t="s">
        <v>138</v>
      </c>
      <c r="AH777" t="b">
        <v>0</v>
      </c>
    </row>
    <row r="778" spans="1:34">
      <c r="A778" t="s">
        <v>1852</v>
      </c>
      <c r="B778" t="s">
        <v>1825</v>
      </c>
      <c r="C778" t="s">
        <v>1362</v>
      </c>
      <c r="D778" t="s">
        <v>1826</v>
      </c>
      <c r="E778" t="s">
        <v>1382</v>
      </c>
      <c r="F778" t="s">
        <v>1827</v>
      </c>
      <c r="AF778" t="s">
        <v>1852</v>
      </c>
      <c r="AG778" t="s">
        <v>138</v>
      </c>
      <c r="AH778" t="b">
        <v>0</v>
      </c>
    </row>
    <row r="779" spans="1:34">
      <c r="A779" t="s">
        <v>1852</v>
      </c>
      <c r="B779" t="s">
        <v>1828</v>
      </c>
      <c r="C779" t="s">
        <v>1362</v>
      </c>
      <c r="D779" t="s">
        <v>1829</v>
      </c>
      <c r="E779" t="s">
        <v>1382</v>
      </c>
      <c r="F779" t="s">
        <v>1830</v>
      </c>
      <c r="AF779" t="s">
        <v>1852</v>
      </c>
      <c r="AG779" t="s">
        <v>138</v>
      </c>
      <c r="AH779" t="b">
        <v>0</v>
      </c>
    </row>
    <row r="780" spans="1:34">
      <c r="A780" t="s">
        <v>1852</v>
      </c>
      <c r="B780" t="s">
        <v>1831</v>
      </c>
      <c r="C780" t="s">
        <v>1362</v>
      </c>
      <c r="D780" t="s">
        <v>1832</v>
      </c>
      <c r="E780" t="s">
        <v>1407</v>
      </c>
      <c r="F780" t="s">
        <v>1554</v>
      </c>
      <c r="AF780" t="s">
        <v>1852</v>
      </c>
      <c r="AG780" t="s">
        <v>138</v>
      </c>
      <c r="AH780" t="b">
        <v>0</v>
      </c>
    </row>
    <row r="781" spans="1:34">
      <c r="A781" t="s">
        <v>1852</v>
      </c>
      <c r="B781" t="s">
        <v>1833</v>
      </c>
      <c r="C781" t="s">
        <v>1362</v>
      </c>
      <c r="D781" t="s">
        <v>1834</v>
      </c>
      <c r="E781" t="s">
        <v>1364</v>
      </c>
      <c r="F781" t="s">
        <v>1835</v>
      </c>
      <c r="AF781" t="s">
        <v>1852</v>
      </c>
      <c r="AG781" t="s">
        <v>138</v>
      </c>
      <c r="AH781" t="b">
        <v>0</v>
      </c>
    </row>
    <row r="782" spans="1:34">
      <c r="A782" t="s">
        <v>1852</v>
      </c>
      <c r="B782" t="s">
        <v>1836</v>
      </c>
      <c r="C782" t="s">
        <v>1362</v>
      </c>
      <c r="D782" t="s">
        <v>1837</v>
      </c>
      <c r="E782" t="s">
        <v>1364</v>
      </c>
      <c r="F782" t="s">
        <v>1677</v>
      </c>
      <c r="AF782" t="s">
        <v>1852</v>
      </c>
      <c r="AG782" t="s">
        <v>138</v>
      </c>
      <c r="AH782" t="b">
        <v>0</v>
      </c>
    </row>
    <row r="783" spans="1:34">
      <c r="A783" t="s">
        <v>1852</v>
      </c>
      <c r="B783" t="s">
        <v>1838</v>
      </c>
      <c r="C783" t="s">
        <v>1362</v>
      </c>
      <c r="D783" t="s">
        <v>1839</v>
      </c>
      <c r="E783" t="s">
        <v>1364</v>
      </c>
      <c r="F783" t="s">
        <v>1454</v>
      </c>
      <c r="AF783" t="s">
        <v>1852</v>
      </c>
      <c r="AG783" t="s">
        <v>138</v>
      </c>
      <c r="AH783" t="b">
        <v>0</v>
      </c>
    </row>
    <row r="784" spans="1:34">
      <c r="A784" t="s">
        <v>1852</v>
      </c>
      <c r="B784" t="s">
        <v>1840</v>
      </c>
      <c r="C784" t="s">
        <v>1362</v>
      </c>
      <c r="D784" t="s">
        <v>1841</v>
      </c>
      <c r="E784" t="s">
        <v>1382</v>
      </c>
      <c r="F784" t="s">
        <v>1383</v>
      </c>
      <c r="AF784" t="s">
        <v>1852</v>
      </c>
      <c r="AG784" t="s">
        <v>138</v>
      </c>
      <c r="AH784" t="b">
        <v>0</v>
      </c>
    </row>
    <row r="785" spans="1:34">
      <c r="A785" t="s">
        <v>1852</v>
      </c>
      <c r="B785" t="s">
        <v>1842</v>
      </c>
      <c r="C785" t="s">
        <v>1362</v>
      </c>
      <c r="D785" t="s">
        <v>1843</v>
      </c>
      <c r="E785" t="s">
        <v>1364</v>
      </c>
      <c r="F785" t="s">
        <v>1454</v>
      </c>
      <c r="AF785" t="s">
        <v>1852</v>
      </c>
      <c r="AG785" t="s">
        <v>138</v>
      </c>
      <c r="AH785" t="b">
        <v>0</v>
      </c>
    </row>
    <row r="786" spans="1:34">
      <c r="A786" t="s">
        <v>1852</v>
      </c>
      <c r="B786" t="s">
        <v>1844</v>
      </c>
      <c r="C786" t="s">
        <v>1362</v>
      </c>
      <c r="D786" t="s">
        <v>1845</v>
      </c>
      <c r="E786" t="s">
        <v>1364</v>
      </c>
      <c r="F786" t="s">
        <v>1423</v>
      </c>
      <c r="AF786" t="s">
        <v>1852</v>
      </c>
      <c r="AG786" t="s">
        <v>138</v>
      </c>
      <c r="AH786" t="b">
        <v>0</v>
      </c>
    </row>
    <row r="787" spans="1:34">
      <c r="A787" t="s">
        <v>1852</v>
      </c>
      <c r="B787" t="s">
        <v>1846</v>
      </c>
      <c r="C787" t="s">
        <v>1362</v>
      </c>
      <c r="D787" t="s">
        <v>1847</v>
      </c>
      <c r="E787" t="s">
        <v>1848</v>
      </c>
      <c r="F787" t="s">
        <v>1401</v>
      </c>
      <c r="AF787" t="s">
        <v>1852</v>
      </c>
      <c r="AG787" t="s">
        <v>138</v>
      </c>
      <c r="AH787" t="b">
        <v>0</v>
      </c>
    </row>
    <row r="788" spans="1:34">
      <c r="A788" t="s">
        <v>1852</v>
      </c>
      <c r="AF788" t="s">
        <v>1852</v>
      </c>
      <c r="AG788" t="s">
        <v>138</v>
      </c>
      <c r="AH788" t="b">
        <v>0</v>
      </c>
    </row>
    <row r="789" spans="1:34">
      <c r="A789" t="s">
        <v>1852</v>
      </c>
      <c r="AF789" t="s">
        <v>1852</v>
      </c>
      <c r="AG789" t="s">
        <v>138</v>
      </c>
      <c r="AH789" t="b">
        <v>0</v>
      </c>
    </row>
    <row r="790" spans="1:34">
      <c r="A790" t="s">
        <v>1852</v>
      </c>
      <c r="AF790" t="s">
        <v>1852</v>
      </c>
      <c r="AG790" t="s">
        <v>138</v>
      </c>
      <c r="AH790" t="b">
        <v>0</v>
      </c>
    </row>
    <row r="791" spans="1:34">
      <c r="A791" t="s">
        <v>1852</v>
      </c>
      <c r="AF791" t="s">
        <v>1852</v>
      </c>
      <c r="AG791" t="s">
        <v>138</v>
      </c>
      <c r="AH791" t="b">
        <v>0</v>
      </c>
    </row>
    <row r="792" spans="1:34">
      <c r="A792" t="s">
        <v>1852</v>
      </c>
      <c r="AF792" t="s">
        <v>1852</v>
      </c>
      <c r="AG792" t="s">
        <v>138</v>
      </c>
      <c r="AH792" t="b">
        <v>0</v>
      </c>
    </row>
    <row r="793" spans="1:34">
      <c r="A793" t="s">
        <v>1852</v>
      </c>
      <c r="AF793" t="s">
        <v>1852</v>
      </c>
      <c r="AG793" t="s">
        <v>138</v>
      </c>
      <c r="AH793" t="b">
        <v>0</v>
      </c>
    </row>
    <row r="794" spans="1:34">
      <c r="A794" t="s">
        <v>1852</v>
      </c>
      <c r="AF794" t="s">
        <v>1852</v>
      </c>
      <c r="AG794" t="s">
        <v>138</v>
      </c>
      <c r="AH794" t="b">
        <v>0</v>
      </c>
    </row>
    <row r="795" spans="1:34">
      <c r="A795" t="s">
        <v>1852</v>
      </c>
      <c r="AF795" t="s">
        <v>1852</v>
      </c>
      <c r="AG795" t="s">
        <v>138</v>
      </c>
      <c r="AH795" t="b">
        <v>0</v>
      </c>
    </row>
    <row r="796" spans="1:34">
      <c r="A796" t="s">
        <v>1852</v>
      </c>
      <c r="AF796" t="s">
        <v>1852</v>
      </c>
      <c r="AG796" t="s">
        <v>138</v>
      </c>
      <c r="AH796" t="b">
        <v>0</v>
      </c>
    </row>
    <row r="797" spans="1:34">
      <c r="A797" t="s">
        <v>1852</v>
      </c>
      <c r="AF797" t="s">
        <v>1852</v>
      </c>
      <c r="AG797" t="s">
        <v>138</v>
      </c>
      <c r="AH797" t="b">
        <v>0</v>
      </c>
    </row>
    <row r="798" spans="1:34">
      <c r="A798" t="s">
        <v>1852</v>
      </c>
      <c r="AF798" t="s">
        <v>1852</v>
      </c>
      <c r="AG798" t="s">
        <v>138</v>
      </c>
      <c r="AH798" t="b">
        <v>0</v>
      </c>
    </row>
    <row r="799" spans="1:34">
      <c r="A799" t="s">
        <v>1852</v>
      </c>
      <c r="AF799" t="s">
        <v>1852</v>
      </c>
      <c r="AG799" t="s">
        <v>138</v>
      </c>
      <c r="AH799" t="b">
        <v>0</v>
      </c>
    </row>
    <row r="800" spans="1:34">
      <c r="A800" t="s">
        <v>1852</v>
      </c>
      <c r="AF800" t="s">
        <v>1852</v>
      </c>
      <c r="AG800" t="s">
        <v>138</v>
      </c>
      <c r="AH800" t="b">
        <v>0</v>
      </c>
    </row>
    <row r="801" spans="1:34">
      <c r="A801" t="s">
        <v>1852</v>
      </c>
      <c r="AF801" t="s">
        <v>1852</v>
      </c>
      <c r="AG801" t="s">
        <v>138</v>
      </c>
      <c r="AH801" t="b">
        <v>0</v>
      </c>
    </row>
    <row r="802" spans="1:34">
      <c r="A802" t="s">
        <v>1852</v>
      </c>
      <c r="AF802" t="s">
        <v>1852</v>
      </c>
      <c r="AG802" t="s">
        <v>138</v>
      </c>
      <c r="AH802" t="b">
        <v>0</v>
      </c>
    </row>
    <row r="803" spans="1:34">
      <c r="A803" t="s">
        <v>1852</v>
      </c>
      <c r="AF803" t="s">
        <v>1852</v>
      </c>
      <c r="AG803" t="s">
        <v>138</v>
      </c>
      <c r="AH803" t="b">
        <v>0</v>
      </c>
    </row>
    <row r="804" spans="1:34">
      <c r="A804" t="s">
        <v>1852</v>
      </c>
      <c r="AF804" t="s">
        <v>1852</v>
      </c>
      <c r="AG804" t="s">
        <v>138</v>
      </c>
      <c r="AH804" t="b">
        <v>0</v>
      </c>
    </row>
    <row r="805" spans="1:34">
      <c r="A805" t="s">
        <v>1852</v>
      </c>
      <c r="AF805" t="s">
        <v>1852</v>
      </c>
      <c r="AG805" t="s">
        <v>138</v>
      </c>
      <c r="AH805" t="b">
        <v>0</v>
      </c>
    </row>
    <row r="806" spans="1:34">
      <c r="A806" t="s">
        <v>1852</v>
      </c>
      <c r="AF806" t="s">
        <v>1852</v>
      </c>
      <c r="AG806" t="s">
        <v>138</v>
      </c>
      <c r="AH806" t="b">
        <v>0</v>
      </c>
    </row>
    <row r="807" spans="1:34">
      <c r="A807" t="s">
        <v>1852</v>
      </c>
      <c r="AF807" t="s">
        <v>1852</v>
      </c>
      <c r="AG807" t="s">
        <v>138</v>
      </c>
      <c r="AH807" t="b">
        <v>0</v>
      </c>
    </row>
    <row r="808" spans="1:34">
      <c r="A808" t="s">
        <v>1852</v>
      </c>
      <c r="AF808" t="s">
        <v>1852</v>
      </c>
      <c r="AG808" t="s">
        <v>138</v>
      </c>
      <c r="AH808" t="b">
        <v>0</v>
      </c>
    </row>
    <row r="809" spans="1:34">
      <c r="A809" t="s">
        <v>1852</v>
      </c>
      <c r="AF809" t="s">
        <v>1852</v>
      </c>
      <c r="AG809" t="s">
        <v>138</v>
      </c>
      <c r="AH809" t="b">
        <v>0</v>
      </c>
    </row>
    <row r="810" spans="1:34">
      <c r="A810" t="s">
        <v>1852</v>
      </c>
      <c r="AF810" t="s">
        <v>1852</v>
      </c>
      <c r="AG810" t="s">
        <v>138</v>
      </c>
      <c r="AH810" t="b">
        <v>0</v>
      </c>
    </row>
    <row r="811" spans="1:34">
      <c r="A811" t="s">
        <v>1852</v>
      </c>
      <c r="AF811" t="s">
        <v>1852</v>
      </c>
      <c r="AG811" t="s">
        <v>138</v>
      </c>
      <c r="AH811" t="b">
        <v>0</v>
      </c>
    </row>
    <row r="812" spans="1:34">
      <c r="A812" t="s">
        <v>1852</v>
      </c>
      <c r="AF812" t="s">
        <v>1852</v>
      </c>
      <c r="AG812" t="s">
        <v>138</v>
      </c>
      <c r="AH812" t="b">
        <v>0</v>
      </c>
    </row>
    <row r="813" spans="1:34">
      <c r="A813" t="s">
        <v>1852</v>
      </c>
      <c r="AF813" t="s">
        <v>1852</v>
      </c>
      <c r="AG813" t="s">
        <v>138</v>
      </c>
      <c r="AH813" t="b">
        <v>0</v>
      </c>
    </row>
    <row r="814" spans="1:34">
      <c r="A814" t="s">
        <v>1852</v>
      </c>
      <c r="AF814" t="s">
        <v>1852</v>
      </c>
      <c r="AG814" t="s">
        <v>138</v>
      </c>
      <c r="AH814" t="b">
        <v>0</v>
      </c>
    </row>
    <row r="815" spans="1:34">
      <c r="A815" t="s">
        <v>1852</v>
      </c>
      <c r="AF815" t="s">
        <v>1852</v>
      </c>
      <c r="AG815" t="s">
        <v>138</v>
      </c>
      <c r="AH815" t="b">
        <v>0</v>
      </c>
    </row>
    <row r="816" spans="1:34">
      <c r="A816" t="s">
        <v>1852</v>
      </c>
      <c r="AF816" t="s">
        <v>1852</v>
      </c>
      <c r="AG816" t="s">
        <v>138</v>
      </c>
      <c r="AH816" t="b">
        <v>0</v>
      </c>
    </row>
    <row r="817" spans="1:34">
      <c r="A817" t="s">
        <v>1852</v>
      </c>
      <c r="AF817" t="s">
        <v>1852</v>
      </c>
      <c r="AG817" t="s">
        <v>138</v>
      </c>
      <c r="AH817" t="b">
        <v>0</v>
      </c>
    </row>
    <row r="818" spans="1:34">
      <c r="A818" t="s">
        <v>1852</v>
      </c>
      <c r="AF818" t="s">
        <v>1852</v>
      </c>
      <c r="AG818" t="s">
        <v>138</v>
      </c>
      <c r="AH818" t="b">
        <v>0</v>
      </c>
    </row>
    <row r="819" spans="1:34">
      <c r="A819" t="s">
        <v>1852</v>
      </c>
      <c r="AF819" t="s">
        <v>1852</v>
      </c>
      <c r="AG819" t="s">
        <v>138</v>
      </c>
      <c r="AH819" t="b">
        <v>0</v>
      </c>
    </row>
    <row r="820" spans="1:34">
      <c r="A820" t="s">
        <v>1852</v>
      </c>
      <c r="AF820" t="s">
        <v>1852</v>
      </c>
      <c r="AG820" t="s">
        <v>138</v>
      </c>
      <c r="AH820" t="b">
        <v>0</v>
      </c>
    </row>
    <row r="821" spans="1:34">
      <c r="A821" t="s">
        <v>1852</v>
      </c>
      <c r="AF821" t="s">
        <v>1852</v>
      </c>
      <c r="AG821" t="s">
        <v>138</v>
      </c>
      <c r="AH821" t="b">
        <v>0</v>
      </c>
    </row>
    <row r="822" spans="1:34">
      <c r="A822" t="s">
        <v>1852</v>
      </c>
      <c r="AF822" t="s">
        <v>1852</v>
      </c>
      <c r="AG822" t="s">
        <v>138</v>
      </c>
      <c r="AH822" t="b">
        <v>0</v>
      </c>
    </row>
    <row r="823" spans="1:34">
      <c r="A823" t="s">
        <v>1852</v>
      </c>
      <c r="AF823" t="s">
        <v>1852</v>
      </c>
      <c r="AG823" t="s">
        <v>138</v>
      </c>
      <c r="AH823" t="b">
        <v>0</v>
      </c>
    </row>
    <row r="824" spans="1:34">
      <c r="A824" t="s">
        <v>1852</v>
      </c>
      <c r="AF824" t="s">
        <v>1852</v>
      </c>
      <c r="AG824" t="s">
        <v>138</v>
      </c>
      <c r="AH824" t="b">
        <v>0</v>
      </c>
    </row>
    <row r="825" spans="1:34">
      <c r="A825" t="s">
        <v>1852</v>
      </c>
      <c r="AF825" t="s">
        <v>1852</v>
      </c>
      <c r="AG825" t="s">
        <v>138</v>
      </c>
      <c r="AH825" t="b">
        <v>0</v>
      </c>
    </row>
    <row r="826" spans="1:34">
      <c r="A826" t="s">
        <v>1852</v>
      </c>
      <c r="AF826" t="s">
        <v>1852</v>
      </c>
      <c r="AG826" t="s">
        <v>138</v>
      </c>
      <c r="AH826" t="b">
        <v>0</v>
      </c>
    </row>
    <row r="827" spans="1:34">
      <c r="A827" t="s">
        <v>1852</v>
      </c>
      <c r="AF827" t="s">
        <v>1852</v>
      </c>
      <c r="AG827" t="s">
        <v>138</v>
      </c>
      <c r="AH827" t="b">
        <v>0</v>
      </c>
    </row>
    <row r="828" spans="1:34">
      <c r="A828" t="s">
        <v>1852</v>
      </c>
      <c r="AF828" t="s">
        <v>1852</v>
      </c>
      <c r="AG828" t="s">
        <v>138</v>
      </c>
      <c r="AH828" t="b">
        <v>0</v>
      </c>
    </row>
    <row r="829" spans="1:34">
      <c r="A829" t="s">
        <v>1852</v>
      </c>
      <c r="AF829" t="s">
        <v>1852</v>
      </c>
      <c r="AG829" t="s">
        <v>138</v>
      </c>
      <c r="AH829" t="b">
        <v>0</v>
      </c>
    </row>
    <row r="830" spans="1:34">
      <c r="A830" t="s">
        <v>1852</v>
      </c>
      <c r="AF830" t="s">
        <v>1852</v>
      </c>
      <c r="AG830" t="s">
        <v>138</v>
      </c>
      <c r="AH830" t="b">
        <v>0</v>
      </c>
    </row>
    <row r="831" spans="1:34">
      <c r="A831" t="s">
        <v>1852</v>
      </c>
      <c r="AF831" t="s">
        <v>1852</v>
      </c>
      <c r="AG831" t="s">
        <v>138</v>
      </c>
      <c r="AH831" t="b">
        <v>0</v>
      </c>
    </row>
    <row r="832" spans="1:34">
      <c r="A832" t="s">
        <v>1852</v>
      </c>
      <c r="AF832" t="s">
        <v>1852</v>
      </c>
      <c r="AG832" t="s">
        <v>138</v>
      </c>
      <c r="AH832" t="b">
        <v>0</v>
      </c>
    </row>
    <row r="833" spans="1:34">
      <c r="A833" t="s">
        <v>1852</v>
      </c>
      <c r="AF833" t="s">
        <v>1852</v>
      </c>
      <c r="AG833" t="s">
        <v>138</v>
      </c>
      <c r="AH833" t="b">
        <v>0</v>
      </c>
    </row>
    <row r="834" spans="1:34">
      <c r="A834" t="s">
        <v>1852</v>
      </c>
      <c r="AF834" t="s">
        <v>1852</v>
      </c>
      <c r="AG834" t="s">
        <v>138</v>
      </c>
      <c r="AH834" t="b">
        <v>0</v>
      </c>
    </row>
    <row r="835" spans="1:34">
      <c r="A835" t="s">
        <v>1852</v>
      </c>
      <c r="AF835" t="s">
        <v>1852</v>
      </c>
      <c r="AG835" t="s">
        <v>138</v>
      </c>
      <c r="AH835" t="b">
        <v>0</v>
      </c>
    </row>
    <row r="836" spans="1:34">
      <c r="A836" t="s">
        <v>1852</v>
      </c>
      <c r="AF836" t="s">
        <v>1852</v>
      </c>
      <c r="AG836" t="s">
        <v>138</v>
      </c>
      <c r="AH836" t="b">
        <v>0</v>
      </c>
    </row>
    <row r="837" spans="1:34">
      <c r="A837" t="s">
        <v>1852</v>
      </c>
      <c r="AF837" t="s">
        <v>1852</v>
      </c>
      <c r="AG837" t="s">
        <v>138</v>
      </c>
      <c r="AH837" t="b">
        <v>0</v>
      </c>
    </row>
    <row r="838" spans="1:34">
      <c r="A838" t="s">
        <v>1852</v>
      </c>
      <c r="AF838" t="s">
        <v>1852</v>
      </c>
      <c r="AG838" t="s">
        <v>138</v>
      </c>
      <c r="AH838" t="b">
        <v>0</v>
      </c>
    </row>
    <row r="839" spans="1:34">
      <c r="A839" t="s">
        <v>1852</v>
      </c>
      <c r="AF839" t="s">
        <v>1852</v>
      </c>
      <c r="AG839" t="s">
        <v>138</v>
      </c>
      <c r="AH839" t="b">
        <v>0</v>
      </c>
    </row>
    <row r="840" spans="1:34">
      <c r="A840" t="s">
        <v>1852</v>
      </c>
      <c r="AF840" t="s">
        <v>1852</v>
      </c>
      <c r="AG840" t="s">
        <v>138</v>
      </c>
      <c r="AH840" t="b">
        <v>0</v>
      </c>
    </row>
    <row r="841" spans="1:34">
      <c r="A841" t="s">
        <v>1852</v>
      </c>
      <c r="AF841" t="s">
        <v>1852</v>
      </c>
      <c r="AG841" t="s">
        <v>138</v>
      </c>
      <c r="AH841" t="b">
        <v>0</v>
      </c>
    </row>
    <row r="842" spans="1:34">
      <c r="A842" t="s">
        <v>1852</v>
      </c>
      <c r="AF842" t="s">
        <v>1852</v>
      </c>
      <c r="AG842" t="s">
        <v>138</v>
      </c>
      <c r="AH842" t="b">
        <v>0</v>
      </c>
    </row>
    <row r="843" spans="1:34">
      <c r="A843" t="s">
        <v>1852</v>
      </c>
      <c r="AF843" t="s">
        <v>1852</v>
      </c>
      <c r="AG843" t="s">
        <v>138</v>
      </c>
      <c r="AH843" t="b">
        <v>0</v>
      </c>
    </row>
    <row r="844" spans="1:34">
      <c r="A844" t="s">
        <v>1852</v>
      </c>
      <c r="AF844" t="s">
        <v>1852</v>
      </c>
      <c r="AG844" t="s">
        <v>138</v>
      </c>
      <c r="AH844" t="b">
        <v>0</v>
      </c>
    </row>
    <row r="845" spans="1:34">
      <c r="A845" t="s">
        <v>1852</v>
      </c>
      <c r="AF845" t="s">
        <v>1852</v>
      </c>
      <c r="AG845" t="s">
        <v>138</v>
      </c>
      <c r="AH845" t="b">
        <v>0</v>
      </c>
    </row>
    <row r="846" spans="1:34">
      <c r="A846" t="s">
        <v>1852</v>
      </c>
      <c r="AF846" t="s">
        <v>1852</v>
      </c>
      <c r="AG846" t="s">
        <v>138</v>
      </c>
      <c r="AH846" t="b">
        <v>0</v>
      </c>
    </row>
    <row r="847" spans="1:34">
      <c r="A847" t="s">
        <v>1852</v>
      </c>
      <c r="AF847" t="s">
        <v>1852</v>
      </c>
      <c r="AG847" t="s">
        <v>138</v>
      </c>
      <c r="AH847" t="b">
        <v>0</v>
      </c>
    </row>
    <row r="848" spans="1:34">
      <c r="A848" t="s">
        <v>1852</v>
      </c>
      <c r="AF848" t="s">
        <v>1852</v>
      </c>
      <c r="AG848" t="s">
        <v>138</v>
      </c>
      <c r="AH848" t="b">
        <v>0</v>
      </c>
    </row>
    <row r="849" spans="1:34">
      <c r="A849" t="s">
        <v>1852</v>
      </c>
      <c r="AF849" t="s">
        <v>1852</v>
      </c>
      <c r="AG849" t="s">
        <v>138</v>
      </c>
      <c r="AH849" t="b">
        <v>0</v>
      </c>
    </row>
    <row r="850" spans="1:34">
      <c r="A850" t="s">
        <v>1852</v>
      </c>
      <c r="AF850" t="s">
        <v>1852</v>
      </c>
      <c r="AG850" t="s">
        <v>138</v>
      </c>
      <c r="AH850" t="b">
        <v>0</v>
      </c>
    </row>
    <row r="851" spans="1:34">
      <c r="A851" t="s">
        <v>1852</v>
      </c>
      <c r="AF851" t="s">
        <v>1852</v>
      </c>
      <c r="AG851" t="s">
        <v>138</v>
      </c>
      <c r="AH851" t="b">
        <v>0</v>
      </c>
    </row>
    <row r="852" spans="1:34">
      <c r="A852" t="s">
        <v>1852</v>
      </c>
      <c r="AF852" t="s">
        <v>1852</v>
      </c>
      <c r="AG852" t="s">
        <v>138</v>
      </c>
      <c r="AH852" t="b">
        <v>0</v>
      </c>
    </row>
    <row r="853" spans="1:34">
      <c r="A853" t="s">
        <v>1852</v>
      </c>
      <c r="AF853" t="s">
        <v>1852</v>
      </c>
      <c r="AG853" t="s">
        <v>138</v>
      </c>
      <c r="AH853" t="b">
        <v>0</v>
      </c>
    </row>
    <row r="854" spans="1:34">
      <c r="A854" t="s">
        <v>1852</v>
      </c>
      <c r="AF854" t="s">
        <v>1852</v>
      </c>
      <c r="AG854" t="s">
        <v>138</v>
      </c>
      <c r="AH854" t="b">
        <v>0</v>
      </c>
    </row>
    <row r="855" spans="1:34">
      <c r="A855" t="s">
        <v>1852</v>
      </c>
      <c r="AF855" t="s">
        <v>1852</v>
      </c>
      <c r="AG855" t="s">
        <v>138</v>
      </c>
      <c r="AH855" t="b">
        <v>0</v>
      </c>
    </row>
    <row r="856" spans="1:34">
      <c r="A856" t="s">
        <v>1852</v>
      </c>
      <c r="AF856" t="s">
        <v>1852</v>
      </c>
      <c r="AG856" t="s">
        <v>138</v>
      </c>
      <c r="AH856" t="b">
        <v>0</v>
      </c>
    </row>
    <row r="857" spans="1:34">
      <c r="A857" t="s">
        <v>1852</v>
      </c>
      <c r="AF857" t="s">
        <v>1852</v>
      </c>
      <c r="AG857" t="s">
        <v>138</v>
      </c>
      <c r="AH857" t="b">
        <v>0</v>
      </c>
    </row>
    <row r="858" spans="1:34">
      <c r="A858" t="s">
        <v>1852</v>
      </c>
      <c r="AF858" t="s">
        <v>1852</v>
      </c>
      <c r="AG858" t="s">
        <v>138</v>
      </c>
      <c r="AH858" t="b">
        <v>0</v>
      </c>
    </row>
    <row r="859" spans="1:34">
      <c r="A859" t="s">
        <v>1852</v>
      </c>
      <c r="AF859" t="s">
        <v>1852</v>
      </c>
      <c r="AG859" t="s">
        <v>138</v>
      </c>
      <c r="AH859" t="b">
        <v>0</v>
      </c>
    </row>
    <row r="860" spans="1:34">
      <c r="A860" t="s">
        <v>1852</v>
      </c>
      <c r="AF860" t="s">
        <v>1852</v>
      </c>
      <c r="AG860" t="s">
        <v>138</v>
      </c>
      <c r="AH860" t="b">
        <v>0</v>
      </c>
    </row>
    <row r="861" spans="1:34">
      <c r="A861" t="s">
        <v>1852</v>
      </c>
      <c r="AF861" t="s">
        <v>1852</v>
      </c>
      <c r="AG861" t="s">
        <v>138</v>
      </c>
      <c r="AH861" t="b">
        <v>0</v>
      </c>
    </row>
    <row r="862" spans="1:34">
      <c r="A862" t="s">
        <v>1852</v>
      </c>
      <c r="AF862" t="s">
        <v>1852</v>
      </c>
      <c r="AG862" t="s">
        <v>138</v>
      </c>
      <c r="AH862" t="b">
        <v>0</v>
      </c>
    </row>
    <row r="863" spans="1:34">
      <c r="A863" t="s">
        <v>1852</v>
      </c>
      <c r="AF863" t="s">
        <v>1852</v>
      </c>
      <c r="AG863" t="s">
        <v>138</v>
      </c>
      <c r="AH863" t="b">
        <v>0</v>
      </c>
    </row>
    <row r="864" spans="1:34">
      <c r="A864" t="s">
        <v>1857</v>
      </c>
      <c r="L864" t="s">
        <v>10</v>
      </c>
      <c r="AF864" t="s">
        <v>1857</v>
      </c>
      <c r="AG864" t="s">
        <v>142</v>
      </c>
      <c r="AH864" t="b">
        <v>0</v>
      </c>
    </row>
    <row r="865" spans="1:34">
      <c r="A865" t="s">
        <v>1857</v>
      </c>
      <c r="L865" t="s">
        <v>37</v>
      </c>
      <c r="AF865" t="s">
        <v>1857</v>
      </c>
      <c r="AG865" t="s">
        <v>142</v>
      </c>
      <c r="AH865" t="b">
        <v>0</v>
      </c>
    </row>
    <row r="866" spans="1:34">
      <c r="A866" t="s">
        <v>1857</v>
      </c>
      <c r="L866" t="s">
        <v>192</v>
      </c>
      <c r="AF866" t="s">
        <v>1857</v>
      </c>
      <c r="AG866" t="s">
        <v>142</v>
      </c>
      <c r="AH866" t="b">
        <v>0</v>
      </c>
    </row>
    <row r="867" spans="1:34">
      <c r="A867" t="s">
        <v>1857</v>
      </c>
      <c r="L867" t="s">
        <v>193</v>
      </c>
      <c r="AF867" t="s">
        <v>1857</v>
      </c>
      <c r="AG867" t="s">
        <v>142</v>
      </c>
      <c r="AH867" t="b">
        <v>0</v>
      </c>
    </row>
    <row r="868" spans="1:34">
      <c r="A868" t="s">
        <v>1857</v>
      </c>
      <c r="L868" t="s">
        <v>194</v>
      </c>
      <c r="AF868" t="s">
        <v>1857</v>
      </c>
      <c r="AG868" t="s">
        <v>142</v>
      </c>
      <c r="AH868" t="b">
        <v>0</v>
      </c>
    </row>
    <row r="869" spans="1:34">
      <c r="A869" t="s">
        <v>1858</v>
      </c>
      <c r="M869" t="s">
        <v>12</v>
      </c>
      <c r="AF869" t="s">
        <v>1858</v>
      </c>
      <c r="AG869" t="s">
        <v>142</v>
      </c>
      <c r="AH869" t="b">
        <v>0</v>
      </c>
    </row>
    <row r="870" spans="1:34">
      <c r="A870" t="s">
        <v>1858</v>
      </c>
      <c r="M870" t="s">
        <v>196</v>
      </c>
      <c r="AF870" t="s">
        <v>1858</v>
      </c>
      <c r="AG870" t="s">
        <v>142</v>
      </c>
      <c r="AH870" t="b">
        <v>0</v>
      </c>
    </row>
    <row r="871" spans="1:34">
      <c r="A871" t="s">
        <v>1858</v>
      </c>
      <c r="M871" t="s">
        <v>197</v>
      </c>
      <c r="AF871" t="s">
        <v>1858</v>
      </c>
      <c r="AG871" t="s">
        <v>142</v>
      </c>
      <c r="AH871" t="b">
        <v>0</v>
      </c>
    </row>
    <row r="872" spans="1:34">
      <c r="A872" t="s">
        <v>1858</v>
      </c>
      <c r="M872" t="s">
        <v>198</v>
      </c>
      <c r="AF872" t="s">
        <v>1858</v>
      </c>
      <c r="AG872" t="s">
        <v>142</v>
      </c>
      <c r="AH872" t="b">
        <v>0</v>
      </c>
    </row>
    <row r="873" spans="1:34">
      <c r="A873" t="s">
        <v>1859</v>
      </c>
      <c r="N873" t="s">
        <v>6</v>
      </c>
      <c r="AF873" t="s">
        <v>1859</v>
      </c>
      <c r="AG873" t="s">
        <v>142</v>
      </c>
      <c r="AH873" t="b">
        <v>0</v>
      </c>
    </row>
    <row r="874" spans="1:34">
      <c r="A874" t="s">
        <v>1859</v>
      </c>
      <c r="N874" t="s">
        <v>200</v>
      </c>
      <c r="AF874" t="s">
        <v>1859</v>
      </c>
      <c r="AG874" t="s">
        <v>142</v>
      </c>
      <c r="AH874" t="b">
        <v>0</v>
      </c>
    </row>
    <row r="875" spans="1:34">
      <c r="A875" t="s">
        <v>1860</v>
      </c>
      <c r="O875" t="s">
        <v>204</v>
      </c>
      <c r="P875" t="s">
        <v>205</v>
      </c>
      <c r="Q875" t="s">
        <v>8</v>
      </c>
      <c r="AF875" t="s">
        <v>1860</v>
      </c>
      <c r="AG875" t="s">
        <v>142</v>
      </c>
      <c r="AH875" t="b">
        <v>0</v>
      </c>
    </row>
    <row r="876" spans="1:34">
      <c r="A876" t="s">
        <v>1860</v>
      </c>
      <c r="O876" t="s">
        <v>204</v>
      </c>
      <c r="P876" t="s">
        <v>206</v>
      </c>
      <c r="Q876" t="s">
        <v>207</v>
      </c>
      <c r="AF876" t="s">
        <v>1860</v>
      </c>
      <c r="AG876" t="s">
        <v>142</v>
      </c>
      <c r="AH876" t="b">
        <v>0</v>
      </c>
    </row>
    <row r="877" spans="1:34">
      <c r="A877" t="s">
        <v>1860</v>
      </c>
      <c r="O877" t="s">
        <v>208</v>
      </c>
      <c r="P877" t="s">
        <v>209</v>
      </c>
      <c r="Q877" t="s">
        <v>210</v>
      </c>
      <c r="AF877" t="s">
        <v>1860</v>
      </c>
      <c r="AG877" t="s">
        <v>142</v>
      </c>
      <c r="AH877" t="b">
        <v>0</v>
      </c>
    </row>
    <row r="878" spans="1:34">
      <c r="A878" t="s">
        <v>1860</v>
      </c>
      <c r="O878" t="s">
        <v>208</v>
      </c>
      <c r="P878" t="s">
        <v>211</v>
      </c>
      <c r="Q878" t="s">
        <v>212</v>
      </c>
      <c r="AF878" t="s">
        <v>1860</v>
      </c>
      <c r="AG878" t="s">
        <v>142</v>
      </c>
      <c r="AH878" t="b">
        <v>0</v>
      </c>
    </row>
    <row r="879" spans="1:34">
      <c r="A879" t="s">
        <v>1860</v>
      </c>
      <c r="O879" t="s">
        <v>208</v>
      </c>
      <c r="P879" t="s">
        <v>206</v>
      </c>
      <c r="Q879" t="s">
        <v>213</v>
      </c>
      <c r="AF879" t="s">
        <v>1860</v>
      </c>
      <c r="AG879" t="s">
        <v>142</v>
      </c>
      <c r="AH879" t="b">
        <v>0</v>
      </c>
    </row>
    <row r="880" spans="1:34">
      <c r="A880" t="s">
        <v>1860</v>
      </c>
      <c r="O880" t="s">
        <v>208</v>
      </c>
      <c r="P880" t="s">
        <v>214</v>
      </c>
      <c r="Q880" t="s">
        <v>215</v>
      </c>
      <c r="AF880" t="s">
        <v>1860</v>
      </c>
      <c r="AG880" t="s">
        <v>142</v>
      </c>
      <c r="AH880" t="b">
        <v>0</v>
      </c>
    </row>
    <row r="881" spans="1:34">
      <c r="A881" t="s">
        <v>1861</v>
      </c>
      <c r="R881" t="s">
        <v>226</v>
      </c>
      <c r="S881" t="s">
        <v>227</v>
      </c>
      <c r="T881" t="s">
        <v>231</v>
      </c>
      <c r="V881" t="s">
        <v>225</v>
      </c>
      <c r="W881" t="s">
        <v>228</v>
      </c>
      <c r="X881" t="s">
        <v>229</v>
      </c>
      <c r="Y881" t="s">
        <v>230</v>
      </c>
      <c r="Z881" t="s">
        <v>232</v>
      </c>
      <c r="AF881" t="s">
        <v>1861</v>
      </c>
      <c r="AG881" t="s">
        <v>142</v>
      </c>
      <c r="AH881" t="b">
        <v>0</v>
      </c>
    </row>
    <row r="882" spans="1:34">
      <c r="A882" t="s">
        <v>1861</v>
      </c>
      <c r="R882" t="s">
        <v>234</v>
      </c>
      <c r="S882" t="s">
        <v>227</v>
      </c>
      <c r="T882" t="s">
        <v>236</v>
      </c>
      <c r="V882" t="s">
        <v>225</v>
      </c>
      <c r="W882" t="s">
        <v>235</v>
      </c>
      <c r="X882" t="s">
        <v>229</v>
      </c>
      <c r="Y882" t="s">
        <v>230</v>
      </c>
      <c r="Z882" t="s">
        <v>237</v>
      </c>
      <c r="AF882" t="s">
        <v>1861</v>
      </c>
      <c r="AG882" t="s">
        <v>142</v>
      </c>
      <c r="AH882" t="b">
        <v>0</v>
      </c>
    </row>
    <row r="883" spans="1:34">
      <c r="A883" t="s">
        <v>1861</v>
      </c>
      <c r="R883" t="s">
        <v>238</v>
      </c>
      <c r="S883" t="s">
        <v>227</v>
      </c>
      <c r="T883" t="s">
        <v>239</v>
      </c>
      <c r="V883" t="s">
        <v>225</v>
      </c>
      <c r="W883" t="s">
        <v>235</v>
      </c>
      <c r="X883" t="s">
        <v>234</v>
      </c>
      <c r="Y883" t="s">
        <v>230</v>
      </c>
      <c r="Z883" t="s">
        <v>240</v>
      </c>
      <c r="AF883" t="s">
        <v>1861</v>
      </c>
      <c r="AG883" t="s">
        <v>142</v>
      </c>
      <c r="AH883" t="b">
        <v>0</v>
      </c>
    </row>
    <row r="884" spans="1:34">
      <c r="A884" t="s">
        <v>1861</v>
      </c>
      <c r="R884" t="s">
        <v>241</v>
      </c>
      <c r="S884" t="s">
        <v>227</v>
      </c>
      <c r="T884" t="s">
        <v>242</v>
      </c>
      <c r="V884" t="s">
        <v>225</v>
      </c>
      <c r="W884" t="s">
        <v>235</v>
      </c>
      <c r="X884" t="s">
        <v>234</v>
      </c>
      <c r="Y884" t="s">
        <v>230</v>
      </c>
      <c r="Z884" t="s">
        <v>243</v>
      </c>
      <c r="AF884" t="s">
        <v>1861</v>
      </c>
      <c r="AG884" t="s">
        <v>142</v>
      </c>
      <c r="AH884" t="b">
        <v>0</v>
      </c>
    </row>
    <row r="885" spans="1:34">
      <c r="A885" t="s">
        <v>1861</v>
      </c>
      <c r="R885" t="s">
        <v>245</v>
      </c>
      <c r="S885" t="s">
        <v>227</v>
      </c>
      <c r="T885" t="s">
        <v>247</v>
      </c>
      <c r="V885" t="s">
        <v>225</v>
      </c>
      <c r="W885" t="s">
        <v>246</v>
      </c>
      <c r="X885" t="s">
        <v>229</v>
      </c>
      <c r="Y885" t="s">
        <v>230</v>
      </c>
      <c r="Z885" t="s">
        <v>248</v>
      </c>
      <c r="AF885" t="s">
        <v>1861</v>
      </c>
      <c r="AG885" t="s">
        <v>142</v>
      </c>
      <c r="AH885" t="b">
        <v>0</v>
      </c>
    </row>
    <row r="886" spans="1:34">
      <c r="A886" t="s">
        <v>1861</v>
      </c>
      <c r="R886" t="s">
        <v>249</v>
      </c>
      <c r="S886" t="s">
        <v>227</v>
      </c>
      <c r="T886" t="s">
        <v>251</v>
      </c>
      <c r="V886" t="s">
        <v>225</v>
      </c>
      <c r="W886" t="s">
        <v>250</v>
      </c>
      <c r="X886" t="s">
        <v>229</v>
      </c>
      <c r="Y886" t="s">
        <v>230</v>
      </c>
      <c r="Z886" t="s">
        <v>252</v>
      </c>
      <c r="AF886" t="s">
        <v>1861</v>
      </c>
      <c r="AG886" t="s">
        <v>142</v>
      </c>
      <c r="AH886" t="b">
        <v>0</v>
      </c>
    </row>
    <row r="887" spans="1:34">
      <c r="A887" t="s">
        <v>1861</v>
      </c>
      <c r="R887" t="s">
        <v>253</v>
      </c>
      <c r="S887" t="s">
        <v>227</v>
      </c>
      <c r="T887" t="s">
        <v>255</v>
      </c>
      <c r="V887" t="s">
        <v>225</v>
      </c>
      <c r="W887" t="s">
        <v>254</v>
      </c>
      <c r="X887" t="s">
        <v>229</v>
      </c>
      <c r="Y887" t="s">
        <v>230</v>
      </c>
      <c r="Z887" t="s">
        <v>256</v>
      </c>
      <c r="AF887" t="s">
        <v>1861</v>
      </c>
      <c r="AG887" t="s">
        <v>142</v>
      </c>
      <c r="AH887" t="b">
        <v>0</v>
      </c>
    </row>
    <row r="888" spans="1:34">
      <c r="A888" t="s">
        <v>1861</v>
      </c>
      <c r="R888" t="s">
        <v>257</v>
      </c>
      <c r="S888" t="s">
        <v>227</v>
      </c>
      <c r="T888" t="s">
        <v>259</v>
      </c>
      <c r="V888" t="s">
        <v>225</v>
      </c>
      <c r="W888" t="s">
        <v>258</v>
      </c>
      <c r="X888" t="s">
        <v>229</v>
      </c>
      <c r="Y888" t="s">
        <v>230</v>
      </c>
      <c r="Z888" t="s">
        <v>260</v>
      </c>
      <c r="AF888" t="s">
        <v>1861</v>
      </c>
      <c r="AG888" t="s">
        <v>142</v>
      </c>
      <c r="AH888" t="b">
        <v>0</v>
      </c>
    </row>
    <row r="889" spans="1:34">
      <c r="A889" t="s">
        <v>1861</v>
      </c>
      <c r="R889" t="s">
        <v>261</v>
      </c>
      <c r="S889" t="s">
        <v>227</v>
      </c>
      <c r="T889" t="s">
        <v>263</v>
      </c>
      <c r="V889" t="s">
        <v>225</v>
      </c>
      <c r="W889" t="s">
        <v>262</v>
      </c>
      <c r="X889" t="s">
        <v>229</v>
      </c>
      <c r="Y889" t="s">
        <v>230</v>
      </c>
      <c r="Z889" t="s">
        <v>264</v>
      </c>
      <c r="AF889" t="s">
        <v>1861</v>
      </c>
      <c r="AG889" t="s">
        <v>142</v>
      </c>
      <c r="AH889" t="b">
        <v>0</v>
      </c>
    </row>
    <row r="890" spans="1:34">
      <c r="A890" t="s">
        <v>1861</v>
      </c>
      <c r="R890" t="s">
        <v>265</v>
      </c>
      <c r="S890" t="s">
        <v>227</v>
      </c>
      <c r="T890" t="s">
        <v>268</v>
      </c>
      <c r="V890" t="s">
        <v>225</v>
      </c>
      <c r="W890" t="s">
        <v>266</v>
      </c>
      <c r="X890" t="s">
        <v>267</v>
      </c>
      <c r="Y890" t="s">
        <v>230</v>
      </c>
      <c r="Z890" t="s">
        <v>269</v>
      </c>
      <c r="AF890" t="s">
        <v>1861</v>
      </c>
      <c r="AG890" t="s">
        <v>142</v>
      </c>
      <c r="AH890" t="b">
        <v>0</v>
      </c>
    </row>
    <row r="891" spans="1:34">
      <c r="A891" t="s">
        <v>1861</v>
      </c>
      <c r="R891" t="s">
        <v>270</v>
      </c>
      <c r="S891" t="s">
        <v>227</v>
      </c>
      <c r="T891" t="s">
        <v>273</v>
      </c>
      <c r="V891" t="s">
        <v>225</v>
      </c>
      <c r="W891" t="s">
        <v>271</v>
      </c>
      <c r="X891" t="s">
        <v>272</v>
      </c>
      <c r="Y891" t="s">
        <v>230</v>
      </c>
      <c r="Z891" t="s">
        <v>274</v>
      </c>
      <c r="AF891" t="s">
        <v>1861</v>
      </c>
      <c r="AG891" t="s">
        <v>142</v>
      </c>
      <c r="AH891" t="b">
        <v>0</v>
      </c>
    </row>
    <row r="892" spans="1:34">
      <c r="A892" t="s">
        <v>1861</v>
      </c>
      <c r="R892" t="s">
        <v>275</v>
      </c>
      <c r="S892" t="s">
        <v>227</v>
      </c>
      <c r="T892" t="s">
        <v>247</v>
      </c>
      <c r="V892" t="s">
        <v>225</v>
      </c>
      <c r="W892" t="s">
        <v>276</v>
      </c>
      <c r="X892" t="s">
        <v>272</v>
      </c>
      <c r="Y892" t="s">
        <v>230</v>
      </c>
      <c r="Z892" t="s">
        <v>277</v>
      </c>
      <c r="AF892" t="s">
        <v>1861</v>
      </c>
      <c r="AG892" t="s">
        <v>142</v>
      </c>
      <c r="AH892" t="b">
        <v>0</v>
      </c>
    </row>
    <row r="893" spans="1:34">
      <c r="A893" t="s">
        <v>1861</v>
      </c>
      <c r="R893" t="s">
        <v>278</v>
      </c>
      <c r="S893" t="s">
        <v>227</v>
      </c>
      <c r="T893" t="s">
        <v>280</v>
      </c>
      <c r="V893" t="s">
        <v>225</v>
      </c>
      <c r="W893" t="s">
        <v>279</v>
      </c>
      <c r="X893" t="s">
        <v>272</v>
      </c>
      <c r="Y893" t="s">
        <v>230</v>
      </c>
      <c r="Z893" t="s">
        <v>281</v>
      </c>
      <c r="AF893" t="s">
        <v>1861</v>
      </c>
      <c r="AG893" t="s">
        <v>142</v>
      </c>
      <c r="AH893" t="b">
        <v>0</v>
      </c>
    </row>
    <row r="894" spans="1:34">
      <c r="A894" t="s">
        <v>1861</v>
      </c>
      <c r="R894" t="s">
        <v>282</v>
      </c>
      <c r="S894" t="s">
        <v>227</v>
      </c>
      <c r="T894" t="s">
        <v>284</v>
      </c>
      <c r="V894" t="s">
        <v>225</v>
      </c>
      <c r="W894" t="s">
        <v>283</v>
      </c>
      <c r="X894" t="s">
        <v>272</v>
      </c>
      <c r="Y894" t="s">
        <v>230</v>
      </c>
      <c r="Z894" t="s">
        <v>285</v>
      </c>
      <c r="AF894" t="s">
        <v>1861</v>
      </c>
      <c r="AG894" t="s">
        <v>142</v>
      </c>
      <c r="AH894" t="b">
        <v>0</v>
      </c>
    </row>
    <row r="895" spans="1:34">
      <c r="A895" t="s">
        <v>1861</v>
      </c>
      <c r="R895" t="s">
        <v>286</v>
      </c>
      <c r="S895" t="s">
        <v>227</v>
      </c>
      <c r="T895" t="s">
        <v>288</v>
      </c>
      <c r="V895" t="s">
        <v>225</v>
      </c>
      <c r="W895" t="s">
        <v>287</v>
      </c>
      <c r="X895" t="s">
        <v>272</v>
      </c>
      <c r="Y895" t="s">
        <v>230</v>
      </c>
      <c r="Z895" t="s">
        <v>289</v>
      </c>
      <c r="AF895" t="s">
        <v>1861</v>
      </c>
      <c r="AG895" t="s">
        <v>142</v>
      </c>
      <c r="AH895" t="b">
        <v>0</v>
      </c>
    </row>
    <row r="896" spans="1:34">
      <c r="A896" t="s">
        <v>1861</v>
      </c>
      <c r="R896" t="s">
        <v>290</v>
      </c>
      <c r="S896" t="s">
        <v>227</v>
      </c>
      <c r="T896" t="s">
        <v>292</v>
      </c>
      <c r="V896" t="s">
        <v>225</v>
      </c>
      <c r="W896" t="s">
        <v>291</v>
      </c>
      <c r="X896" t="s">
        <v>272</v>
      </c>
      <c r="Y896" t="s">
        <v>230</v>
      </c>
      <c r="Z896" t="s">
        <v>293</v>
      </c>
      <c r="AF896" t="s">
        <v>1861</v>
      </c>
      <c r="AG896" t="s">
        <v>142</v>
      </c>
      <c r="AH896" t="b">
        <v>0</v>
      </c>
    </row>
    <row r="897" spans="1:34">
      <c r="A897" t="s">
        <v>1861</v>
      </c>
      <c r="R897" t="s">
        <v>294</v>
      </c>
      <c r="S897" t="s">
        <v>227</v>
      </c>
      <c r="T897" t="s">
        <v>296</v>
      </c>
      <c r="V897" t="s">
        <v>225</v>
      </c>
      <c r="W897" t="s">
        <v>295</v>
      </c>
      <c r="X897" t="s">
        <v>272</v>
      </c>
      <c r="Y897" t="s">
        <v>230</v>
      </c>
      <c r="Z897" t="s">
        <v>297</v>
      </c>
      <c r="AF897" t="s">
        <v>1861</v>
      </c>
      <c r="AG897" t="s">
        <v>142</v>
      </c>
      <c r="AH897" t="b">
        <v>0</v>
      </c>
    </row>
    <row r="898" spans="1:34">
      <c r="A898" t="s">
        <v>1861</v>
      </c>
      <c r="R898" t="s">
        <v>298</v>
      </c>
      <c r="S898" t="s">
        <v>227</v>
      </c>
      <c r="T898" t="s">
        <v>300</v>
      </c>
      <c r="V898" t="s">
        <v>225</v>
      </c>
      <c r="W898" t="s">
        <v>299</v>
      </c>
      <c r="X898" t="s">
        <v>272</v>
      </c>
      <c r="Y898" t="s">
        <v>230</v>
      </c>
      <c r="Z898" t="s">
        <v>301</v>
      </c>
      <c r="AF898" t="s">
        <v>1861</v>
      </c>
      <c r="AG898" t="s">
        <v>142</v>
      </c>
      <c r="AH898" t="b">
        <v>0</v>
      </c>
    </row>
    <row r="899" spans="1:34">
      <c r="A899" t="s">
        <v>1861</v>
      </c>
      <c r="R899" t="s">
        <v>302</v>
      </c>
      <c r="S899" t="s">
        <v>227</v>
      </c>
      <c r="T899" t="s">
        <v>305</v>
      </c>
      <c r="V899" t="s">
        <v>225</v>
      </c>
      <c r="W899" t="s">
        <v>303</v>
      </c>
      <c r="X899" t="s">
        <v>304</v>
      </c>
      <c r="Y899" t="s">
        <v>230</v>
      </c>
      <c r="Z899" t="s">
        <v>306</v>
      </c>
      <c r="AF899" t="s">
        <v>1861</v>
      </c>
      <c r="AG899" t="s">
        <v>142</v>
      </c>
      <c r="AH899" t="b">
        <v>0</v>
      </c>
    </row>
    <row r="900" spans="1:34">
      <c r="A900" t="s">
        <v>1861</v>
      </c>
      <c r="R900" t="s">
        <v>307</v>
      </c>
      <c r="S900" t="s">
        <v>227</v>
      </c>
      <c r="T900" t="s">
        <v>309</v>
      </c>
      <c r="V900" t="s">
        <v>225</v>
      </c>
      <c r="W900" t="s">
        <v>308</v>
      </c>
      <c r="X900" t="s">
        <v>304</v>
      </c>
      <c r="Y900" t="s">
        <v>230</v>
      </c>
      <c r="Z900" t="s">
        <v>310</v>
      </c>
      <c r="AF900" t="s">
        <v>1861</v>
      </c>
      <c r="AG900" t="s">
        <v>142</v>
      </c>
      <c r="AH900" t="b">
        <v>0</v>
      </c>
    </row>
    <row r="901" spans="1:34">
      <c r="A901" t="s">
        <v>1861</v>
      </c>
      <c r="R901" t="s">
        <v>311</v>
      </c>
      <c r="S901" t="s">
        <v>227</v>
      </c>
      <c r="T901" t="s">
        <v>313</v>
      </c>
      <c r="V901" t="s">
        <v>225</v>
      </c>
      <c r="W901" t="s">
        <v>312</v>
      </c>
      <c r="X901" t="s">
        <v>304</v>
      </c>
      <c r="Y901" t="s">
        <v>230</v>
      </c>
      <c r="Z901" t="s">
        <v>314</v>
      </c>
      <c r="AF901" t="s">
        <v>1861</v>
      </c>
      <c r="AG901" t="s">
        <v>142</v>
      </c>
      <c r="AH901" t="b">
        <v>0</v>
      </c>
    </row>
    <row r="902" spans="1:34">
      <c r="A902" t="s">
        <v>1861</v>
      </c>
      <c r="R902" t="s">
        <v>315</v>
      </c>
      <c r="S902" t="s">
        <v>227</v>
      </c>
      <c r="T902" t="s">
        <v>317</v>
      </c>
      <c r="V902" t="s">
        <v>225</v>
      </c>
      <c r="W902" t="s">
        <v>316</v>
      </c>
      <c r="X902" t="s">
        <v>311</v>
      </c>
      <c r="Y902" t="s">
        <v>230</v>
      </c>
      <c r="Z902" t="s">
        <v>318</v>
      </c>
      <c r="AF902" t="s">
        <v>1861</v>
      </c>
      <c r="AG902" t="s">
        <v>142</v>
      </c>
      <c r="AH902" t="b">
        <v>0</v>
      </c>
    </row>
    <row r="903" spans="1:34">
      <c r="A903" t="s">
        <v>1861</v>
      </c>
      <c r="R903" t="s">
        <v>319</v>
      </c>
      <c r="S903" t="s">
        <v>227</v>
      </c>
      <c r="T903" t="s">
        <v>321</v>
      </c>
      <c r="V903" t="s">
        <v>225</v>
      </c>
      <c r="W903" t="s">
        <v>320</v>
      </c>
      <c r="X903" t="s">
        <v>311</v>
      </c>
      <c r="Y903" t="s">
        <v>230</v>
      </c>
      <c r="Z903" t="s">
        <v>322</v>
      </c>
      <c r="AF903" t="s">
        <v>1861</v>
      </c>
      <c r="AG903" t="s">
        <v>142</v>
      </c>
      <c r="AH903" t="b">
        <v>0</v>
      </c>
    </row>
    <row r="904" spans="1:34">
      <c r="A904" t="s">
        <v>1861</v>
      </c>
      <c r="R904" t="s">
        <v>323</v>
      </c>
      <c r="S904" t="s">
        <v>227</v>
      </c>
      <c r="T904" t="s">
        <v>325</v>
      </c>
      <c r="V904" t="s">
        <v>225</v>
      </c>
      <c r="W904" t="s">
        <v>324</v>
      </c>
      <c r="X904" t="s">
        <v>304</v>
      </c>
      <c r="Y904" t="s">
        <v>230</v>
      </c>
      <c r="Z904" t="s">
        <v>326</v>
      </c>
      <c r="AF904" t="s">
        <v>1861</v>
      </c>
      <c r="AG904" t="s">
        <v>142</v>
      </c>
      <c r="AH904" t="b">
        <v>0</v>
      </c>
    </row>
    <row r="905" spans="1:34">
      <c r="A905" t="s">
        <v>1861</v>
      </c>
      <c r="R905" t="s">
        <v>327</v>
      </c>
      <c r="S905" t="s">
        <v>227</v>
      </c>
      <c r="T905" t="s">
        <v>329</v>
      </c>
      <c r="V905" t="s">
        <v>225</v>
      </c>
      <c r="W905" t="s">
        <v>328</v>
      </c>
      <c r="X905" t="s">
        <v>304</v>
      </c>
      <c r="Y905" t="s">
        <v>230</v>
      </c>
      <c r="Z905" t="s">
        <v>330</v>
      </c>
      <c r="AF905" t="s">
        <v>1861</v>
      </c>
      <c r="AG905" t="s">
        <v>142</v>
      </c>
      <c r="AH905" t="b">
        <v>0</v>
      </c>
    </row>
    <row r="906" spans="1:34">
      <c r="A906" t="s">
        <v>1861</v>
      </c>
      <c r="R906" t="s">
        <v>331</v>
      </c>
      <c r="S906" t="s">
        <v>227</v>
      </c>
      <c r="T906" t="s">
        <v>280</v>
      </c>
      <c r="V906" t="s">
        <v>225</v>
      </c>
      <c r="W906" t="s">
        <v>332</v>
      </c>
      <c r="X906" t="s">
        <v>304</v>
      </c>
      <c r="Y906" t="s">
        <v>230</v>
      </c>
      <c r="Z906" t="s">
        <v>333</v>
      </c>
      <c r="AF906" t="s">
        <v>1861</v>
      </c>
      <c r="AG906" t="s">
        <v>142</v>
      </c>
      <c r="AH906" t="b">
        <v>0</v>
      </c>
    </row>
    <row r="907" spans="1:34">
      <c r="A907" t="s">
        <v>1861</v>
      </c>
      <c r="R907" t="s">
        <v>334</v>
      </c>
      <c r="S907" t="s">
        <v>227</v>
      </c>
      <c r="T907" t="s">
        <v>336</v>
      </c>
      <c r="V907" t="s">
        <v>225</v>
      </c>
      <c r="W907" t="s">
        <v>335</v>
      </c>
      <c r="X907" t="s">
        <v>304</v>
      </c>
      <c r="Y907" t="s">
        <v>230</v>
      </c>
      <c r="Z907" t="s">
        <v>337</v>
      </c>
      <c r="AF907" t="s">
        <v>1861</v>
      </c>
      <c r="AG907" t="s">
        <v>142</v>
      </c>
      <c r="AH907" t="b">
        <v>0</v>
      </c>
    </row>
    <row r="908" spans="1:34">
      <c r="A908" t="s">
        <v>1861</v>
      </c>
      <c r="R908" t="s">
        <v>338</v>
      </c>
      <c r="S908" t="s">
        <v>227</v>
      </c>
      <c r="T908" t="s">
        <v>340</v>
      </c>
      <c r="V908" t="s">
        <v>225</v>
      </c>
      <c r="W908" t="s">
        <v>339</v>
      </c>
      <c r="X908" t="s">
        <v>304</v>
      </c>
      <c r="Y908" t="s">
        <v>230</v>
      </c>
      <c r="Z908" t="s">
        <v>341</v>
      </c>
      <c r="AF908" t="s">
        <v>1861</v>
      </c>
      <c r="AG908" t="s">
        <v>142</v>
      </c>
      <c r="AH908" t="b">
        <v>0</v>
      </c>
    </row>
    <row r="909" spans="1:34">
      <c r="A909" t="s">
        <v>1861</v>
      </c>
      <c r="R909" t="s">
        <v>342</v>
      </c>
      <c r="S909" t="s">
        <v>227</v>
      </c>
      <c r="T909" t="s">
        <v>344</v>
      </c>
      <c r="V909" t="s">
        <v>225</v>
      </c>
      <c r="W909" t="s">
        <v>343</v>
      </c>
      <c r="X909" t="s">
        <v>304</v>
      </c>
      <c r="Y909" t="s">
        <v>230</v>
      </c>
      <c r="Z909" t="s">
        <v>345</v>
      </c>
      <c r="AF909" t="s">
        <v>1861</v>
      </c>
      <c r="AG909" t="s">
        <v>142</v>
      </c>
      <c r="AH909" t="b">
        <v>0</v>
      </c>
    </row>
    <row r="910" spans="1:34">
      <c r="A910" t="s">
        <v>1861</v>
      </c>
      <c r="R910" t="s">
        <v>346</v>
      </c>
      <c r="S910" t="s">
        <v>227</v>
      </c>
      <c r="T910" t="s">
        <v>231</v>
      </c>
      <c r="V910" t="s">
        <v>225</v>
      </c>
      <c r="W910" t="s">
        <v>347</v>
      </c>
      <c r="X910" t="s">
        <v>342</v>
      </c>
      <c r="Y910" t="s">
        <v>230</v>
      </c>
      <c r="Z910" t="s">
        <v>348</v>
      </c>
      <c r="AF910" t="s">
        <v>1861</v>
      </c>
      <c r="AG910" t="s">
        <v>142</v>
      </c>
      <c r="AH910" t="b">
        <v>0</v>
      </c>
    </row>
    <row r="911" spans="1:34">
      <c r="A911" t="s">
        <v>1861</v>
      </c>
      <c r="R911" t="s">
        <v>349</v>
      </c>
      <c r="S911" t="s">
        <v>227</v>
      </c>
      <c r="T911" t="s">
        <v>236</v>
      </c>
      <c r="V911" t="s">
        <v>225</v>
      </c>
      <c r="W911" t="s">
        <v>350</v>
      </c>
      <c r="X911" t="s">
        <v>342</v>
      </c>
      <c r="Y911" t="s">
        <v>230</v>
      </c>
      <c r="Z911" t="s">
        <v>351</v>
      </c>
      <c r="AF911" t="s">
        <v>1861</v>
      </c>
      <c r="AG911" t="s">
        <v>142</v>
      </c>
      <c r="AH911" t="b">
        <v>0</v>
      </c>
    </row>
    <row r="912" spans="1:34">
      <c r="A912" t="s">
        <v>1861</v>
      </c>
      <c r="R912" t="s">
        <v>352</v>
      </c>
      <c r="S912" t="s">
        <v>227</v>
      </c>
      <c r="T912" t="s">
        <v>242</v>
      </c>
      <c r="V912" t="s">
        <v>225</v>
      </c>
      <c r="W912" t="s">
        <v>353</v>
      </c>
      <c r="X912" t="s">
        <v>342</v>
      </c>
      <c r="Y912" t="s">
        <v>230</v>
      </c>
      <c r="Z912" t="s">
        <v>354</v>
      </c>
      <c r="AF912" t="s">
        <v>1861</v>
      </c>
      <c r="AG912" t="s">
        <v>142</v>
      </c>
      <c r="AH912" t="b">
        <v>0</v>
      </c>
    </row>
    <row r="913" spans="1:34">
      <c r="A913" t="s">
        <v>1861</v>
      </c>
      <c r="R913" t="s">
        <v>355</v>
      </c>
      <c r="S913" t="s">
        <v>227</v>
      </c>
      <c r="T913" t="s">
        <v>247</v>
      </c>
      <c r="V913" t="s">
        <v>225</v>
      </c>
      <c r="W913" t="s">
        <v>356</v>
      </c>
      <c r="X913" t="s">
        <v>342</v>
      </c>
      <c r="Y913" t="s">
        <v>230</v>
      </c>
      <c r="Z913" t="s">
        <v>357</v>
      </c>
      <c r="AF913" t="s">
        <v>1861</v>
      </c>
      <c r="AG913" t="s">
        <v>142</v>
      </c>
      <c r="AH913" t="b">
        <v>0</v>
      </c>
    </row>
    <row r="914" spans="1:34">
      <c r="A914" t="s">
        <v>1861</v>
      </c>
      <c r="R914" t="s">
        <v>358</v>
      </c>
      <c r="S914" t="s">
        <v>227</v>
      </c>
      <c r="T914" t="s">
        <v>360</v>
      </c>
      <c r="V914" t="s">
        <v>225</v>
      </c>
      <c r="W914" t="s">
        <v>359</v>
      </c>
      <c r="X914" t="s">
        <v>342</v>
      </c>
      <c r="Y914" t="s">
        <v>230</v>
      </c>
      <c r="Z914" t="s">
        <v>361</v>
      </c>
      <c r="AF914" t="s">
        <v>1861</v>
      </c>
      <c r="AG914" t="s">
        <v>142</v>
      </c>
      <c r="AH914" t="b">
        <v>0</v>
      </c>
    </row>
    <row r="915" spans="1:34">
      <c r="A915" t="s">
        <v>1861</v>
      </c>
      <c r="R915" t="s">
        <v>362</v>
      </c>
      <c r="S915" t="s">
        <v>227</v>
      </c>
      <c r="T915" t="s">
        <v>255</v>
      </c>
      <c r="V915" t="s">
        <v>225</v>
      </c>
      <c r="W915" t="s">
        <v>363</v>
      </c>
      <c r="X915" t="s">
        <v>342</v>
      </c>
      <c r="Y915" t="s">
        <v>230</v>
      </c>
      <c r="Z915" t="s">
        <v>364</v>
      </c>
      <c r="AF915" t="s">
        <v>1861</v>
      </c>
      <c r="AG915" t="s">
        <v>142</v>
      </c>
      <c r="AH915" t="b">
        <v>0</v>
      </c>
    </row>
    <row r="916" spans="1:34">
      <c r="A916" t="s">
        <v>1861</v>
      </c>
      <c r="R916" t="s">
        <v>365</v>
      </c>
      <c r="S916" t="s">
        <v>227</v>
      </c>
      <c r="T916" t="s">
        <v>259</v>
      </c>
      <c r="V916" t="s">
        <v>225</v>
      </c>
      <c r="W916" t="s">
        <v>366</v>
      </c>
      <c r="X916" t="s">
        <v>342</v>
      </c>
      <c r="Y916" t="s">
        <v>230</v>
      </c>
      <c r="Z916" t="s">
        <v>367</v>
      </c>
      <c r="AF916" t="s">
        <v>1861</v>
      </c>
      <c r="AG916" t="s">
        <v>142</v>
      </c>
      <c r="AH916" t="b">
        <v>0</v>
      </c>
    </row>
    <row r="917" spans="1:34">
      <c r="A917" t="s">
        <v>1861</v>
      </c>
      <c r="R917" t="s">
        <v>368</v>
      </c>
      <c r="S917" t="s">
        <v>227</v>
      </c>
      <c r="T917" t="s">
        <v>263</v>
      </c>
      <c r="V917" t="s">
        <v>225</v>
      </c>
      <c r="W917" t="s">
        <v>369</v>
      </c>
      <c r="X917" t="s">
        <v>342</v>
      </c>
      <c r="Y917" t="s">
        <v>230</v>
      </c>
      <c r="Z917" t="s">
        <v>370</v>
      </c>
      <c r="AF917" t="s">
        <v>1861</v>
      </c>
      <c r="AG917" t="s">
        <v>142</v>
      </c>
      <c r="AH917" t="b">
        <v>0</v>
      </c>
    </row>
    <row r="918" spans="1:34">
      <c r="A918" t="s">
        <v>1861</v>
      </c>
      <c r="R918" t="s">
        <v>371</v>
      </c>
      <c r="S918" t="s">
        <v>227</v>
      </c>
      <c r="T918" t="s">
        <v>373</v>
      </c>
      <c r="V918" t="s">
        <v>225</v>
      </c>
      <c r="W918" t="s">
        <v>372</v>
      </c>
      <c r="X918" t="s">
        <v>342</v>
      </c>
      <c r="Y918" t="s">
        <v>230</v>
      </c>
      <c r="Z918" t="s">
        <v>374</v>
      </c>
      <c r="AF918" t="s">
        <v>1861</v>
      </c>
      <c r="AG918" t="s">
        <v>142</v>
      </c>
      <c r="AH918" t="b">
        <v>0</v>
      </c>
    </row>
    <row r="919" spans="1:34">
      <c r="A919" t="s">
        <v>1861</v>
      </c>
      <c r="R919" t="s">
        <v>375</v>
      </c>
      <c r="S919" t="s">
        <v>227</v>
      </c>
      <c r="T919" t="s">
        <v>377</v>
      </c>
      <c r="V919" t="s">
        <v>225</v>
      </c>
      <c r="W919" t="s">
        <v>376</v>
      </c>
      <c r="X919" t="s">
        <v>304</v>
      </c>
      <c r="Y919" t="s">
        <v>230</v>
      </c>
      <c r="Z919" t="s">
        <v>378</v>
      </c>
      <c r="AF919" t="s">
        <v>1861</v>
      </c>
      <c r="AG919" t="s">
        <v>142</v>
      </c>
      <c r="AH919" t="b">
        <v>0</v>
      </c>
    </row>
    <row r="920" spans="1:34">
      <c r="A920" t="s">
        <v>1861</v>
      </c>
      <c r="R920" t="s">
        <v>379</v>
      </c>
      <c r="S920" t="s">
        <v>227</v>
      </c>
      <c r="T920" t="s">
        <v>381</v>
      </c>
      <c r="V920" t="s">
        <v>225</v>
      </c>
      <c r="W920" t="s">
        <v>380</v>
      </c>
      <c r="X920" t="s">
        <v>304</v>
      </c>
      <c r="Y920" t="s">
        <v>230</v>
      </c>
      <c r="Z920" t="s">
        <v>382</v>
      </c>
      <c r="AF920" t="s">
        <v>1861</v>
      </c>
      <c r="AG920" t="s">
        <v>142</v>
      </c>
      <c r="AH920" t="b">
        <v>0</v>
      </c>
    </row>
    <row r="921" spans="1:34">
      <c r="A921" t="s">
        <v>1861</v>
      </c>
      <c r="R921" t="s">
        <v>383</v>
      </c>
      <c r="S921" t="s">
        <v>227</v>
      </c>
      <c r="T921" t="s">
        <v>385</v>
      </c>
      <c r="V921" t="s">
        <v>225</v>
      </c>
      <c r="W921" t="s">
        <v>384</v>
      </c>
      <c r="X921" t="s">
        <v>304</v>
      </c>
      <c r="Y921" t="s">
        <v>230</v>
      </c>
      <c r="Z921" t="s">
        <v>386</v>
      </c>
      <c r="AF921" t="s">
        <v>1861</v>
      </c>
      <c r="AG921" t="s">
        <v>142</v>
      </c>
      <c r="AH921" t="b">
        <v>0</v>
      </c>
    </row>
    <row r="922" spans="1:34">
      <c r="A922" t="s">
        <v>1861</v>
      </c>
      <c r="R922" t="s">
        <v>387</v>
      </c>
      <c r="S922" t="s">
        <v>227</v>
      </c>
      <c r="T922" t="s">
        <v>373</v>
      </c>
      <c r="V922" t="s">
        <v>225</v>
      </c>
      <c r="W922" t="s">
        <v>388</v>
      </c>
      <c r="X922" t="s">
        <v>304</v>
      </c>
      <c r="Y922" t="s">
        <v>230</v>
      </c>
      <c r="Z922" t="s">
        <v>389</v>
      </c>
      <c r="AF922" t="s">
        <v>1861</v>
      </c>
      <c r="AG922" t="s">
        <v>142</v>
      </c>
      <c r="AH922" t="b">
        <v>0</v>
      </c>
    </row>
    <row r="923" spans="1:34">
      <c r="A923" t="s">
        <v>1861</v>
      </c>
      <c r="R923" t="s">
        <v>390</v>
      </c>
      <c r="S923" t="s">
        <v>391</v>
      </c>
      <c r="T923" t="s">
        <v>394</v>
      </c>
      <c r="V923" t="s">
        <v>225</v>
      </c>
      <c r="W923" t="s">
        <v>392</v>
      </c>
      <c r="X923" t="s">
        <v>393</v>
      </c>
      <c r="Y923" t="s">
        <v>230</v>
      </c>
      <c r="Z923" t="s">
        <v>395</v>
      </c>
      <c r="AF923" t="s">
        <v>1861</v>
      </c>
      <c r="AG923" t="s">
        <v>142</v>
      </c>
      <c r="AH923" t="b">
        <v>0</v>
      </c>
    </row>
    <row r="924" spans="1:34">
      <c r="A924" t="s">
        <v>1861</v>
      </c>
      <c r="R924" t="s">
        <v>396</v>
      </c>
      <c r="S924" t="s">
        <v>397</v>
      </c>
      <c r="V924" t="s">
        <v>225</v>
      </c>
      <c r="W924" t="s">
        <v>398</v>
      </c>
      <c r="X924" t="s">
        <v>393</v>
      </c>
      <c r="Y924" t="s">
        <v>230</v>
      </c>
      <c r="Z924" t="s">
        <v>399</v>
      </c>
      <c r="AF924" t="s">
        <v>1861</v>
      </c>
      <c r="AG924" t="s">
        <v>142</v>
      </c>
      <c r="AH924" t="b">
        <v>0</v>
      </c>
    </row>
    <row r="925" spans="1:34">
      <c r="A925" t="s">
        <v>1861</v>
      </c>
      <c r="R925" t="s">
        <v>400</v>
      </c>
      <c r="S925" t="s">
        <v>401</v>
      </c>
      <c r="T925" t="s">
        <v>403</v>
      </c>
      <c r="V925" t="s">
        <v>225</v>
      </c>
      <c r="W925" t="s">
        <v>402</v>
      </c>
      <c r="X925" t="s">
        <v>393</v>
      </c>
      <c r="Y925" t="s">
        <v>230</v>
      </c>
      <c r="Z925" t="s">
        <v>404</v>
      </c>
      <c r="AF925" t="s">
        <v>1861</v>
      </c>
      <c r="AG925" t="s">
        <v>142</v>
      </c>
      <c r="AH925" t="b">
        <v>0</v>
      </c>
    </row>
    <row r="926" spans="1:34">
      <c r="A926" t="s">
        <v>1861</v>
      </c>
      <c r="R926" t="s">
        <v>405</v>
      </c>
      <c r="S926" t="s">
        <v>227</v>
      </c>
      <c r="T926" t="s">
        <v>407</v>
      </c>
      <c r="V926" t="s">
        <v>225</v>
      </c>
      <c r="W926" t="s">
        <v>406</v>
      </c>
      <c r="X926" t="s">
        <v>307</v>
      </c>
      <c r="Y926" t="s">
        <v>230</v>
      </c>
      <c r="Z926" t="s">
        <v>408</v>
      </c>
      <c r="AF926" t="s">
        <v>1861</v>
      </c>
      <c r="AG926" t="s">
        <v>142</v>
      </c>
      <c r="AH926" t="b">
        <v>0</v>
      </c>
    </row>
    <row r="927" spans="1:34">
      <c r="A927" t="s">
        <v>1861</v>
      </c>
      <c r="R927" t="s">
        <v>409</v>
      </c>
      <c r="S927" t="s">
        <v>227</v>
      </c>
      <c r="T927" t="s">
        <v>412</v>
      </c>
      <c r="V927" t="s">
        <v>225</v>
      </c>
      <c r="W927" t="s">
        <v>410</v>
      </c>
      <c r="X927" t="s">
        <v>411</v>
      </c>
      <c r="Y927" t="s">
        <v>230</v>
      </c>
      <c r="Z927" t="s">
        <v>413</v>
      </c>
      <c r="AF927" t="s">
        <v>1861</v>
      </c>
      <c r="AG927" t="s">
        <v>142</v>
      </c>
      <c r="AH927" t="b">
        <v>0</v>
      </c>
    </row>
    <row r="928" spans="1:34">
      <c r="A928" t="s">
        <v>1861</v>
      </c>
      <c r="R928" t="s">
        <v>414</v>
      </c>
      <c r="S928" t="s">
        <v>227</v>
      </c>
      <c r="T928" t="s">
        <v>417</v>
      </c>
      <c r="V928" t="s">
        <v>225</v>
      </c>
      <c r="W928" t="s">
        <v>415</v>
      </c>
      <c r="X928" t="s">
        <v>416</v>
      </c>
      <c r="Y928" t="s">
        <v>230</v>
      </c>
      <c r="Z928" t="s">
        <v>418</v>
      </c>
      <c r="AF928" t="s">
        <v>1861</v>
      </c>
      <c r="AG928" t="s">
        <v>142</v>
      </c>
      <c r="AH928" t="b">
        <v>0</v>
      </c>
    </row>
    <row r="929" spans="1:34">
      <c r="A929" t="s">
        <v>1861</v>
      </c>
      <c r="R929" t="s">
        <v>419</v>
      </c>
      <c r="S929" t="s">
        <v>227</v>
      </c>
      <c r="T929" t="s">
        <v>422</v>
      </c>
      <c r="V929" t="s">
        <v>225</v>
      </c>
      <c r="W929" t="s">
        <v>420</v>
      </c>
      <c r="X929" t="s">
        <v>421</v>
      </c>
      <c r="Y929" t="s">
        <v>230</v>
      </c>
      <c r="Z929" t="s">
        <v>423</v>
      </c>
      <c r="AF929" t="s">
        <v>1861</v>
      </c>
      <c r="AG929" t="s">
        <v>142</v>
      </c>
      <c r="AH929" t="b">
        <v>0</v>
      </c>
    </row>
    <row r="930" spans="1:34">
      <c r="A930" t="s">
        <v>1861</v>
      </c>
      <c r="R930" t="s">
        <v>424</v>
      </c>
      <c r="S930" t="s">
        <v>425</v>
      </c>
      <c r="T930" t="s">
        <v>427</v>
      </c>
      <c r="V930" t="s">
        <v>225</v>
      </c>
      <c r="W930" t="s">
        <v>426</v>
      </c>
      <c r="X930" t="s">
        <v>393</v>
      </c>
      <c r="Y930" t="s">
        <v>230</v>
      </c>
      <c r="Z930" t="s">
        <v>428</v>
      </c>
      <c r="AF930" t="s">
        <v>1861</v>
      </c>
      <c r="AG930" t="s">
        <v>142</v>
      </c>
      <c r="AH930" t="b">
        <v>0</v>
      </c>
    </row>
    <row r="931" spans="1:34">
      <c r="A931" t="s">
        <v>1861</v>
      </c>
      <c r="R931" t="s">
        <v>429</v>
      </c>
      <c r="S931" t="s">
        <v>227</v>
      </c>
      <c r="T931" t="s">
        <v>430</v>
      </c>
      <c r="V931" t="s">
        <v>225</v>
      </c>
      <c r="W931" t="s">
        <v>235</v>
      </c>
      <c r="X931" t="s">
        <v>234</v>
      </c>
      <c r="Y931" t="s">
        <v>230</v>
      </c>
      <c r="Z931" t="s">
        <v>431</v>
      </c>
      <c r="AF931" t="s">
        <v>1861</v>
      </c>
      <c r="AG931" t="s">
        <v>142</v>
      </c>
      <c r="AH931" t="b">
        <v>0</v>
      </c>
    </row>
    <row r="932" spans="1:34">
      <c r="A932" t="s">
        <v>1861</v>
      </c>
      <c r="R932" t="s">
        <v>432</v>
      </c>
      <c r="S932" t="s">
        <v>227</v>
      </c>
      <c r="T932" t="s">
        <v>433</v>
      </c>
      <c r="V932" t="s">
        <v>225</v>
      </c>
      <c r="W932" t="s">
        <v>235</v>
      </c>
      <c r="X932" t="s">
        <v>234</v>
      </c>
      <c r="Y932" t="s">
        <v>230</v>
      </c>
      <c r="Z932" t="s">
        <v>434</v>
      </c>
      <c r="AF932" t="s">
        <v>1861</v>
      </c>
      <c r="AG932" t="s">
        <v>142</v>
      </c>
      <c r="AH932" t="b">
        <v>0</v>
      </c>
    </row>
    <row r="933" spans="1:34">
      <c r="A933" t="s">
        <v>1861</v>
      </c>
      <c r="R933" t="s">
        <v>435</v>
      </c>
      <c r="S933" t="s">
        <v>227</v>
      </c>
      <c r="T933" t="s">
        <v>436</v>
      </c>
      <c r="V933" t="s">
        <v>225</v>
      </c>
      <c r="W933" t="s">
        <v>235</v>
      </c>
      <c r="X933" t="s">
        <v>234</v>
      </c>
      <c r="Y933" t="s">
        <v>230</v>
      </c>
      <c r="Z933" t="s">
        <v>437</v>
      </c>
      <c r="AF933" t="s">
        <v>1861</v>
      </c>
      <c r="AG933" t="s">
        <v>142</v>
      </c>
      <c r="AH933" t="b">
        <v>0</v>
      </c>
    </row>
    <row r="934" spans="1:34">
      <c r="A934" t="s">
        <v>1861</v>
      </c>
      <c r="R934" t="s">
        <v>438</v>
      </c>
      <c r="S934" t="s">
        <v>227</v>
      </c>
      <c r="T934" t="s">
        <v>440</v>
      </c>
      <c r="V934" t="s">
        <v>225</v>
      </c>
      <c r="W934" t="s">
        <v>439</v>
      </c>
      <c r="X934" t="s">
        <v>416</v>
      </c>
      <c r="Y934" t="s">
        <v>230</v>
      </c>
      <c r="Z934" t="s">
        <v>441</v>
      </c>
      <c r="AF934" t="s">
        <v>1861</v>
      </c>
      <c r="AG934" t="s">
        <v>142</v>
      </c>
      <c r="AH934" t="b">
        <v>0</v>
      </c>
    </row>
    <row r="935" spans="1:34">
      <c r="A935" t="s">
        <v>1861</v>
      </c>
      <c r="R935" t="s">
        <v>442</v>
      </c>
      <c r="S935" t="s">
        <v>227</v>
      </c>
      <c r="T935" t="s">
        <v>373</v>
      </c>
      <c r="V935" t="s">
        <v>225</v>
      </c>
      <c r="W935" t="s">
        <v>443</v>
      </c>
      <c r="X935" t="s">
        <v>229</v>
      </c>
      <c r="Y935" t="s">
        <v>230</v>
      </c>
      <c r="Z935" t="s">
        <v>444</v>
      </c>
      <c r="AF935" t="s">
        <v>1861</v>
      </c>
      <c r="AG935" t="s">
        <v>142</v>
      </c>
      <c r="AH935" t="b">
        <v>0</v>
      </c>
    </row>
    <row r="936" spans="1:34">
      <c r="A936" t="s">
        <v>1861</v>
      </c>
      <c r="R936" t="s">
        <v>445</v>
      </c>
      <c r="S936" t="s">
        <v>446</v>
      </c>
      <c r="T936" t="s">
        <v>448</v>
      </c>
      <c r="V936" t="s">
        <v>225</v>
      </c>
      <c r="W936" t="s">
        <v>447</v>
      </c>
      <c r="X936" t="s">
        <v>393</v>
      </c>
      <c r="Y936" t="s">
        <v>230</v>
      </c>
      <c r="Z936" t="s">
        <v>449</v>
      </c>
      <c r="AF936" t="s">
        <v>1861</v>
      </c>
      <c r="AG936" t="s">
        <v>142</v>
      </c>
      <c r="AH936" t="b">
        <v>0</v>
      </c>
    </row>
    <row r="937" spans="1:34">
      <c r="A937" t="s">
        <v>1861</v>
      </c>
      <c r="R937" t="s">
        <v>450</v>
      </c>
      <c r="S937" t="s">
        <v>227</v>
      </c>
      <c r="T937" t="s">
        <v>451</v>
      </c>
      <c r="V937" t="s">
        <v>225</v>
      </c>
      <c r="W937" t="s">
        <v>235</v>
      </c>
      <c r="X937" t="s">
        <v>234</v>
      </c>
      <c r="Y937" t="s">
        <v>230</v>
      </c>
      <c r="Z937" t="s">
        <v>452</v>
      </c>
      <c r="AF937" t="s">
        <v>1861</v>
      </c>
      <c r="AG937" t="s">
        <v>142</v>
      </c>
      <c r="AH937" t="b">
        <v>0</v>
      </c>
    </row>
    <row r="938" spans="1:34">
      <c r="A938" t="s">
        <v>1861</v>
      </c>
      <c r="R938" t="s">
        <v>453</v>
      </c>
      <c r="S938" t="s">
        <v>227</v>
      </c>
      <c r="T938" t="s">
        <v>454</v>
      </c>
      <c r="V938" t="s">
        <v>225</v>
      </c>
      <c r="W938" t="s">
        <v>235</v>
      </c>
      <c r="X938" t="s">
        <v>234</v>
      </c>
      <c r="Y938" t="s">
        <v>230</v>
      </c>
      <c r="Z938" t="s">
        <v>455</v>
      </c>
      <c r="AF938" t="s">
        <v>1861</v>
      </c>
      <c r="AG938" t="s">
        <v>142</v>
      </c>
      <c r="AH938" t="b">
        <v>0</v>
      </c>
    </row>
    <row r="939" spans="1:34">
      <c r="A939" t="s">
        <v>1861</v>
      </c>
      <c r="R939" t="s">
        <v>456</v>
      </c>
      <c r="S939" t="s">
        <v>457</v>
      </c>
      <c r="T939" t="s">
        <v>459</v>
      </c>
      <c r="V939" t="s">
        <v>225</v>
      </c>
      <c r="W939" t="s">
        <v>458</v>
      </c>
      <c r="X939" t="s">
        <v>393</v>
      </c>
      <c r="Y939" t="s">
        <v>230</v>
      </c>
      <c r="Z939" t="s">
        <v>460</v>
      </c>
      <c r="AF939" t="s">
        <v>1861</v>
      </c>
      <c r="AG939" t="s">
        <v>142</v>
      </c>
      <c r="AH939" t="b">
        <v>0</v>
      </c>
    </row>
    <row r="940" spans="1:34">
      <c r="A940" t="s">
        <v>1861</v>
      </c>
      <c r="R940" t="s">
        <v>461</v>
      </c>
      <c r="S940" t="s">
        <v>227</v>
      </c>
      <c r="T940" t="s">
        <v>463</v>
      </c>
      <c r="V940" t="s">
        <v>225</v>
      </c>
      <c r="W940" t="s">
        <v>462</v>
      </c>
      <c r="X940" t="s">
        <v>304</v>
      </c>
      <c r="Y940" t="s">
        <v>230</v>
      </c>
      <c r="Z940" t="s">
        <v>464</v>
      </c>
      <c r="AF940" t="s">
        <v>1861</v>
      </c>
      <c r="AG940" t="s">
        <v>142</v>
      </c>
      <c r="AH940" t="b">
        <v>0</v>
      </c>
    </row>
    <row r="941" spans="1:34">
      <c r="A941" t="s">
        <v>1861</v>
      </c>
      <c r="R941" t="s">
        <v>465</v>
      </c>
      <c r="S941" t="s">
        <v>227</v>
      </c>
      <c r="T941" t="s">
        <v>467</v>
      </c>
      <c r="V941" t="s">
        <v>225</v>
      </c>
      <c r="W941" t="s">
        <v>466</v>
      </c>
      <c r="X941" t="s">
        <v>272</v>
      </c>
      <c r="Y941" t="s">
        <v>230</v>
      </c>
      <c r="Z941" t="s">
        <v>468</v>
      </c>
      <c r="AF941" t="s">
        <v>1861</v>
      </c>
      <c r="AG941" t="s">
        <v>142</v>
      </c>
      <c r="AH941" t="b">
        <v>0</v>
      </c>
    </row>
    <row r="942" spans="1:34">
      <c r="A942" t="s">
        <v>1861</v>
      </c>
      <c r="R942" t="s">
        <v>469</v>
      </c>
      <c r="S942" t="s">
        <v>227</v>
      </c>
      <c r="T942" t="s">
        <v>471</v>
      </c>
      <c r="V942" t="s">
        <v>225</v>
      </c>
      <c r="W942" t="s">
        <v>470</v>
      </c>
      <c r="X942" t="s">
        <v>267</v>
      </c>
      <c r="Y942" t="s">
        <v>230</v>
      </c>
      <c r="Z942" t="s">
        <v>472</v>
      </c>
      <c r="AF942" t="s">
        <v>1861</v>
      </c>
      <c r="AG942" t="s">
        <v>142</v>
      </c>
      <c r="AH942" t="b">
        <v>0</v>
      </c>
    </row>
    <row r="943" spans="1:34">
      <c r="A943" t="s">
        <v>1861</v>
      </c>
      <c r="R943" t="s">
        <v>473</v>
      </c>
      <c r="S943" t="s">
        <v>227</v>
      </c>
      <c r="T943" t="s">
        <v>476</v>
      </c>
      <c r="V943" t="s">
        <v>225</v>
      </c>
      <c r="W943" t="s">
        <v>474</v>
      </c>
      <c r="X943" t="s">
        <v>475</v>
      </c>
      <c r="Y943" t="s">
        <v>230</v>
      </c>
      <c r="Z943" t="s">
        <v>477</v>
      </c>
      <c r="AF943" t="s">
        <v>1861</v>
      </c>
      <c r="AG943" t="s">
        <v>142</v>
      </c>
      <c r="AH943" t="b">
        <v>0</v>
      </c>
    </row>
    <row r="944" spans="1:34">
      <c r="A944" t="s">
        <v>1861</v>
      </c>
      <c r="R944" t="s">
        <v>478</v>
      </c>
      <c r="S944" t="s">
        <v>227</v>
      </c>
      <c r="T944" t="s">
        <v>480</v>
      </c>
      <c r="V944" t="s">
        <v>225</v>
      </c>
      <c r="W944" t="s">
        <v>479</v>
      </c>
      <c r="X944" t="s">
        <v>475</v>
      </c>
      <c r="Y944" t="s">
        <v>230</v>
      </c>
      <c r="Z944" t="s">
        <v>481</v>
      </c>
      <c r="AF944" t="s">
        <v>1861</v>
      </c>
      <c r="AG944" t="s">
        <v>142</v>
      </c>
      <c r="AH944" t="b">
        <v>0</v>
      </c>
    </row>
    <row r="945" spans="1:34">
      <c r="A945" t="s">
        <v>1861</v>
      </c>
      <c r="R945" t="s">
        <v>482</v>
      </c>
      <c r="S945" t="s">
        <v>227</v>
      </c>
      <c r="T945" t="s">
        <v>430</v>
      </c>
      <c r="V945" t="s">
        <v>225</v>
      </c>
      <c r="W945" t="s">
        <v>483</v>
      </c>
      <c r="X945" t="s">
        <v>349</v>
      </c>
      <c r="Y945" t="s">
        <v>230</v>
      </c>
      <c r="Z945" t="s">
        <v>484</v>
      </c>
      <c r="AF945" t="s">
        <v>1861</v>
      </c>
      <c r="AG945" t="s">
        <v>142</v>
      </c>
      <c r="AH945" t="b">
        <v>0</v>
      </c>
    </row>
    <row r="946" spans="1:34">
      <c r="A946" t="s">
        <v>1861</v>
      </c>
      <c r="R946" t="s">
        <v>485</v>
      </c>
      <c r="S946" t="s">
        <v>227</v>
      </c>
      <c r="T946" t="s">
        <v>433</v>
      </c>
      <c r="V946" t="s">
        <v>225</v>
      </c>
      <c r="W946" t="s">
        <v>486</v>
      </c>
      <c r="X946" t="s">
        <v>349</v>
      </c>
      <c r="Y946" t="s">
        <v>230</v>
      </c>
      <c r="Z946" t="s">
        <v>487</v>
      </c>
      <c r="AF946" t="s">
        <v>1861</v>
      </c>
      <c r="AG946" t="s">
        <v>142</v>
      </c>
      <c r="AH946" t="b">
        <v>0</v>
      </c>
    </row>
    <row r="947" spans="1:34">
      <c r="A947" t="s">
        <v>1861</v>
      </c>
      <c r="R947" t="s">
        <v>488</v>
      </c>
      <c r="S947" t="s">
        <v>227</v>
      </c>
      <c r="T947" t="s">
        <v>490</v>
      </c>
      <c r="V947" t="s">
        <v>225</v>
      </c>
      <c r="W947" t="s">
        <v>489</v>
      </c>
      <c r="X947" t="s">
        <v>349</v>
      </c>
      <c r="Y947" t="s">
        <v>230</v>
      </c>
      <c r="Z947" t="s">
        <v>491</v>
      </c>
      <c r="AF947" t="s">
        <v>1861</v>
      </c>
      <c r="AG947" t="s">
        <v>142</v>
      </c>
      <c r="AH947" t="b">
        <v>0</v>
      </c>
    </row>
    <row r="948" spans="1:34">
      <c r="A948" t="s">
        <v>1861</v>
      </c>
      <c r="R948" t="s">
        <v>492</v>
      </c>
      <c r="S948" t="s">
        <v>227</v>
      </c>
      <c r="T948" t="s">
        <v>494</v>
      </c>
      <c r="V948" t="s">
        <v>225</v>
      </c>
      <c r="W948" t="s">
        <v>493</v>
      </c>
      <c r="X948" t="s">
        <v>349</v>
      </c>
      <c r="Y948" t="s">
        <v>230</v>
      </c>
      <c r="Z948" t="s">
        <v>495</v>
      </c>
      <c r="AF948" t="s">
        <v>1861</v>
      </c>
      <c r="AG948" t="s">
        <v>142</v>
      </c>
      <c r="AH948" t="b">
        <v>0</v>
      </c>
    </row>
    <row r="949" spans="1:34">
      <c r="A949" t="s">
        <v>1861</v>
      </c>
      <c r="R949" t="s">
        <v>496</v>
      </c>
      <c r="S949" t="s">
        <v>227</v>
      </c>
      <c r="T949" t="s">
        <v>436</v>
      </c>
      <c r="V949" t="s">
        <v>225</v>
      </c>
      <c r="W949" t="s">
        <v>497</v>
      </c>
      <c r="X949" t="s">
        <v>349</v>
      </c>
      <c r="Y949" t="s">
        <v>230</v>
      </c>
      <c r="Z949" t="s">
        <v>498</v>
      </c>
      <c r="AF949" t="s">
        <v>1861</v>
      </c>
      <c r="AG949" t="s">
        <v>142</v>
      </c>
      <c r="AH949" t="b">
        <v>0</v>
      </c>
    </row>
    <row r="950" spans="1:34">
      <c r="A950" t="s">
        <v>1861</v>
      </c>
      <c r="R950" t="s">
        <v>499</v>
      </c>
      <c r="S950" t="s">
        <v>227</v>
      </c>
      <c r="T950" t="s">
        <v>451</v>
      </c>
      <c r="V950" t="s">
        <v>225</v>
      </c>
      <c r="W950" t="s">
        <v>500</v>
      </c>
      <c r="X950" t="s">
        <v>349</v>
      </c>
      <c r="Y950" t="s">
        <v>230</v>
      </c>
      <c r="Z950" t="s">
        <v>501</v>
      </c>
      <c r="AF950" t="s">
        <v>1861</v>
      </c>
      <c r="AG950" t="s">
        <v>142</v>
      </c>
      <c r="AH950" t="b">
        <v>0</v>
      </c>
    </row>
    <row r="951" spans="1:34">
      <c r="A951" t="s">
        <v>1861</v>
      </c>
      <c r="R951" t="s">
        <v>502</v>
      </c>
      <c r="S951" t="s">
        <v>227</v>
      </c>
      <c r="T951" t="s">
        <v>504</v>
      </c>
      <c r="V951" t="s">
        <v>225</v>
      </c>
      <c r="W951" t="s">
        <v>503</v>
      </c>
      <c r="X951" t="s">
        <v>349</v>
      </c>
      <c r="Y951" t="s">
        <v>230</v>
      </c>
      <c r="Z951" t="s">
        <v>505</v>
      </c>
      <c r="AF951" t="s">
        <v>1861</v>
      </c>
      <c r="AG951" t="s">
        <v>142</v>
      </c>
      <c r="AH951" t="b">
        <v>0</v>
      </c>
    </row>
    <row r="952" spans="1:34">
      <c r="A952" t="s">
        <v>1861</v>
      </c>
      <c r="R952" t="s">
        <v>506</v>
      </c>
      <c r="S952" t="s">
        <v>227</v>
      </c>
      <c r="T952" t="s">
        <v>509</v>
      </c>
      <c r="V952" t="s">
        <v>225</v>
      </c>
      <c r="W952" t="s">
        <v>507</v>
      </c>
      <c r="X952" t="s">
        <v>508</v>
      </c>
      <c r="Y952" t="s">
        <v>230</v>
      </c>
      <c r="Z952" t="s">
        <v>510</v>
      </c>
      <c r="AF952" t="s">
        <v>1861</v>
      </c>
      <c r="AG952" t="s">
        <v>142</v>
      </c>
      <c r="AH952" t="b">
        <v>0</v>
      </c>
    </row>
    <row r="953" spans="1:34">
      <c r="A953" t="s">
        <v>1861</v>
      </c>
      <c r="R953" t="s">
        <v>511</v>
      </c>
      <c r="S953" t="s">
        <v>227</v>
      </c>
      <c r="T953" t="s">
        <v>513</v>
      </c>
      <c r="V953" t="s">
        <v>225</v>
      </c>
      <c r="W953" t="s">
        <v>512</v>
      </c>
      <c r="X953" t="s">
        <v>508</v>
      </c>
      <c r="Y953" t="s">
        <v>230</v>
      </c>
      <c r="Z953" t="s">
        <v>514</v>
      </c>
      <c r="AF953" t="s">
        <v>1861</v>
      </c>
      <c r="AG953" t="s">
        <v>142</v>
      </c>
      <c r="AH953" t="b">
        <v>0</v>
      </c>
    </row>
    <row r="954" spans="1:34">
      <c r="A954" t="s">
        <v>1861</v>
      </c>
      <c r="R954" t="s">
        <v>515</v>
      </c>
      <c r="S954" t="s">
        <v>516</v>
      </c>
      <c r="T954" t="s">
        <v>518</v>
      </c>
      <c r="V954" t="s">
        <v>225</v>
      </c>
      <c r="W954" t="s">
        <v>517</v>
      </c>
      <c r="X954" t="s">
        <v>393</v>
      </c>
      <c r="Y954" t="s">
        <v>230</v>
      </c>
      <c r="Z954" t="s">
        <v>519</v>
      </c>
      <c r="AF954" t="s">
        <v>1861</v>
      </c>
      <c r="AG954" t="s">
        <v>142</v>
      </c>
      <c r="AH954" t="b">
        <v>0</v>
      </c>
    </row>
    <row r="955" spans="1:34">
      <c r="A955" t="s">
        <v>1861</v>
      </c>
      <c r="R955" t="s">
        <v>520</v>
      </c>
      <c r="S955" t="s">
        <v>227</v>
      </c>
      <c r="T955" t="s">
        <v>520</v>
      </c>
      <c r="V955" t="s">
        <v>225</v>
      </c>
      <c r="W955" t="s">
        <v>521</v>
      </c>
      <c r="X955" t="s">
        <v>393</v>
      </c>
      <c r="Y955" t="s">
        <v>230</v>
      </c>
      <c r="Z955" t="s">
        <v>522</v>
      </c>
      <c r="AF955" t="s">
        <v>1861</v>
      </c>
      <c r="AG955" t="s">
        <v>142</v>
      </c>
      <c r="AH955" t="b">
        <v>0</v>
      </c>
    </row>
    <row r="956" spans="1:34">
      <c r="A956" t="s">
        <v>1861</v>
      </c>
      <c r="R956" t="s">
        <v>523</v>
      </c>
      <c r="S956" t="s">
        <v>227</v>
      </c>
      <c r="T956" t="s">
        <v>525</v>
      </c>
      <c r="V956" t="s">
        <v>225</v>
      </c>
      <c r="W956" t="s">
        <v>524</v>
      </c>
      <c r="X956" t="s">
        <v>520</v>
      </c>
      <c r="Y956" t="s">
        <v>230</v>
      </c>
      <c r="Z956" t="s">
        <v>526</v>
      </c>
      <c r="AF956" t="s">
        <v>1861</v>
      </c>
      <c r="AG956" t="s">
        <v>142</v>
      </c>
      <c r="AH956" t="b">
        <v>0</v>
      </c>
    </row>
    <row r="957" spans="1:34">
      <c r="A957" t="s">
        <v>1861</v>
      </c>
      <c r="R957" t="s">
        <v>527</v>
      </c>
      <c r="S957" t="s">
        <v>227</v>
      </c>
      <c r="T957" t="s">
        <v>273</v>
      </c>
      <c r="V957" t="s">
        <v>225</v>
      </c>
      <c r="W957" t="s">
        <v>528</v>
      </c>
      <c r="X957" t="s">
        <v>520</v>
      </c>
      <c r="Y957" t="s">
        <v>230</v>
      </c>
      <c r="Z957" t="s">
        <v>529</v>
      </c>
      <c r="AF957" t="s">
        <v>1861</v>
      </c>
      <c r="AG957" t="s">
        <v>142</v>
      </c>
      <c r="AH957" t="b">
        <v>0</v>
      </c>
    </row>
    <row r="958" spans="1:34">
      <c r="A958" t="s">
        <v>1861</v>
      </c>
      <c r="R958" t="s">
        <v>530</v>
      </c>
      <c r="S958" t="s">
        <v>227</v>
      </c>
      <c r="T958" t="s">
        <v>247</v>
      </c>
      <c r="V958" t="s">
        <v>225</v>
      </c>
      <c r="W958" t="s">
        <v>531</v>
      </c>
      <c r="X958" t="s">
        <v>520</v>
      </c>
      <c r="Y958" t="s">
        <v>230</v>
      </c>
      <c r="Z958" t="s">
        <v>532</v>
      </c>
      <c r="AF958" t="s">
        <v>1861</v>
      </c>
      <c r="AG958" t="s">
        <v>142</v>
      </c>
      <c r="AH958" t="b">
        <v>0</v>
      </c>
    </row>
    <row r="959" spans="1:34">
      <c r="A959" t="s">
        <v>1861</v>
      </c>
      <c r="R959" t="s">
        <v>533</v>
      </c>
      <c r="S959" t="s">
        <v>227</v>
      </c>
      <c r="T959" t="s">
        <v>535</v>
      </c>
      <c r="V959" t="s">
        <v>225</v>
      </c>
      <c r="W959" t="s">
        <v>534</v>
      </c>
      <c r="X959" t="s">
        <v>520</v>
      </c>
      <c r="Y959" t="s">
        <v>230</v>
      </c>
      <c r="Z959" t="s">
        <v>536</v>
      </c>
      <c r="AF959" t="s">
        <v>1861</v>
      </c>
      <c r="AG959" t="s">
        <v>142</v>
      </c>
      <c r="AH959" t="b">
        <v>0</v>
      </c>
    </row>
    <row r="960" spans="1:34">
      <c r="A960" t="s">
        <v>1861</v>
      </c>
      <c r="R960" t="s">
        <v>537</v>
      </c>
      <c r="S960" t="s">
        <v>227</v>
      </c>
      <c r="T960" t="s">
        <v>280</v>
      </c>
      <c r="V960" t="s">
        <v>225</v>
      </c>
      <c r="W960" t="s">
        <v>538</v>
      </c>
      <c r="X960" t="s">
        <v>520</v>
      </c>
      <c r="Y960" t="s">
        <v>230</v>
      </c>
      <c r="Z960" t="s">
        <v>539</v>
      </c>
      <c r="AF960" t="s">
        <v>1861</v>
      </c>
      <c r="AG960" t="s">
        <v>142</v>
      </c>
      <c r="AH960" t="b">
        <v>0</v>
      </c>
    </row>
    <row r="961" spans="1:34">
      <c r="A961" t="s">
        <v>1861</v>
      </c>
      <c r="R961" t="s">
        <v>540</v>
      </c>
      <c r="S961" t="s">
        <v>227</v>
      </c>
      <c r="T961" t="s">
        <v>284</v>
      </c>
      <c r="V961" t="s">
        <v>225</v>
      </c>
      <c r="W961" t="s">
        <v>541</v>
      </c>
      <c r="X961" t="s">
        <v>520</v>
      </c>
      <c r="Y961" t="s">
        <v>230</v>
      </c>
      <c r="Z961" t="s">
        <v>542</v>
      </c>
      <c r="AF961" t="s">
        <v>1861</v>
      </c>
      <c r="AG961" t="s">
        <v>142</v>
      </c>
      <c r="AH961" t="b">
        <v>0</v>
      </c>
    </row>
    <row r="962" spans="1:34">
      <c r="A962" t="s">
        <v>1861</v>
      </c>
      <c r="R962" t="s">
        <v>543</v>
      </c>
      <c r="S962" t="s">
        <v>227</v>
      </c>
      <c r="T962" t="s">
        <v>288</v>
      </c>
      <c r="V962" t="s">
        <v>225</v>
      </c>
      <c r="W962" t="s">
        <v>544</v>
      </c>
      <c r="X962" t="s">
        <v>520</v>
      </c>
      <c r="Y962" t="s">
        <v>230</v>
      </c>
      <c r="Z962" t="s">
        <v>545</v>
      </c>
      <c r="AF962" t="s">
        <v>1861</v>
      </c>
      <c r="AG962" t="s">
        <v>142</v>
      </c>
      <c r="AH962" t="b">
        <v>0</v>
      </c>
    </row>
    <row r="963" spans="1:34">
      <c r="A963" t="s">
        <v>1861</v>
      </c>
      <c r="R963" t="s">
        <v>546</v>
      </c>
      <c r="S963" t="s">
        <v>227</v>
      </c>
      <c r="T963" t="s">
        <v>381</v>
      </c>
      <c r="V963" t="s">
        <v>225</v>
      </c>
      <c r="W963" t="s">
        <v>547</v>
      </c>
      <c r="X963" t="s">
        <v>520</v>
      </c>
      <c r="Y963" t="s">
        <v>230</v>
      </c>
      <c r="Z963" t="s">
        <v>548</v>
      </c>
      <c r="AF963" t="s">
        <v>1861</v>
      </c>
      <c r="AG963" t="s">
        <v>142</v>
      </c>
      <c r="AH963" t="b">
        <v>0</v>
      </c>
    </row>
    <row r="964" spans="1:34">
      <c r="A964" t="s">
        <v>1861</v>
      </c>
      <c r="R964" t="s">
        <v>549</v>
      </c>
      <c r="S964" t="s">
        <v>227</v>
      </c>
      <c r="T964" t="s">
        <v>296</v>
      </c>
      <c r="V964" t="s">
        <v>225</v>
      </c>
      <c r="W964" t="s">
        <v>550</v>
      </c>
      <c r="X964" t="s">
        <v>520</v>
      </c>
      <c r="Y964" t="s">
        <v>230</v>
      </c>
      <c r="Z964" t="s">
        <v>551</v>
      </c>
      <c r="AF964" t="s">
        <v>1861</v>
      </c>
      <c r="AG964" t="s">
        <v>142</v>
      </c>
      <c r="AH964" t="b">
        <v>0</v>
      </c>
    </row>
    <row r="965" spans="1:34">
      <c r="A965" t="s">
        <v>1861</v>
      </c>
      <c r="R965" t="s">
        <v>552</v>
      </c>
      <c r="S965" t="s">
        <v>227</v>
      </c>
      <c r="T965" t="s">
        <v>300</v>
      </c>
      <c r="V965" t="s">
        <v>225</v>
      </c>
      <c r="W965" t="s">
        <v>553</v>
      </c>
      <c r="X965" t="s">
        <v>520</v>
      </c>
      <c r="Y965" t="s">
        <v>230</v>
      </c>
      <c r="Z965" t="s">
        <v>554</v>
      </c>
      <c r="AF965" t="s">
        <v>1861</v>
      </c>
      <c r="AG965" t="s">
        <v>142</v>
      </c>
      <c r="AH965" t="b">
        <v>0</v>
      </c>
    </row>
    <row r="966" spans="1:34">
      <c r="A966" t="s">
        <v>1861</v>
      </c>
      <c r="R966" t="s">
        <v>555</v>
      </c>
      <c r="S966" t="s">
        <v>227</v>
      </c>
      <c r="T966" t="s">
        <v>557</v>
      </c>
      <c r="V966" t="s">
        <v>225</v>
      </c>
      <c r="W966" t="s">
        <v>556</v>
      </c>
      <c r="X966" t="s">
        <v>520</v>
      </c>
      <c r="Y966" t="s">
        <v>230</v>
      </c>
      <c r="Z966" t="s">
        <v>558</v>
      </c>
      <c r="AF966" t="s">
        <v>1861</v>
      </c>
      <c r="AG966" t="s">
        <v>142</v>
      </c>
      <c r="AH966" t="b">
        <v>0</v>
      </c>
    </row>
    <row r="967" spans="1:34">
      <c r="A967" t="s">
        <v>1861</v>
      </c>
      <c r="R967" t="s">
        <v>559</v>
      </c>
      <c r="S967" t="s">
        <v>227</v>
      </c>
      <c r="T967" t="s">
        <v>561</v>
      </c>
      <c r="V967" t="s">
        <v>225</v>
      </c>
      <c r="W967" t="s">
        <v>560</v>
      </c>
      <c r="X967" t="s">
        <v>520</v>
      </c>
      <c r="Y967" t="s">
        <v>230</v>
      </c>
      <c r="Z967" t="s">
        <v>562</v>
      </c>
      <c r="AF967" t="s">
        <v>1861</v>
      </c>
      <c r="AG967" t="s">
        <v>142</v>
      </c>
      <c r="AH967" t="b">
        <v>0</v>
      </c>
    </row>
    <row r="968" spans="1:34">
      <c r="A968" t="s">
        <v>1861</v>
      </c>
      <c r="R968" t="s">
        <v>563</v>
      </c>
      <c r="S968" t="s">
        <v>227</v>
      </c>
      <c r="T968" t="s">
        <v>231</v>
      </c>
      <c r="V968" t="s">
        <v>225</v>
      </c>
      <c r="W968" t="s">
        <v>564</v>
      </c>
      <c r="X968" t="s">
        <v>559</v>
      </c>
      <c r="Y968" t="s">
        <v>230</v>
      </c>
      <c r="Z968" t="s">
        <v>565</v>
      </c>
      <c r="AF968" t="s">
        <v>1861</v>
      </c>
      <c r="AG968" t="s">
        <v>142</v>
      </c>
      <c r="AH968" t="b">
        <v>0</v>
      </c>
    </row>
    <row r="969" spans="1:34">
      <c r="A969" t="s">
        <v>1861</v>
      </c>
      <c r="R969" t="s">
        <v>566</v>
      </c>
      <c r="S969" t="s">
        <v>227</v>
      </c>
      <c r="T969" t="s">
        <v>236</v>
      </c>
      <c r="V969" t="s">
        <v>225</v>
      </c>
      <c r="W969" t="s">
        <v>567</v>
      </c>
      <c r="X969" t="s">
        <v>559</v>
      </c>
      <c r="Y969" t="s">
        <v>230</v>
      </c>
      <c r="Z969" t="s">
        <v>568</v>
      </c>
      <c r="AF969" t="s">
        <v>1861</v>
      </c>
      <c r="AG969" t="s">
        <v>142</v>
      </c>
      <c r="AH969" t="b">
        <v>0</v>
      </c>
    </row>
    <row r="970" spans="1:34">
      <c r="A970" t="s">
        <v>1861</v>
      </c>
      <c r="R970" t="s">
        <v>569</v>
      </c>
      <c r="S970" t="s">
        <v>227</v>
      </c>
      <c r="T970" t="s">
        <v>239</v>
      </c>
      <c r="V970" t="s">
        <v>225</v>
      </c>
      <c r="W970" t="s">
        <v>570</v>
      </c>
      <c r="X970" t="s">
        <v>566</v>
      </c>
      <c r="Y970" t="s">
        <v>230</v>
      </c>
      <c r="Z970" t="s">
        <v>571</v>
      </c>
      <c r="AF970" t="s">
        <v>1861</v>
      </c>
      <c r="AG970" t="s">
        <v>142</v>
      </c>
      <c r="AH970" t="b">
        <v>0</v>
      </c>
    </row>
    <row r="971" spans="1:34">
      <c r="A971" t="s">
        <v>1861</v>
      </c>
      <c r="R971" t="s">
        <v>572</v>
      </c>
      <c r="S971" t="s">
        <v>227</v>
      </c>
      <c r="T971" t="s">
        <v>242</v>
      </c>
      <c r="V971" t="s">
        <v>225</v>
      </c>
      <c r="W971" t="s">
        <v>573</v>
      </c>
      <c r="X971" t="s">
        <v>566</v>
      </c>
      <c r="Y971" t="s">
        <v>230</v>
      </c>
      <c r="Z971" t="s">
        <v>574</v>
      </c>
      <c r="AF971" t="s">
        <v>1861</v>
      </c>
      <c r="AG971" t="s">
        <v>142</v>
      </c>
      <c r="AH971" t="b">
        <v>0</v>
      </c>
    </row>
    <row r="972" spans="1:34">
      <c r="A972" t="s">
        <v>1861</v>
      </c>
      <c r="R972" t="s">
        <v>575</v>
      </c>
      <c r="S972" t="s">
        <v>227</v>
      </c>
      <c r="T972" t="s">
        <v>430</v>
      </c>
      <c r="V972" t="s">
        <v>225</v>
      </c>
      <c r="W972" t="s">
        <v>576</v>
      </c>
      <c r="X972" t="s">
        <v>566</v>
      </c>
      <c r="Y972" t="s">
        <v>230</v>
      </c>
      <c r="Z972" t="s">
        <v>577</v>
      </c>
      <c r="AF972" t="s">
        <v>1861</v>
      </c>
      <c r="AG972" t="s">
        <v>142</v>
      </c>
      <c r="AH972" t="b">
        <v>0</v>
      </c>
    </row>
    <row r="973" spans="1:34">
      <c r="A973" t="s">
        <v>1861</v>
      </c>
      <c r="R973" t="s">
        <v>578</v>
      </c>
      <c r="S973" t="s">
        <v>227</v>
      </c>
      <c r="T973" t="s">
        <v>433</v>
      </c>
      <c r="V973" t="s">
        <v>225</v>
      </c>
      <c r="W973" t="s">
        <v>579</v>
      </c>
      <c r="X973" t="s">
        <v>566</v>
      </c>
      <c r="Y973" t="s">
        <v>230</v>
      </c>
      <c r="Z973" t="s">
        <v>580</v>
      </c>
      <c r="AF973" t="s">
        <v>1861</v>
      </c>
      <c r="AG973" t="s">
        <v>142</v>
      </c>
      <c r="AH973" t="b">
        <v>0</v>
      </c>
    </row>
    <row r="974" spans="1:34">
      <c r="A974" t="s">
        <v>1861</v>
      </c>
      <c r="R974" t="s">
        <v>581</v>
      </c>
      <c r="S974" t="s">
        <v>227</v>
      </c>
      <c r="T974" t="s">
        <v>490</v>
      </c>
      <c r="V974" t="s">
        <v>225</v>
      </c>
      <c r="W974" t="s">
        <v>582</v>
      </c>
      <c r="X974" t="s">
        <v>566</v>
      </c>
      <c r="Y974" t="s">
        <v>230</v>
      </c>
      <c r="Z974" t="s">
        <v>583</v>
      </c>
      <c r="AF974" t="s">
        <v>1861</v>
      </c>
      <c r="AG974" t="s">
        <v>142</v>
      </c>
      <c r="AH974" t="b">
        <v>0</v>
      </c>
    </row>
    <row r="975" spans="1:34">
      <c r="A975" t="s">
        <v>1861</v>
      </c>
      <c r="R975" t="s">
        <v>584</v>
      </c>
      <c r="S975" t="s">
        <v>227</v>
      </c>
      <c r="T975" t="s">
        <v>494</v>
      </c>
      <c r="V975" t="s">
        <v>225</v>
      </c>
      <c r="W975" t="s">
        <v>585</v>
      </c>
      <c r="X975" t="s">
        <v>566</v>
      </c>
      <c r="Y975" t="s">
        <v>230</v>
      </c>
      <c r="Z975" t="s">
        <v>586</v>
      </c>
      <c r="AF975" t="s">
        <v>1861</v>
      </c>
      <c r="AG975" t="s">
        <v>142</v>
      </c>
      <c r="AH975" t="b">
        <v>0</v>
      </c>
    </row>
    <row r="976" spans="1:34">
      <c r="A976" t="s">
        <v>1861</v>
      </c>
      <c r="R976" t="s">
        <v>587</v>
      </c>
      <c r="S976" t="s">
        <v>227</v>
      </c>
      <c r="T976" t="s">
        <v>436</v>
      </c>
      <c r="V976" t="s">
        <v>225</v>
      </c>
      <c r="W976" t="s">
        <v>588</v>
      </c>
      <c r="X976" t="s">
        <v>566</v>
      </c>
      <c r="Y976" t="s">
        <v>230</v>
      </c>
      <c r="Z976" t="s">
        <v>589</v>
      </c>
      <c r="AF976" t="s">
        <v>1861</v>
      </c>
      <c r="AG976" t="s">
        <v>142</v>
      </c>
      <c r="AH976" t="b">
        <v>0</v>
      </c>
    </row>
    <row r="977" spans="1:34">
      <c r="A977" t="s">
        <v>1861</v>
      </c>
      <c r="R977" t="s">
        <v>590</v>
      </c>
      <c r="S977" t="s">
        <v>227</v>
      </c>
      <c r="T977" t="s">
        <v>451</v>
      </c>
      <c r="V977" t="s">
        <v>225</v>
      </c>
      <c r="W977" t="s">
        <v>591</v>
      </c>
      <c r="X977" t="s">
        <v>566</v>
      </c>
      <c r="Y977" t="s">
        <v>230</v>
      </c>
      <c r="Z977" t="s">
        <v>592</v>
      </c>
      <c r="AF977" t="s">
        <v>1861</v>
      </c>
      <c r="AG977" t="s">
        <v>142</v>
      </c>
      <c r="AH977" t="b">
        <v>0</v>
      </c>
    </row>
    <row r="978" spans="1:34">
      <c r="A978" t="s">
        <v>1861</v>
      </c>
      <c r="R978" t="s">
        <v>593</v>
      </c>
      <c r="S978" t="s">
        <v>227</v>
      </c>
      <c r="T978" t="s">
        <v>595</v>
      </c>
      <c r="V978" t="s">
        <v>225</v>
      </c>
      <c r="W978" t="s">
        <v>594</v>
      </c>
      <c r="X978" t="s">
        <v>566</v>
      </c>
      <c r="Y978" t="s">
        <v>230</v>
      </c>
      <c r="Z978" t="s">
        <v>596</v>
      </c>
      <c r="AF978" t="s">
        <v>1861</v>
      </c>
      <c r="AG978" t="s">
        <v>142</v>
      </c>
      <c r="AH978" t="b">
        <v>0</v>
      </c>
    </row>
    <row r="979" spans="1:34">
      <c r="A979" t="s">
        <v>1861</v>
      </c>
      <c r="R979" t="s">
        <v>597</v>
      </c>
      <c r="S979" t="s">
        <v>227</v>
      </c>
      <c r="T979" t="s">
        <v>247</v>
      </c>
      <c r="V979" t="s">
        <v>225</v>
      </c>
      <c r="W979" t="s">
        <v>598</v>
      </c>
      <c r="X979" t="s">
        <v>559</v>
      </c>
      <c r="Y979" t="s">
        <v>230</v>
      </c>
      <c r="Z979" t="s">
        <v>599</v>
      </c>
      <c r="AF979" t="s">
        <v>1861</v>
      </c>
      <c r="AG979" t="s">
        <v>142</v>
      </c>
      <c r="AH979" t="b">
        <v>0</v>
      </c>
    </row>
    <row r="980" spans="1:34">
      <c r="A980" t="s">
        <v>1861</v>
      </c>
      <c r="R980" t="s">
        <v>600</v>
      </c>
      <c r="S980" t="s">
        <v>227</v>
      </c>
      <c r="T980" t="s">
        <v>251</v>
      </c>
      <c r="V980" t="s">
        <v>225</v>
      </c>
      <c r="W980" t="s">
        <v>601</v>
      </c>
      <c r="X980" t="s">
        <v>559</v>
      </c>
      <c r="Y980" t="s">
        <v>230</v>
      </c>
      <c r="Z980" t="s">
        <v>602</v>
      </c>
      <c r="AF980" t="s">
        <v>1861</v>
      </c>
      <c r="AG980" t="s">
        <v>142</v>
      </c>
      <c r="AH980" t="b">
        <v>0</v>
      </c>
    </row>
    <row r="981" spans="1:34">
      <c r="A981" t="s">
        <v>1861</v>
      </c>
      <c r="R981" t="s">
        <v>603</v>
      </c>
      <c r="S981" t="s">
        <v>227</v>
      </c>
      <c r="T981" t="s">
        <v>255</v>
      </c>
      <c r="V981" t="s">
        <v>225</v>
      </c>
      <c r="W981" t="s">
        <v>604</v>
      </c>
      <c r="X981" t="s">
        <v>559</v>
      </c>
      <c r="Y981" t="s">
        <v>230</v>
      </c>
      <c r="Z981" t="s">
        <v>605</v>
      </c>
      <c r="AF981" t="s">
        <v>1861</v>
      </c>
      <c r="AG981" t="s">
        <v>142</v>
      </c>
      <c r="AH981" t="b">
        <v>0</v>
      </c>
    </row>
    <row r="982" spans="1:34">
      <c r="A982" t="s">
        <v>1861</v>
      </c>
      <c r="R982" t="s">
        <v>606</v>
      </c>
      <c r="S982" t="s">
        <v>227</v>
      </c>
      <c r="T982" t="s">
        <v>608</v>
      </c>
      <c r="V982" t="s">
        <v>225</v>
      </c>
      <c r="W982" t="s">
        <v>607</v>
      </c>
      <c r="X982" t="s">
        <v>559</v>
      </c>
      <c r="Y982" t="s">
        <v>230</v>
      </c>
      <c r="Z982" t="s">
        <v>609</v>
      </c>
      <c r="AF982" t="s">
        <v>1861</v>
      </c>
      <c r="AG982" t="s">
        <v>142</v>
      </c>
      <c r="AH982" t="b">
        <v>0</v>
      </c>
    </row>
    <row r="983" spans="1:34">
      <c r="A983" t="s">
        <v>1861</v>
      </c>
      <c r="R983" t="s">
        <v>610</v>
      </c>
      <c r="S983" t="s">
        <v>227</v>
      </c>
      <c r="T983" t="s">
        <v>612</v>
      </c>
      <c r="V983" t="s">
        <v>225</v>
      </c>
      <c r="W983" t="s">
        <v>611</v>
      </c>
      <c r="X983" t="s">
        <v>559</v>
      </c>
      <c r="Y983" t="s">
        <v>230</v>
      </c>
      <c r="Z983" t="s">
        <v>613</v>
      </c>
      <c r="AF983" t="s">
        <v>1861</v>
      </c>
      <c r="AG983" t="s">
        <v>142</v>
      </c>
      <c r="AH983" t="b">
        <v>0</v>
      </c>
    </row>
    <row r="984" spans="1:34">
      <c r="A984" t="s">
        <v>1861</v>
      </c>
      <c r="R984" t="s">
        <v>614</v>
      </c>
      <c r="S984" t="s">
        <v>227</v>
      </c>
      <c r="T984" t="s">
        <v>373</v>
      </c>
      <c r="V984" t="s">
        <v>225</v>
      </c>
      <c r="W984" t="s">
        <v>615</v>
      </c>
      <c r="X984" t="s">
        <v>559</v>
      </c>
      <c r="Y984" t="s">
        <v>230</v>
      </c>
      <c r="Z984" t="s">
        <v>616</v>
      </c>
      <c r="AF984" t="s">
        <v>1861</v>
      </c>
      <c r="AG984" t="s">
        <v>142</v>
      </c>
      <c r="AH984" t="b">
        <v>0</v>
      </c>
    </row>
    <row r="985" spans="1:34">
      <c r="A985" t="s">
        <v>1861</v>
      </c>
      <c r="R985" t="s">
        <v>617</v>
      </c>
      <c r="S985" t="s">
        <v>227</v>
      </c>
      <c r="T985" t="s">
        <v>619</v>
      </c>
      <c r="V985" t="s">
        <v>225</v>
      </c>
      <c r="W985" t="s">
        <v>618</v>
      </c>
      <c r="X985" t="s">
        <v>393</v>
      </c>
      <c r="Y985" t="s">
        <v>230</v>
      </c>
      <c r="Z985" t="s">
        <v>620</v>
      </c>
      <c r="AF985" t="s">
        <v>1861</v>
      </c>
      <c r="AG985" t="s">
        <v>142</v>
      </c>
      <c r="AH985" t="b">
        <v>0</v>
      </c>
    </row>
    <row r="986" spans="1:34">
      <c r="A986" t="s">
        <v>1861</v>
      </c>
      <c r="R986" t="s">
        <v>621</v>
      </c>
      <c r="S986" t="s">
        <v>622</v>
      </c>
      <c r="T986" t="s">
        <v>624</v>
      </c>
      <c r="V986" t="s">
        <v>225</v>
      </c>
      <c r="W986" t="s">
        <v>623</v>
      </c>
      <c r="X986" t="s">
        <v>393</v>
      </c>
      <c r="Y986" t="s">
        <v>230</v>
      </c>
      <c r="Z986" t="s">
        <v>625</v>
      </c>
      <c r="AF986" t="s">
        <v>1861</v>
      </c>
      <c r="AG986" t="s">
        <v>142</v>
      </c>
      <c r="AH986" t="b">
        <v>0</v>
      </c>
    </row>
    <row r="987" spans="1:34">
      <c r="A987" t="s">
        <v>1861</v>
      </c>
      <c r="R987" t="s">
        <v>626</v>
      </c>
      <c r="S987" t="s">
        <v>627</v>
      </c>
      <c r="T987" t="s">
        <v>629</v>
      </c>
      <c r="V987" t="s">
        <v>225</v>
      </c>
      <c r="W987" t="s">
        <v>628</v>
      </c>
      <c r="X987" t="s">
        <v>393</v>
      </c>
      <c r="Y987" t="s">
        <v>230</v>
      </c>
      <c r="Z987" t="s">
        <v>630</v>
      </c>
      <c r="AF987" t="s">
        <v>1861</v>
      </c>
      <c r="AG987" t="s">
        <v>142</v>
      </c>
      <c r="AH987" t="b">
        <v>0</v>
      </c>
    </row>
    <row r="988" spans="1:34">
      <c r="A988" t="s">
        <v>1861</v>
      </c>
      <c r="R988" t="s">
        <v>631</v>
      </c>
      <c r="S988" t="s">
        <v>632</v>
      </c>
      <c r="T988" t="s">
        <v>634</v>
      </c>
      <c r="V988" t="s">
        <v>225</v>
      </c>
      <c r="W988" t="s">
        <v>633</v>
      </c>
      <c r="X988" t="s">
        <v>393</v>
      </c>
      <c r="Y988" t="s">
        <v>230</v>
      </c>
      <c r="Z988" t="s">
        <v>635</v>
      </c>
      <c r="AF988" t="s">
        <v>1861</v>
      </c>
      <c r="AG988" t="s">
        <v>142</v>
      </c>
      <c r="AH988" t="b">
        <v>0</v>
      </c>
    </row>
    <row r="989" spans="1:34">
      <c r="A989" t="s">
        <v>1861</v>
      </c>
      <c r="R989" t="s">
        <v>636</v>
      </c>
      <c r="S989" t="s">
        <v>637</v>
      </c>
      <c r="T989" t="s">
        <v>639</v>
      </c>
      <c r="V989" t="s">
        <v>225</v>
      </c>
      <c r="W989" t="s">
        <v>638</v>
      </c>
      <c r="X989" t="s">
        <v>393</v>
      </c>
      <c r="Y989" t="s">
        <v>230</v>
      </c>
      <c r="Z989" t="s">
        <v>640</v>
      </c>
      <c r="AF989" t="s">
        <v>1861</v>
      </c>
      <c r="AG989" t="s">
        <v>142</v>
      </c>
      <c r="AH989" t="b">
        <v>0</v>
      </c>
    </row>
    <row r="990" spans="1:34">
      <c r="A990" t="s">
        <v>1861</v>
      </c>
      <c r="R990" t="s">
        <v>641</v>
      </c>
      <c r="S990" t="s">
        <v>642</v>
      </c>
      <c r="T990" t="s">
        <v>644</v>
      </c>
      <c r="V990" t="s">
        <v>225</v>
      </c>
      <c r="W990" t="s">
        <v>643</v>
      </c>
      <c r="X990" t="s">
        <v>393</v>
      </c>
      <c r="Y990" t="s">
        <v>230</v>
      </c>
      <c r="Z990" t="s">
        <v>645</v>
      </c>
      <c r="AF990" t="s">
        <v>1861</v>
      </c>
      <c r="AG990" t="s">
        <v>142</v>
      </c>
      <c r="AH990" t="b">
        <v>0</v>
      </c>
    </row>
    <row r="991" spans="1:34">
      <c r="A991" t="s">
        <v>1861</v>
      </c>
      <c r="R991" t="s">
        <v>646</v>
      </c>
      <c r="S991" t="s">
        <v>647</v>
      </c>
      <c r="T991" t="s">
        <v>649</v>
      </c>
      <c r="V991" t="s">
        <v>225</v>
      </c>
      <c r="W991" t="s">
        <v>648</v>
      </c>
      <c r="X991" t="s">
        <v>393</v>
      </c>
      <c r="Y991" t="s">
        <v>230</v>
      </c>
      <c r="Z991" t="s">
        <v>650</v>
      </c>
      <c r="AF991" t="s">
        <v>1861</v>
      </c>
      <c r="AG991" t="s">
        <v>142</v>
      </c>
      <c r="AH991" t="b">
        <v>0</v>
      </c>
    </row>
    <row r="992" spans="1:34">
      <c r="A992" t="s">
        <v>1861</v>
      </c>
      <c r="R992" t="s">
        <v>651</v>
      </c>
      <c r="S992" t="s">
        <v>652</v>
      </c>
      <c r="T992" t="s">
        <v>654</v>
      </c>
      <c r="V992" t="s">
        <v>225</v>
      </c>
      <c r="W992" t="s">
        <v>653</v>
      </c>
      <c r="X992" t="s">
        <v>393</v>
      </c>
      <c r="Y992" t="s">
        <v>230</v>
      </c>
      <c r="Z992" t="s">
        <v>655</v>
      </c>
      <c r="AF992" t="s">
        <v>1861</v>
      </c>
      <c r="AG992" t="s">
        <v>142</v>
      </c>
      <c r="AH992" t="b">
        <v>0</v>
      </c>
    </row>
    <row r="993" spans="1:34">
      <c r="A993" t="s">
        <v>1861</v>
      </c>
      <c r="R993" t="s">
        <v>656</v>
      </c>
      <c r="S993" t="s">
        <v>227</v>
      </c>
      <c r="T993" t="s">
        <v>658</v>
      </c>
      <c r="V993" t="s">
        <v>225</v>
      </c>
      <c r="W993" t="s">
        <v>657</v>
      </c>
      <c r="X993" t="s">
        <v>307</v>
      </c>
      <c r="Y993" t="s">
        <v>230</v>
      </c>
      <c r="Z993" t="s">
        <v>659</v>
      </c>
      <c r="AF993" t="s">
        <v>1861</v>
      </c>
      <c r="AG993" t="s">
        <v>142</v>
      </c>
      <c r="AH993" t="b">
        <v>0</v>
      </c>
    </row>
    <row r="994" spans="1:34">
      <c r="A994" t="s">
        <v>1861</v>
      </c>
      <c r="R994" t="s">
        <v>660</v>
      </c>
      <c r="S994" t="s">
        <v>227</v>
      </c>
      <c r="T994" t="s">
        <v>662</v>
      </c>
      <c r="V994" t="s">
        <v>225</v>
      </c>
      <c r="W994" t="s">
        <v>661</v>
      </c>
      <c r="X994" t="s">
        <v>393</v>
      </c>
      <c r="Y994" t="s">
        <v>230</v>
      </c>
      <c r="Z994" t="s">
        <v>663</v>
      </c>
      <c r="AF994" t="s">
        <v>1861</v>
      </c>
      <c r="AG994" t="s">
        <v>142</v>
      </c>
      <c r="AH994" t="b">
        <v>0</v>
      </c>
    </row>
    <row r="995" spans="1:34">
      <c r="A995" t="s">
        <v>1861</v>
      </c>
      <c r="R995" t="s">
        <v>664</v>
      </c>
      <c r="S995" t="s">
        <v>665</v>
      </c>
      <c r="T995" t="s">
        <v>667</v>
      </c>
      <c r="V995" t="s">
        <v>225</v>
      </c>
      <c r="W995" t="s">
        <v>666</v>
      </c>
      <c r="X995" t="s">
        <v>393</v>
      </c>
      <c r="Y995" t="s">
        <v>230</v>
      </c>
      <c r="Z995" t="s">
        <v>668</v>
      </c>
      <c r="AF995" t="s">
        <v>1861</v>
      </c>
      <c r="AG995" t="s">
        <v>142</v>
      </c>
      <c r="AH995" t="b">
        <v>0</v>
      </c>
    </row>
    <row r="996" spans="1:34">
      <c r="A996" t="s">
        <v>1861</v>
      </c>
      <c r="R996" t="s">
        <v>669</v>
      </c>
      <c r="S996" t="s">
        <v>670</v>
      </c>
      <c r="T996" t="s">
        <v>672</v>
      </c>
      <c r="V996" t="s">
        <v>225</v>
      </c>
      <c r="W996" t="s">
        <v>671</v>
      </c>
      <c r="X996" t="s">
        <v>393</v>
      </c>
      <c r="Y996" t="s">
        <v>230</v>
      </c>
      <c r="Z996" t="s">
        <v>673</v>
      </c>
      <c r="AF996" t="s">
        <v>1861</v>
      </c>
      <c r="AG996" t="s">
        <v>142</v>
      </c>
      <c r="AH996" t="b">
        <v>0</v>
      </c>
    </row>
    <row r="997" spans="1:34">
      <c r="A997" t="s">
        <v>1861</v>
      </c>
      <c r="R997" t="s">
        <v>674</v>
      </c>
      <c r="S997" t="s">
        <v>227</v>
      </c>
      <c r="T997" t="s">
        <v>676</v>
      </c>
      <c r="V997" t="s">
        <v>225</v>
      </c>
      <c r="W997" t="s">
        <v>675</v>
      </c>
      <c r="X997" t="s">
        <v>393</v>
      </c>
      <c r="Y997" t="s">
        <v>230</v>
      </c>
      <c r="Z997" t="s">
        <v>677</v>
      </c>
      <c r="AF997" t="s">
        <v>1861</v>
      </c>
      <c r="AG997" t="s">
        <v>142</v>
      </c>
      <c r="AH997" t="b">
        <v>0</v>
      </c>
    </row>
    <row r="998" spans="1:34">
      <c r="A998" t="s">
        <v>1861</v>
      </c>
      <c r="R998" t="s">
        <v>678</v>
      </c>
      <c r="S998" t="s">
        <v>227</v>
      </c>
      <c r="T998" t="s">
        <v>680</v>
      </c>
      <c r="V998" t="s">
        <v>225</v>
      </c>
      <c r="W998" t="s">
        <v>679</v>
      </c>
      <c r="X998" t="s">
        <v>393</v>
      </c>
      <c r="Y998" t="s">
        <v>230</v>
      </c>
      <c r="Z998" t="s">
        <v>681</v>
      </c>
      <c r="AF998" t="s">
        <v>1861</v>
      </c>
      <c r="AG998" t="s">
        <v>142</v>
      </c>
      <c r="AH998" t="b">
        <v>0</v>
      </c>
    </row>
    <row r="999" spans="1:34">
      <c r="A999" t="s">
        <v>1861</v>
      </c>
      <c r="R999" t="s">
        <v>682</v>
      </c>
      <c r="S999" t="s">
        <v>227</v>
      </c>
      <c r="T999" t="s">
        <v>684</v>
      </c>
      <c r="V999" t="s">
        <v>225</v>
      </c>
      <c r="W999" t="s">
        <v>683</v>
      </c>
      <c r="X999" t="s">
        <v>393</v>
      </c>
      <c r="Y999" t="s">
        <v>230</v>
      </c>
      <c r="Z999" t="s">
        <v>685</v>
      </c>
      <c r="AF999" t="s">
        <v>1861</v>
      </c>
      <c r="AG999" t="s">
        <v>142</v>
      </c>
      <c r="AH999" t="b">
        <v>0</v>
      </c>
    </row>
    <row r="1000" spans="1:34">
      <c r="A1000" t="s">
        <v>1861</v>
      </c>
      <c r="R1000" t="s">
        <v>686</v>
      </c>
      <c r="S1000" t="s">
        <v>227</v>
      </c>
      <c r="T1000" t="s">
        <v>688</v>
      </c>
      <c r="V1000" t="s">
        <v>225</v>
      </c>
      <c r="W1000" t="s">
        <v>687</v>
      </c>
      <c r="X1000" t="s">
        <v>393</v>
      </c>
      <c r="Y1000" t="s">
        <v>230</v>
      </c>
      <c r="Z1000" t="s">
        <v>689</v>
      </c>
      <c r="AF1000" t="s">
        <v>1861</v>
      </c>
      <c r="AG1000" t="s">
        <v>142</v>
      </c>
      <c r="AH1000" t="b">
        <v>0</v>
      </c>
    </row>
    <row r="1001" spans="1:34">
      <c r="A1001" t="s">
        <v>1861</v>
      </c>
      <c r="R1001" t="s">
        <v>690</v>
      </c>
      <c r="S1001" t="s">
        <v>691</v>
      </c>
      <c r="T1001" t="s">
        <v>693</v>
      </c>
      <c r="V1001" t="s">
        <v>225</v>
      </c>
      <c r="W1001" t="s">
        <v>692</v>
      </c>
      <c r="X1001" t="s">
        <v>393</v>
      </c>
      <c r="Y1001" t="s">
        <v>230</v>
      </c>
      <c r="Z1001" t="s">
        <v>694</v>
      </c>
      <c r="AF1001" t="s">
        <v>1861</v>
      </c>
      <c r="AG1001" t="s">
        <v>142</v>
      </c>
      <c r="AH1001" t="b">
        <v>0</v>
      </c>
    </row>
    <row r="1002" spans="1:34">
      <c r="A1002" t="s">
        <v>1861</v>
      </c>
      <c r="R1002" t="s">
        <v>695</v>
      </c>
      <c r="S1002" t="s">
        <v>696</v>
      </c>
      <c r="T1002" t="s">
        <v>698</v>
      </c>
      <c r="V1002" t="s">
        <v>225</v>
      </c>
      <c r="W1002" t="s">
        <v>697</v>
      </c>
      <c r="X1002" t="s">
        <v>393</v>
      </c>
      <c r="Y1002" t="s">
        <v>230</v>
      </c>
      <c r="Z1002" t="s">
        <v>699</v>
      </c>
      <c r="AF1002" t="s">
        <v>1861</v>
      </c>
      <c r="AG1002" t="s">
        <v>142</v>
      </c>
      <c r="AH1002" t="b">
        <v>0</v>
      </c>
    </row>
    <row r="1003" spans="1:34">
      <c r="A1003" t="s">
        <v>1861</v>
      </c>
      <c r="R1003" t="s">
        <v>700</v>
      </c>
      <c r="S1003" t="s">
        <v>701</v>
      </c>
      <c r="T1003" t="s">
        <v>703</v>
      </c>
      <c r="V1003" t="s">
        <v>225</v>
      </c>
      <c r="W1003" t="s">
        <v>702</v>
      </c>
      <c r="X1003" t="s">
        <v>393</v>
      </c>
      <c r="Y1003" t="s">
        <v>230</v>
      </c>
      <c r="Z1003" t="s">
        <v>704</v>
      </c>
      <c r="AF1003" t="s">
        <v>1861</v>
      </c>
      <c r="AG1003" t="s">
        <v>142</v>
      </c>
      <c r="AH1003" t="b">
        <v>0</v>
      </c>
    </row>
    <row r="1004" spans="1:34">
      <c r="A1004" t="s">
        <v>1861</v>
      </c>
      <c r="R1004" t="s">
        <v>705</v>
      </c>
      <c r="S1004" t="s">
        <v>706</v>
      </c>
      <c r="T1004" t="s">
        <v>708</v>
      </c>
      <c r="V1004" t="s">
        <v>225</v>
      </c>
      <c r="W1004" t="s">
        <v>707</v>
      </c>
      <c r="X1004" t="s">
        <v>393</v>
      </c>
      <c r="Y1004" t="s">
        <v>230</v>
      </c>
      <c r="Z1004" t="s">
        <v>709</v>
      </c>
      <c r="AF1004" t="s">
        <v>1861</v>
      </c>
      <c r="AG1004" t="s">
        <v>142</v>
      </c>
      <c r="AH1004" t="b">
        <v>0</v>
      </c>
    </row>
    <row r="1005" spans="1:34">
      <c r="A1005" t="s">
        <v>1861</v>
      </c>
      <c r="R1005" t="s">
        <v>710</v>
      </c>
      <c r="S1005" t="s">
        <v>711</v>
      </c>
      <c r="T1005" t="s">
        <v>713</v>
      </c>
      <c r="V1005" t="s">
        <v>225</v>
      </c>
      <c r="W1005" t="s">
        <v>712</v>
      </c>
      <c r="X1005" t="s">
        <v>393</v>
      </c>
      <c r="Y1005" t="s">
        <v>230</v>
      </c>
      <c r="Z1005" t="s">
        <v>714</v>
      </c>
      <c r="AF1005" t="s">
        <v>1861</v>
      </c>
      <c r="AG1005" t="s">
        <v>142</v>
      </c>
      <c r="AH1005" t="b">
        <v>0</v>
      </c>
    </row>
    <row r="1006" spans="1:34">
      <c r="A1006" t="s">
        <v>1861</v>
      </c>
      <c r="R1006" t="s">
        <v>715</v>
      </c>
      <c r="S1006" t="s">
        <v>716</v>
      </c>
      <c r="T1006" t="s">
        <v>718</v>
      </c>
      <c r="V1006" t="s">
        <v>225</v>
      </c>
      <c r="W1006" t="s">
        <v>717</v>
      </c>
      <c r="X1006" t="s">
        <v>393</v>
      </c>
      <c r="Y1006" t="s">
        <v>230</v>
      </c>
      <c r="Z1006" t="s">
        <v>719</v>
      </c>
      <c r="AF1006" t="s">
        <v>1861</v>
      </c>
      <c r="AG1006" t="s">
        <v>142</v>
      </c>
      <c r="AH1006" t="b">
        <v>0</v>
      </c>
    </row>
    <row r="1007" spans="1:34">
      <c r="A1007" t="s">
        <v>1861</v>
      </c>
      <c r="R1007" t="s">
        <v>720</v>
      </c>
      <c r="S1007" t="s">
        <v>721</v>
      </c>
      <c r="T1007" t="s">
        <v>723</v>
      </c>
      <c r="V1007" t="s">
        <v>225</v>
      </c>
      <c r="W1007" t="s">
        <v>722</v>
      </c>
      <c r="X1007" t="s">
        <v>393</v>
      </c>
      <c r="Y1007" t="s">
        <v>230</v>
      </c>
      <c r="Z1007" t="s">
        <v>724</v>
      </c>
      <c r="AF1007" t="s">
        <v>1861</v>
      </c>
      <c r="AG1007" t="s">
        <v>142</v>
      </c>
      <c r="AH1007" t="b">
        <v>0</v>
      </c>
    </row>
    <row r="1008" spans="1:34">
      <c r="A1008" t="s">
        <v>1861</v>
      </c>
      <c r="R1008" t="s">
        <v>725</v>
      </c>
      <c r="S1008" t="s">
        <v>726</v>
      </c>
      <c r="T1008" t="s">
        <v>728</v>
      </c>
      <c r="V1008" t="s">
        <v>225</v>
      </c>
      <c r="W1008" t="s">
        <v>727</v>
      </c>
      <c r="X1008" t="s">
        <v>393</v>
      </c>
      <c r="Y1008" t="s">
        <v>230</v>
      </c>
      <c r="Z1008" t="s">
        <v>729</v>
      </c>
      <c r="AF1008" t="s">
        <v>1861</v>
      </c>
      <c r="AG1008" t="s">
        <v>142</v>
      </c>
      <c r="AH1008" t="b">
        <v>0</v>
      </c>
    </row>
    <row r="1009" spans="1:34">
      <c r="A1009" t="s">
        <v>1861</v>
      </c>
      <c r="R1009" t="s">
        <v>730</v>
      </c>
      <c r="S1009" t="s">
        <v>731</v>
      </c>
      <c r="T1009" t="s">
        <v>733</v>
      </c>
      <c r="V1009" t="s">
        <v>225</v>
      </c>
      <c r="W1009" t="s">
        <v>732</v>
      </c>
      <c r="X1009" t="s">
        <v>393</v>
      </c>
      <c r="Y1009" t="s">
        <v>230</v>
      </c>
      <c r="Z1009" t="s">
        <v>734</v>
      </c>
      <c r="AF1009" t="s">
        <v>1861</v>
      </c>
      <c r="AG1009" t="s">
        <v>142</v>
      </c>
      <c r="AH1009" t="b">
        <v>0</v>
      </c>
    </row>
    <row r="1010" spans="1:34">
      <c r="A1010" t="s">
        <v>1861</v>
      </c>
      <c r="R1010" t="s">
        <v>735</v>
      </c>
      <c r="S1010" t="s">
        <v>736</v>
      </c>
      <c r="T1010" t="s">
        <v>738</v>
      </c>
      <c r="V1010" t="s">
        <v>225</v>
      </c>
      <c r="W1010" t="s">
        <v>737</v>
      </c>
      <c r="X1010" t="s">
        <v>393</v>
      </c>
      <c r="Y1010" t="s">
        <v>230</v>
      </c>
      <c r="Z1010" t="s">
        <v>739</v>
      </c>
      <c r="AF1010" t="s">
        <v>1861</v>
      </c>
      <c r="AG1010" t="s">
        <v>142</v>
      </c>
      <c r="AH1010" t="b">
        <v>0</v>
      </c>
    </row>
    <row r="1011" spans="1:34">
      <c r="A1011" t="s">
        <v>1861</v>
      </c>
      <c r="R1011" t="s">
        <v>740</v>
      </c>
      <c r="S1011" t="s">
        <v>741</v>
      </c>
      <c r="T1011" t="s">
        <v>743</v>
      </c>
      <c r="V1011" t="s">
        <v>225</v>
      </c>
      <c r="W1011" t="s">
        <v>742</v>
      </c>
      <c r="X1011" t="s">
        <v>393</v>
      </c>
      <c r="Y1011" t="s">
        <v>230</v>
      </c>
      <c r="Z1011" t="s">
        <v>744</v>
      </c>
      <c r="AF1011" t="s">
        <v>1861</v>
      </c>
      <c r="AG1011" t="s">
        <v>142</v>
      </c>
      <c r="AH1011" t="b">
        <v>0</v>
      </c>
    </row>
    <row r="1012" spans="1:34">
      <c r="A1012" t="s">
        <v>1861</v>
      </c>
      <c r="R1012" t="s">
        <v>745</v>
      </c>
      <c r="S1012" t="s">
        <v>746</v>
      </c>
      <c r="T1012" t="s">
        <v>748</v>
      </c>
      <c r="V1012" t="s">
        <v>225</v>
      </c>
      <c r="W1012" t="s">
        <v>747</v>
      </c>
      <c r="X1012" t="s">
        <v>393</v>
      </c>
      <c r="Y1012" t="s">
        <v>230</v>
      </c>
      <c r="Z1012" t="s">
        <v>749</v>
      </c>
      <c r="AF1012" t="s">
        <v>1861</v>
      </c>
      <c r="AG1012" t="s">
        <v>142</v>
      </c>
      <c r="AH1012" t="b">
        <v>0</v>
      </c>
    </row>
    <row r="1013" spans="1:34">
      <c r="A1013" t="s">
        <v>1861</v>
      </c>
      <c r="R1013" t="s">
        <v>750</v>
      </c>
      <c r="S1013" t="s">
        <v>227</v>
      </c>
      <c r="T1013" t="s">
        <v>752</v>
      </c>
      <c r="V1013" t="s">
        <v>225</v>
      </c>
      <c r="W1013" t="s">
        <v>751</v>
      </c>
      <c r="X1013" t="s">
        <v>267</v>
      </c>
      <c r="Y1013" t="s">
        <v>230</v>
      </c>
      <c r="Z1013" t="s">
        <v>753</v>
      </c>
      <c r="AF1013" t="s">
        <v>1861</v>
      </c>
      <c r="AG1013" t="s">
        <v>142</v>
      </c>
      <c r="AH1013" t="b">
        <v>0</v>
      </c>
    </row>
    <row r="1014" spans="1:34">
      <c r="A1014" t="s">
        <v>1861</v>
      </c>
      <c r="R1014" t="s">
        <v>754</v>
      </c>
      <c r="S1014" t="s">
        <v>227</v>
      </c>
      <c r="T1014" t="s">
        <v>754</v>
      </c>
      <c r="V1014" t="s">
        <v>225</v>
      </c>
      <c r="W1014" t="s">
        <v>755</v>
      </c>
      <c r="X1014" t="s">
        <v>393</v>
      </c>
      <c r="Y1014" t="s">
        <v>230</v>
      </c>
      <c r="Z1014" t="s">
        <v>756</v>
      </c>
      <c r="AF1014" t="s">
        <v>1861</v>
      </c>
      <c r="AG1014" t="s">
        <v>142</v>
      </c>
      <c r="AH1014" t="b">
        <v>0</v>
      </c>
    </row>
    <row r="1015" spans="1:34">
      <c r="A1015" t="s">
        <v>1861</v>
      </c>
      <c r="R1015" t="s">
        <v>757</v>
      </c>
      <c r="S1015" t="s">
        <v>227</v>
      </c>
      <c r="T1015" t="s">
        <v>525</v>
      </c>
      <c r="V1015" t="s">
        <v>225</v>
      </c>
      <c r="W1015" t="s">
        <v>758</v>
      </c>
      <c r="X1015" t="s">
        <v>754</v>
      </c>
      <c r="Y1015" t="s">
        <v>230</v>
      </c>
      <c r="Z1015" t="s">
        <v>759</v>
      </c>
      <c r="AF1015" t="s">
        <v>1861</v>
      </c>
      <c r="AG1015" t="s">
        <v>142</v>
      </c>
      <c r="AH1015" t="b">
        <v>0</v>
      </c>
    </row>
    <row r="1016" spans="1:34">
      <c r="A1016" t="s">
        <v>1861</v>
      </c>
      <c r="R1016" t="s">
        <v>760</v>
      </c>
      <c r="S1016" t="s">
        <v>227</v>
      </c>
      <c r="T1016" t="s">
        <v>273</v>
      </c>
      <c r="V1016" t="s">
        <v>225</v>
      </c>
      <c r="W1016" t="s">
        <v>761</v>
      </c>
      <c r="X1016" t="s">
        <v>754</v>
      </c>
      <c r="Y1016" t="s">
        <v>230</v>
      </c>
      <c r="Z1016" t="s">
        <v>762</v>
      </c>
      <c r="AF1016" t="s">
        <v>1861</v>
      </c>
      <c r="AG1016" t="s">
        <v>142</v>
      </c>
      <c r="AH1016" t="b">
        <v>0</v>
      </c>
    </row>
    <row r="1017" spans="1:34">
      <c r="A1017" t="s">
        <v>1861</v>
      </c>
      <c r="R1017" t="s">
        <v>763</v>
      </c>
      <c r="S1017" t="s">
        <v>227</v>
      </c>
      <c r="T1017" t="s">
        <v>247</v>
      </c>
      <c r="V1017" t="s">
        <v>225</v>
      </c>
      <c r="W1017" t="s">
        <v>764</v>
      </c>
      <c r="X1017" t="s">
        <v>754</v>
      </c>
      <c r="Y1017" t="s">
        <v>230</v>
      </c>
      <c r="Z1017" t="s">
        <v>765</v>
      </c>
      <c r="AF1017" t="s">
        <v>1861</v>
      </c>
      <c r="AG1017" t="s">
        <v>142</v>
      </c>
      <c r="AH1017" t="b">
        <v>0</v>
      </c>
    </row>
    <row r="1018" spans="1:34">
      <c r="A1018" t="s">
        <v>1861</v>
      </c>
      <c r="R1018" t="s">
        <v>766</v>
      </c>
      <c r="S1018" t="s">
        <v>227</v>
      </c>
      <c r="T1018" t="s">
        <v>535</v>
      </c>
      <c r="V1018" t="s">
        <v>225</v>
      </c>
      <c r="W1018" t="s">
        <v>767</v>
      </c>
      <c r="X1018" t="s">
        <v>754</v>
      </c>
      <c r="Y1018" t="s">
        <v>230</v>
      </c>
      <c r="Z1018" t="s">
        <v>768</v>
      </c>
      <c r="AF1018" t="s">
        <v>1861</v>
      </c>
      <c r="AG1018" t="s">
        <v>142</v>
      </c>
      <c r="AH1018" t="b">
        <v>0</v>
      </c>
    </row>
    <row r="1019" spans="1:34">
      <c r="A1019" t="s">
        <v>1861</v>
      </c>
      <c r="R1019" t="s">
        <v>769</v>
      </c>
      <c r="S1019" t="s">
        <v>227</v>
      </c>
      <c r="T1019" t="s">
        <v>280</v>
      </c>
      <c r="V1019" t="s">
        <v>225</v>
      </c>
      <c r="W1019" t="s">
        <v>770</v>
      </c>
      <c r="X1019" t="s">
        <v>754</v>
      </c>
      <c r="Y1019" t="s">
        <v>230</v>
      </c>
      <c r="Z1019" t="s">
        <v>771</v>
      </c>
      <c r="AF1019" t="s">
        <v>1861</v>
      </c>
      <c r="AG1019" t="s">
        <v>142</v>
      </c>
      <c r="AH1019" t="b">
        <v>0</v>
      </c>
    </row>
    <row r="1020" spans="1:34">
      <c r="A1020" t="s">
        <v>1861</v>
      </c>
      <c r="R1020" t="s">
        <v>772</v>
      </c>
      <c r="S1020" t="s">
        <v>227</v>
      </c>
      <c r="T1020" t="s">
        <v>284</v>
      </c>
      <c r="V1020" t="s">
        <v>225</v>
      </c>
      <c r="W1020" t="s">
        <v>773</v>
      </c>
      <c r="X1020" t="s">
        <v>754</v>
      </c>
      <c r="Y1020" t="s">
        <v>230</v>
      </c>
      <c r="Z1020" t="s">
        <v>774</v>
      </c>
      <c r="AF1020" t="s">
        <v>1861</v>
      </c>
      <c r="AG1020" t="s">
        <v>142</v>
      </c>
      <c r="AH1020" t="b">
        <v>0</v>
      </c>
    </row>
    <row r="1021" spans="1:34">
      <c r="A1021" t="s">
        <v>1861</v>
      </c>
      <c r="R1021" t="s">
        <v>775</v>
      </c>
      <c r="S1021" t="s">
        <v>227</v>
      </c>
      <c r="T1021" t="s">
        <v>288</v>
      </c>
      <c r="V1021" t="s">
        <v>225</v>
      </c>
      <c r="W1021" t="s">
        <v>776</v>
      </c>
      <c r="X1021" t="s">
        <v>754</v>
      </c>
      <c r="Y1021" t="s">
        <v>230</v>
      </c>
      <c r="Z1021" t="s">
        <v>777</v>
      </c>
      <c r="AF1021" t="s">
        <v>1861</v>
      </c>
      <c r="AG1021" t="s">
        <v>142</v>
      </c>
      <c r="AH1021" t="b">
        <v>0</v>
      </c>
    </row>
    <row r="1022" spans="1:34">
      <c r="A1022" t="s">
        <v>1861</v>
      </c>
      <c r="R1022" t="s">
        <v>778</v>
      </c>
      <c r="S1022" t="s">
        <v>227</v>
      </c>
      <c r="T1022" t="s">
        <v>381</v>
      </c>
      <c r="V1022" t="s">
        <v>225</v>
      </c>
      <c r="W1022" t="s">
        <v>779</v>
      </c>
      <c r="X1022" t="s">
        <v>754</v>
      </c>
      <c r="Y1022" t="s">
        <v>230</v>
      </c>
      <c r="Z1022" t="s">
        <v>780</v>
      </c>
      <c r="AF1022" t="s">
        <v>1861</v>
      </c>
      <c r="AG1022" t="s">
        <v>142</v>
      </c>
      <c r="AH1022" t="b">
        <v>0</v>
      </c>
    </row>
    <row r="1023" spans="1:34">
      <c r="A1023" t="s">
        <v>1861</v>
      </c>
      <c r="R1023" t="s">
        <v>781</v>
      </c>
      <c r="S1023" t="s">
        <v>227</v>
      </c>
      <c r="T1023" t="s">
        <v>296</v>
      </c>
      <c r="V1023" t="s">
        <v>225</v>
      </c>
      <c r="W1023" t="s">
        <v>782</v>
      </c>
      <c r="X1023" t="s">
        <v>754</v>
      </c>
      <c r="Y1023" t="s">
        <v>230</v>
      </c>
      <c r="Z1023" t="s">
        <v>783</v>
      </c>
      <c r="AF1023" t="s">
        <v>1861</v>
      </c>
      <c r="AG1023" t="s">
        <v>142</v>
      </c>
      <c r="AH1023" t="b">
        <v>0</v>
      </c>
    </row>
    <row r="1024" spans="1:34">
      <c r="A1024" t="s">
        <v>1861</v>
      </c>
      <c r="R1024" t="s">
        <v>784</v>
      </c>
      <c r="S1024" t="s">
        <v>227</v>
      </c>
      <c r="T1024" t="s">
        <v>300</v>
      </c>
      <c r="V1024" t="s">
        <v>225</v>
      </c>
      <c r="W1024" t="s">
        <v>785</v>
      </c>
      <c r="X1024" t="s">
        <v>754</v>
      </c>
      <c r="Y1024" t="s">
        <v>230</v>
      </c>
      <c r="Z1024" t="s">
        <v>786</v>
      </c>
      <c r="AF1024" t="s">
        <v>1861</v>
      </c>
      <c r="AG1024" t="s">
        <v>142</v>
      </c>
      <c r="AH1024" t="b">
        <v>0</v>
      </c>
    </row>
    <row r="1025" spans="1:34">
      <c r="A1025" t="s">
        <v>1861</v>
      </c>
      <c r="R1025" t="s">
        <v>787</v>
      </c>
      <c r="S1025" t="s">
        <v>227</v>
      </c>
      <c r="T1025" t="s">
        <v>557</v>
      </c>
      <c r="V1025" t="s">
        <v>225</v>
      </c>
      <c r="W1025" t="s">
        <v>788</v>
      </c>
      <c r="X1025" t="s">
        <v>754</v>
      </c>
      <c r="Y1025" t="s">
        <v>230</v>
      </c>
      <c r="Z1025" t="s">
        <v>789</v>
      </c>
      <c r="AF1025" t="s">
        <v>1861</v>
      </c>
      <c r="AG1025" t="s">
        <v>142</v>
      </c>
      <c r="AH1025" t="b">
        <v>0</v>
      </c>
    </row>
    <row r="1026" spans="1:34">
      <c r="A1026" t="s">
        <v>1861</v>
      </c>
      <c r="R1026" t="s">
        <v>790</v>
      </c>
      <c r="S1026" t="s">
        <v>227</v>
      </c>
      <c r="T1026" t="s">
        <v>561</v>
      </c>
      <c r="V1026" t="s">
        <v>225</v>
      </c>
      <c r="W1026" t="s">
        <v>791</v>
      </c>
      <c r="X1026" t="s">
        <v>754</v>
      </c>
      <c r="Y1026" t="s">
        <v>230</v>
      </c>
      <c r="Z1026" t="s">
        <v>792</v>
      </c>
      <c r="AF1026" t="s">
        <v>1861</v>
      </c>
      <c r="AG1026" t="s">
        <v>142</v>
      </c>
      <c r="AH1026" t="b">
        <v>0</v>
      </c>
    </row>
    <row r="1027" spans="1:34">
      <c r="A1027" t="s">
        <v>1861</v>
      </c>
      <c r="R1027" t="s">
        <v>793</v>
      </c>
      <c r="S1027" t="s">
        <v>227</v>
      </c>
      <c r="T1027" t="s">
        <v>231</v>
      </c>
      <c r="V1027" t="s">
        <v>225</v>
      </c>
      <c r="W1027" t="s">
        <v>794</v>
      </c>
      <c r="X1027" t="s">
        <v>790</v>
      </c>
      <c r="Y1027" t="s">
        <v>230</v>
      </c>
      <c r="Z1027" t="s">
        <v>795</v>
      </c>
      <c r="AF1027" t="s">
        <v>1861</v>
      </c>
      <c r="AG1027" t="s">
        <v>142</v>
      </c>
      <c r="AH1027" t="b">
        <v>0</v>
      </c>
    </row>
    <row r="1028" spans="1:34">
      <c r="A1028" t="s">
        <v>1861</v>
      </c>
      <c r="R1028" t="s">
        <v>796</v>
      </c>
      <c r="S1028" t="s">
        <v>227</v>
      </c>
      <c r="T1028" t="s">
        <v>236</v>
      </c>
      <c r="V1028" t="s">
        <v>225</v>
      </c>
      <c r="W1028" t="s">
        <v>797</v>
      </c>
      <c r="X1028" t="s">
        <v>790</v>
      </c>
      <c r="Y1028" t="s">
        <v>230</v>
      </c>
      <c r="Z1028" t="s">
        <v>798</v>
      </c>
      <c r="AF1028" t="s">
        <v>1861</v>
      </c>
      <c r="AG1028" t="s">
        <v>142</v>
      </c>
      <c r="AH1028" t="b">
        <v>0</v>
      </c>
    </row>
    <row r="1029" spans="1:34">
      <c r="A1029" t="s">
        <v>1861</v>
      </c>
      <c r="R1029" t="s">
        <v>799</v>
      </c>
      <c r="S1029" t="s">
        <v>227</v>
      </c>
      <c r="T1029" t="s">
        <v>247</v>
      </c>
      <c r="V1029" t="s">
        <v>225</v>
      </c>
      <c r="W1029" t="s">
        <v>800</v>
      </c>
      <c r="X1029" t="s">
        <v>790</v>
      </c>
      <c r="Y1029" t="s">
        <v>230</v>
      </c>
      <c r="Z1029" t="s">
        <v>801</v>
      </c>
      <c r="AF1029" t="s">
        <v>1861</v>
      </c>
      <c r="AG1029" t="s">
        <v>142</v>
      </c>
      <c r="AH1029" t="b">
        <v>0</v>
      </c>
    </row>
    <row r="1030" spans="1:34">
      <c r="A1030" t="s">
        <v>1861</v>
      </c>
      <c r="R1030" t="s">
        <v>802</v>
      </c>
      <c r="S1030" t="s">
        <v>227</v>
      </c>
      <c r="T1030" t="s">
        <v>251</v>
      </c>
      <c r="V1030" t="s">
        <v>225</v>
      </c>
      <c r="W1030" t="s">
        <v>803</v>
      </c>
      <c r="X1030" t="s">
        <v>790</v>
      </c>
      <c r="Y1030" t="s">
        <v>230</v>
      </c>
      <c r="Z1030" t="s">
        <v>804</v>
      </c>
      <c r="AF1030" t="s">
        <v>1861</v>
      </c>
      <c r="AG1030" t="s">
        <v>142</v>
      </c>
      <c r="AH1030" t="b">
        <v>0</v>
      </c>
    </row>
    <row r="1031" spans="1:34">
      <c r="A1031" t="s">
        <v>1861</v>
      </c>
      <c r="R1031" t="s">
        <v>805</v>
      </c>
      <c r="S1031" t="s">
        <v>227</v>
      </c>
      <c r="T1031" t="s">
        <v>255</v>
      </c>
      <c r="V1031" t="s">
        <v>225</v>
      </c>
      <c r="W1031" t="s">
        <v>806</v>
      </c>
      <c r="X1031" t="s">
        <v>790</v>
      </c>
      <c r="Y1031" t="s">
        <v>230</v>
      </c>
      <c r="Z1031" t="s">
        <v>807</v>
      </c>
      <c r="AF1031" t="s">
        <v>1861</v>
      </c>
      <c r="AG1031" t="s">
        <v>142</v>
      </c>
      <c r="AH1031" t="b">
        <v>0</v>
      </c>
    </row>
    <row r="1032" spans="1:34">
      <c r="A1032" t="s">
        <v>1861</v>
      </c>
      <c r="R1032" t="s">
        <v>808</v>
      </c>
      <c r="S1032" t="s">
        <v>227</v>
      </c>
      <c r="T1032" t="s">
        <v>608</v>
      </c>
      <c r="V1032" t="s">
        <v>225</v>
      </c>
      <c r="W1032" t="s">
        <v>809</v>
      </c>
      <c r="X1032" t="s">
        <v>790</v>
      </c>
      <c r="Y1032" t="s">
        <v>230</v>
      </c>
      <c r="Z1032" t="s">
        <v>810</v>
      </c>
      <c r="AF1032" t="s">
        <v>1861</v>
      </c>
      <c r="AG1032" t="s">
        <v>142</v>
      </c>
      <c r="AH1032" t="b">
        <v>0</v>
      </c>
    </row>
    <row r="1033" spans="1:34">
      <c r="A1033" t="s">
        <v>1861</v>
      </c>
      <c r="R1033" t="s">
        <v>811</v>
      </c>
      <c r="S1033" t="s">
        <v>227</v>
      </c>
      <c r="T1033" t="s">
        <v>612</v>
      </c>
      <c r="V1033" t="s">
        <v>225</v>
      </c>
      <c r="W1033" t="s">
        <v>812</v>
      </c>
      <c r="X1033" t="s">
        <v>790</v>
      </c>
      <c r="Y1033" t="s">
        <v>230</v>
      </c>
      <c r="Z1033" t="s">
        <v>813</v>
      </c>
      <c r="AF1033" t="s">
        <v>1861</v>
      </c>
      <c r="AG1033" t="s">
        <v>142</v>
      </c>
      <c r="AH1033" t="b">
        <v>0</v>
      </c>
    </row>
    <row r="1034" spans="1:34">
      <c r="A1034" t="s">
        <v>1861</v>
      </c>
      <c r="R1034" t="s">
        <v>814</v>
      </c>
      <c r="S1034" t="s">
        <v>227</v>
      </c>
      <c r="T1034" t="s">
        <v>373</v>
      </c>
      <c r="V1034" t="s">
        <v>225</v>
      </c>
      <c r="W1034" t="s">
        <v>815</v>
      </c>
      <c r="X1034" t="s">
        <v>790</v>
      </c>
      <c r="Y1034" t="s">
        <v>230</v>
      </c>
      <c r="Z1034" t="s">
        <v>816</v>
      </c>
      <c r="AF1034" t="s">
        <v>1861</v>
      </c>
      <c r="AG1034" t="s">
        <v>142</v>
      </c>
      <c r="AH1034" t="b">
        <v>0</v>
      </c>
    </row>
    <row r="1035" spans="1:34">
      <c r="A1035" t="s">
        <v>1861</v>
      </c>
      <c r="R1035" t="s">
        <v>817</v>
      </c>
      <c r="S1035" t="s">
        <v>227</v>
      </c>
      <c r="T1035" t="s">
        <v>239</v>
      </c>
      <c r="V1035" t="s">
        <v>225</v>
      </c>
      <c r="W1035" t="s">
        <v>818</v>
      </c>
      <c r="X1035" t="s">
        <v>796</v>
      </c>
      <c r="Y1035" t="s">
        <v>230</v>
      </c>
      <c r="Z1035" t="s">
        <v>819</v>
      </c>
      <c r="AF1035" t="s">
        <v>1861</v>
      </c>
      <c r="AG1035" t="s">
        <v>142</v>
      </c>
      <c r="AH1035" t="b">
        <v>0</v>
      </c>
    </row>
    <row r="1036" spans="1:34">
      <c r="A1036" t="s">
        <v>1861</v>
      </c>
      <c r="R1036" t="s">
        <v>820</v>
      </c>
      <c r="S1036" t="s">
        <v>227</v>
      </c>
      <c r="T1036" t="s">
        <v>242</v>
      </c>
      <c r="V1036" t="s">
        <v>225</v>
      </c>
      <c r="W1036" t="s">
        <v>821</v>
      </c>
      <c r="X1036" t="s">
        <v>796</v>
      </c>
      <c r="Y1036" t="s">
        <v>230</v>
      </c>
      <c r="Z1036" t="s">
        <v>822</v>
      </c>
      <c r="AF1036" t="s">
        <v>1861</v>
      </c>
      <c r="AG1036" t="s">
        <v>142</v>
      </c>
      <c r="AH1036" t="b">
        <v>0</v>
      </c>
    </row>
    <row r="1037" spans="1:34">
      <c r="A1037" t="s">
        <v>1861</v>
      </c>
      <c r="R1037" t="s">
        <v>823</v>
      </c>
      <c r="S1037" t="s">
        <v>227</v>
      </c>
      <c r="T1037" t="s">
        <v>430</v>
      </c>
      <c r="V1037" t="s">
        <v>225</v>
      </c>
      <c r="W1037" t="s">
        <v>824</v>
      </c>
      <c r="X1037" t="s">
        <v>796</v>
      </c>
      <c r="Y1037" t="s">
        <v>230</v>
      </c>
      <c r="Z1037" t="s">
        <v>825</v>
      </c>
      <c r="AF1037" t="s">
        <v>1861</v>
      </c>
      <c r="AG1037" t="s">
        <v>142</v>
      </c>
      <c r="AH1037" t="b">
        <v>0</v>
      </c>
    </row>
    <row r="1038" spans="1:34">
      <c r="A1038" t="s">
        <v>1861</v>
      </c>
      <c r="R1038" t="s">
        <v>826</v>
      </c>
      <c r="S1038" t="s">
        <v>227</v>
      </c>
      <c r="T1038" t="s">
        <v>433</v>
      </c>
      <c r="V1038" t="s">
        <v>225</v>
      </c>
      <c r="W1038" t="s">
        <v>827</v>
      </c>
      <c r="X1038" t="s">
        <v>796</v>
      </c>
      <c r="Y1038" t="s">
        <v>230</v>
      </c>
      <c r="Z1038" t="s">
        <v>828</v>
      </c>
      <c r="AF1038" t="s">
        <v>1861</v>
      </c>
      <c r="AG1038" t="s">
        <v>142</v>
      </c>
      <c r="AH1038" t="b">
        <v>0</v>
      </c>
    </row>
    <row r="1039" spans="1:34">
      <c r="A1039" t="s">
        <v>1861</v>
      </c>
      <c r="R1039" t="s">
        <v>829</v>
      </c>
      <c r="S1039" t="s">
        <v>227</v>
      </c>
      <c r="T1039" t="s">
        <v>490</v>
      </c>
      <c r="V1039" t="s">
        <v>225</v>
      </c>
      <c r="W1039" t="s">
        <v>830</v>
      </c>
      <c r="X1039" t="s">
        <v>796</v>
      </c>
      <c r="Y1039" t="s">
        <v>230</v>
      </c>
      <c r="Z1039" t="s">
        <v>831</v>
      </c>
      <c r="AF1039" t="s">
        <v>1861</v>
      </c>
      <c r="AG1039" t="s">
        <v>142</v>
      </c>
      <c r="AH1039" t="b">
        <v>0</v>
      </c>
    </row>
    <row r="1040" spans="1:34">
      <c r="A1040" t="s">
        <v>1861</v>
      </c>
      <c r="R1040" t="s">
        <v>832</v>
      </c>
      <c r="S1040" t="s">
        <v>227</v>
      </c>
      <c r="T1040" t="s">
        <v>494</v>
      </c>
      <c r="V1040" t="s">
        <v>225</v>
      </c>
      <c r="W1040" t="s">
        <v>833</v>
      </c>
      <c r="X1040" t="s">
        <v>796</v>
      </c>
      <c r="Y1040" t="s">
        <v>230</v>
      </c>
      <c r="Z1040" t="s">
        <v>834</v>
      </c>
      <c r="AF1040" t="s">
        <v>1861</v>
      </c>
      <c r="AG1040" t="s">
        <v>142</v>
      </c>
      <c r="AH1040" t="b">
        <v>0</v>
      </c>
    </row>
    <row r="1041" spans="1:34">
      <c r="A1041" t="s">
        <v>1861</v>
      </c>
      <c r="R1041" t="s">
        <v>835</v>
      </c>
      <c r="S1041" t="s">
        <v>227</v>
      </c>
      <c r="T1041" t="s">
        <v>436</v>
      </c>
      <c r="V1041" t="s">
        <v>225</v>
      </c>
      <c r="W1041" t="s">
        <v>836</v>
      </c>
      <c r="X1041" t="s">
        <v>796</v>
      </c>
      <c r="Y1041" t="s">
        <v>230</v>
      </c>
      <c r="Z1041" t="s">
        <v>837</v>
      </c>
      <c r="AF1041" t="s">
        <v>1861</v>
      </c>
      <c r="AG1041" t="s">
        <v>142</v>
      </c>
      <c r="AH1041" t="b">
        <v>0</v>
      </c>
    </row>
    <row r="1042" spans="1:34">
      <c r="A1042" t="s">
        <v>1861</v>
      </c>
      <c r="R1042" t="s">
        <v>838</v>
      </c>
      <c r="S1042" t="s">
        <v>227</v>
      </c>
      <c r="T1042" t="s">
        <v>451</v>
      </c>
      <c r="V1042" t="s">
        <v>225</v>
      </c>
      <c r="W1042" t="s">
        <v>839</v>
      </c>
      <c r="X1042" t="s">
        <v>796</v>
      </c>
      <c r="Y1042" t="s">
        <v>230</v>
      </c>
      <c r="Z1042" t="s">
        <v>840</v>
      </c>
      <c r="AF1042" t="s">
        <v>1861</v>
      </c>
      <c r="AG1042" t="s">
        <v>142</v>
      </c>
      <c r="AH1042" t="b">
        <v>0</v>
      </c>
    </row>
    <row r="1043" spans="1:34">
      <c r="A1043" t="s">
        <v>1861</v>
      </c>
      <c r="R1043" t="s">
        <v>841</v>
      </c>
      <c r="S1043" t="s">
        <v>227</v>
      </c>
      <c r="T1043" t="s">
        <v>595</v>
      </c>
      <c r="V1043" t="s">
        <v>225</v>
      </c>
      <c r="W1043" t="s">
        <v>842</v>
      </c>
      <c r="X1043" t="s">
        <v>796</v>
      </c>
      <c r="Y1043" t="s">
        <v>230</v>
      </c>
      <c r="Z1043" t="s">
        <v>843</v>
      </c>
      <c r="AF1043" t="s">
        <v>1861</v>
      </c>
      <c r="AG1043" t="s">
        <v>142</v>
      </c>
      <c r="AH1043" t="b">
        <v>0</v>
      </c>
    </row>
    <row r="1044" spans="1:34">
      <c r="A1044" t="s">
        <v>1861</v>
      </c>
      <c r="R1044" t="s">
        <v>844</v>
      </c>
      <c r="S1044" t="s">
        <v>845</v>
      </c>
      <c r="T1044" t="s">
        <v>847</v>
      </c>
      <c r="V1044" t="s">
        <v>225</v>
      </c>
      <c r="W1044" t="s">
        <v>846</v>
      </c>
      <c r="X1044" t="s">
        <v>393</v>
      </c>
      <c r="Y1044" t="s">
        <v>230</v>
      </c>
      <c r="Z1044" t="s">
        <v>848</v>
      </c>
      <c r="AF1044" t="s">
        <v>1861</v>
      </c>
      <c r="AG1044" t="s">
        <v>142</v>
      </c>
      <c r="AH1044" t="b">
        <v>0</v>
      </c>
    </row>
    <row r="1045" spans="1:34">
      <c r="A1045" t="s">
        <v>1861</v>
      </c>
      <c r="R1045" t="s">
        <v>849</v>
      </c>
      <c r="S1045" t="s">
        <v>850</v>
      </c>
      <c r="T1045" t="s">
        <v>852</v>
      </c>
      <c r="V1045" t="s">
        <v>225</v>
      </c>
      <c r="W1045" t="s">
        <v>851</v>
      </c>
      <c r="X1045" t="s">
        <v>393</v>
      </c>
      <c r="Y1045" t="s">
        <v>230</v>
      </c>
      <c r="Z1045" t="s">
        <v>853</v>
      </c>
      <c r="AF1045" t="s">
        <v>1861</v>
      </c>
      <c r="AG1045" t="s">
        <v>142</v>
      </c>
      <c r="AH1045" t="b">
        <v>0</v>
      </c>
    </row>
    <row r="1046" spans="1:34">
      <c r="A1046" t="s">
        <v>1861</v>
      </c>
      <c r="R1046" t="s">
        <v>854</v>
      </c>
      <c r="S1046" t="s">
        <v>855</v>
      </c>
      <c r="T1046" t="s">
        <v>857</v>
      </c>
      <c r="V1046" t="s">
        <v>225</v>
      </c>
      <c r="W1046" t="s">
        <v>856</v>
      </c>
      <c r="X1046" t="s">
        <v>393</v>
      </c>
      <c r="Y1046" t="s">
        <v>230</v>
      </c>
      <c r="Z1046" t="s">
        <v>858</v>
      </c>
      <c r="AF1046" t="s">
        <v>1861</v>
      </c>
      <c r="AG1046" t="s">
        <v>142</v>
      </c>
      <c r="AH1046" t="b">
        <v>0</v>
      </c>
    </row>
    <row r="1047" spans="1:34">
      <c r="A1047" t="s">
        <v>1861</v>
      </c>
      <c r="R1047" t="s">
        <v>859</v>
      </c>
      <c r="S1047" t="s">
        <v>860</v>
      </c>
      <c r="T1047" t="s">
        <v>862</v>
      </c>
      <c r="V1047" t="s">
        <v>225</v>
      </c>
      <c r="W1047" t="s">
        <v>861</v>
      </c>
      <c r="X1047" t="s">
        <v>393</v>
      </c>
      <c r="Y1047" t="s">
        <v>230</v>
      </c>
      <c r="Z1047" t="s">
        <v>863</v>
      </c>
      <c r="AF1047" t="s">
        <v>1861</v>
      </c>
      <c r="AG1047" t="s">
        <v>142</v>
      </c>
      <c r="AH1047" t="b">
        <v>0</v>
      </c>
    </row>
    <row r="1048" spans="1:34">
      <c r="A1048" t="s">
        <v>1861</v>
      </c>
      <c r="R1048" t="s">
        <v>864</v>
      </c>
      <c r="S1048" t="s">
        <v>865</v>
      </c>
      <c r="T1048" t="s">
        <v>867</v>
      </c>
      <c r="V1048" t="s">
        <v>225</v>
      </c>
      <c r="W1048" t="s">
        <v>866</v>
      </c>
      <c r="X1048" t="s">
        <v>393</v>
      </c>
      <c r="Y1048" t="s">
        <v>230</v>
      </c>
      <c r="Z1048" t="s">
        <v>868</v>
      </c>
      <c r="AF1048" t="s">
        <v>1861</v>
      </c>
      <c r="AG1048" t="s">
        <v>142</v>
      </c>
      <c r="AH1048" t="b">
        <v>0</v>
      </c>
    </row>
    <row r="1049" spans="1:34">
      <c r="A1049" t="s">
        <v>1861</v>
      </c>
      <c r="R1049" t="s">
        <v>869</v>
      </c>
      <c r="S1049" t="s">
        <v>227</v>
      </c>
      <c r="T1049" t="s">
        <v>871</v>
      </c>
      <c r="V1049" t="s">
        <v>225</v>
      </c>
      <c r="W1049" t="s">
        <v>870</v>
      </c>
      <c r="X1049" t="s">
        <v>393</v>
      </c>
      <c r="Y1049" t="s">
        <v>230</v>
      </c>
      <c r="Z1049" t="s">
        <v>872</v>
      </c>
      <c r="AF1049" t="s">
        <v>1861</v>
      </c>
      <c r="AG1049" t="s">
        <v>142</v>
      </c>
      <c r="AH1049" t="b">
        <v>0</v>
      </c>
    </row>
    <row r="1050" spans="1:34">
      <c r="A1050" t="s">
        <v>1861</v>
      </c>
      <c r="R1050" t="s">
        <v>873</v>
      </c>
      <c r="S1050" t="s">
        <v>227</v>
      </c>
      <c r="T1050" t="s">
        <v>875</v>
      </c>
      <c r="V1050" t="s">
        <v>225</v>
      </c>
      <c r="W1050" t="s">
        <v>874</v>
      </c>
      <c r="X1050" t="s">
        <v>393</v>
      </c>
      <c r="Y1050" t="s">
        <v>230</v>
      </c>
      <c r="Z1050" t="s">
        <v>876</v>
      </c>
      <c r="AF1050" t="s">
        <v>1861</v>
      </c>
      <c r="AG1050" t="s">
        <v>142</v>
      </c>
      <c r="AH1050" t="b">
        <v>0</v>
      </c>
    </row>
    <row r="1051" spans="1:34">
      <c r="A1051" t="s">
        <v>1861</v>
      </c>
      <c r="R1051" t="s">
        <v>877</v>
      </c>
      <c r="S1051" t="s">
        <v>878</v>
      </c>
      <c r="T1051" t="s">
        <v>880</v>
      </c>
      <c r="V1051" t="s">
        <v>225</v>
      </c>
      <c r="W1051" t="s">
        <v>879</v>
      </c>
      <c r="X1051" t="s">
        <v>393</v>
      </c>
      <c r="Y1051" t="s">
        <v>230</v>
      </c>
      <c r="Z1051" t="s">
        <v>881</v>
      </c>
      <c r="AF1051" t="s">
        <v>1861</v>
      </c>
      <c r="AG1051" t="s">
        <v>142</v>
      </c>
      <c r="AH1051" t="b">
        <v>0</v>
      </c>
    </row>
    <row r="1052" spans="1:34">
      <c r="A1052" t="s">
        <v>1861</v>
      </c>
      <c r="R1052" t="s">
        <v>882</v>
      </c>
      <c r="S1052" t="s">
        <v>883</v>
      </c>
      <c r="T1052" t="s">
        <v>885</v>
      </c>
      <c r="V1052" t="s">
        <v>225</v>
      </c>
      <c r="W1052" t="s">
        <v>884</v>
      </c>
      <c r="X1052" t="s">
        <v>393</v>
      </c>
      <c r="Y1052" t="s">
        <v>230</v>
      </c>
      <c r="Z1052" t="s">
        <v>886</v>
      </c>
      <c r="AF1052" t="s">
        <v>1861</v>
      </c>
      <c r="AG1052" t="s">
        <v>142</v>
      </c>
      <c r="AH1052" t="b">
        <v>0</v>
      </c>
    </row>
    <row r="1053" spans="1:34">
      <c r="A1053" t="s">
        <v>1861</v>
      </c>
      <c r="R1053" t="s">
        <v>887</v>
      </c>
      <c r="S1053" t="s">
        <v>888</v>
      </c>
      <c r="T1053" t="s">
        <v>890</v>
      </c>
      <c r="V1053" t="s">
        <v>225</v>
      </c>
      <c r="W1053" t="s">
        <v>889</v>
      </c>
      <c r="X1053" t="s">
        <v>393</v>
      </c>
      <c r="Y1053" t="s">
        <v>230</v>
      </c>
      <c r="Z1053" t="s">
        <v>891</v>
      </c>
      <c r="AF1053" t="s">
        <v>1861</v>
      </c>
      <c r="AG1053" t="s">
        <v>142</v>
      </c>
      <c r="AH1053" t="b">
        <v>0</v>
      </c>
    </row>
    <row r="1054" spans="1:34">
      <c r="A1054" t="s">
        <v>1861</v>
      </c>
      <c r="R1054" t="s">
        <v>892</v>
      </c>
      <c r="S1054" t="s">
        <v>893</v>
      </c>
      <c r="T1054" t="s">
        <v>895</v>
      </c>
      <c r="V1054" t="s">
        <v>225</v>
      </c>
      <c r="W1054" t="s">
        <v>894</v>
      </c>
      <c r="X1054" t="s">
        <v>393</v>
      </c>
      <c r="Y1054" t="s">
        <v>230</v>
      </c>
      <c r="Z1054" t="s">
        <v>896</v>
      </c>
      <c r="AF1054" t="s">
        <v>1861</v>
      </c>
      <c r="AG1054" t="s">
        <v>142</v>
      </c>
      <c r="AH1054" t="b">
        <v>0</v>
      </c>
    </row>
    <row r="1055" spans="1:34">
      <c r="A1055" t="s">
        <v>1861</v>
      </c>
      <c r="R1055" t="s">
        <v>897</v>
      </c>
      <c r="S1055" t="s">
        <v>227</v>
      </c>
      <c r="T1055" t="s">
        <v>899</v>
      </c>
      <c r="V1055" t="s">
        <v>225</v>
      </c>
      <c r="W1055" t="s">
        <v>898</v>
      </c>
      <c r="X1055" t="s">
        <v>520</v>
      </c>
      <c r="Y1055" t="s">
        <v>230</v>
      </c>
      <c r="Z1055" t="s">
        <v>900</v>
      </c>
      <c r="AF1055" t="s">
        <v>1861</v>
      </c>
      <c r="AG1055" t="s">
        <v>142</v>
      </c>
      <c r="AH1055" t="b">
        <v>0</v>
      </c>
    </row>
    <row r="1056" spans="1:34">
      <c r="A1056" t="s">
        <v>1861</v>
      </c>
      <c r="R1056" t="s">
        <v>901</v>
      </c>
      <c r="S1056" t="s">
        <v>902</v>
      </c>
      <c r="T1056" t="s">
        <v>904</v>
      </c>
      <c r="V1056" t="s">
        <v>225</v>
      </c>
      <c r="W1056" t="s">
        <v>903</v>
      </c>
      <c r="X1056" t="s">
        <v>393</v>
      </c>
      <c r="Y1056" t="s">
        <v>230</v>
      </c>
      <c r="Z1056" t="s">
        <v>905</v>
      </c>
      <c r="AF1056" t="s">
        <v>1861</v>
      </c>
      <c r="AG1056" t="s">
        <v>142</v>
      </c>
      <c r="AH1056" t="b">
        <v>0</v>
      </c>
    </row>
    <row r="1057" spans="1:34">
      <c r="A1057" t="s">
        <v>1861</v>
      </c>
      <c r="R1057" t="s">
        <v>906</v>
      </c>
      <c r="S1057" t="s">
        <v>907</v>
      </c>
      <c r="T1057" t="s">
        <v>909</v>
      </c>
      <c r="V1057" t="s">
        <v>225</v>
      </c>
      <c r="W1057" t="s">
        <v>908</v>
      </c>
      <c r="X1057" t="s">
        <v>393</v>
      </c>
      <c r="Y1057" t="s">
        <v>230</v>
      </c>
      <c r="Z1057" t="s">
        <v>910</v>
      </c>
      <c r="AF1057" t="s">
        <v>1861</v>
      </c>
      <c r="AG1057" t="s">
        <v>142</v>
      </c>
      <c r="AH1057" t="b">
        <v>0</v>
      </c>
    </row>
    <row r="1058" spans="1:34">
      <c r="A1058" t="s">
        <v>1861</v>
      </c>
      <c r="R1058" t="s">
        <v>911</v>
      </c>
      <c r="S1058" t="s">
        <v>912</v>
      </c>
      <c r="T1058" t="s">
        <v>914</v>
      </c>
      <c r="V1058" t="s">
        <v>225</v>
      </c>
      <c r="W1058" t="s">
        <v>913</v>
      </c>
      <c r="X1058" t="s">
        <v>393</v>
      </c>
      <c r="Y1058" t="s">
        <v>230</v>
      </c>
      <c r="Z1058" t="s">
        <v>915</v>
      </c>
      <c r="AF1058" t="s">
        <v>1861</v>
      </c>
      <c r="AG1058" t="s">
        <v>142</v>
      </c>
      <c r="AH1058" t="b">
        <v>0</v>
      </c>
    </row>
    <row r="1059" spans="1:34">
      <c r="A1059" t="s">
        <v>1861</v>
      </c>
      <c r="R1059" t="s">
        <v>916</v>
      </c>
      <c r="S1059" t="s">
        <v>917</v>
      </c>
      <c r="T1059" t="s">
        <v>919</v>
      </c>
      <c r="V1059" t="s">
        <v>225</v>
      </c>
      <c r="W1059" t="s">
        <v>918</v>
      </c>
      <c r="X1059" t="s">
        <v>393</v>
      </c>
      <c r="Y1059" t="s">
        <v>230</v>
      </c>
      <c r="Z1059" t="s">
        <v>920</v>
      </c>
      <c r="AF1059" t="s">
        <v>1861</v>
      </c>
      <c r="AG1059" t="s">
        <v>142</v>
      </c>
      <c r="AH1059" t="b">
        <v>0</v>
      </c>
    </row>
    <row r="1060" spans="1:34">
      <c r="A1060" t="s">
        <v>1861</v>
      </c>
      <c r="R1060" t="s">
        <v>921</v>
      </c>
      <c r="S1060" t="s">
        <v>922</v>
      </c>
      <c r="T1060" t="s">
        <v>924</v>
      </c>
      <c r="V1060" t="s">
        <v>225</v>
      </c>
      <c r="W1060" t="s">
        <v>923</v>
      </c>
      <c r="X1060" t="s">
        <v>393</v>
      </c>
      <c r="Y1060" t="s">
        <v>230</v>
      </c>
      <c r="Z1060" t="s">
        <v>925</v>
      </c>
      <c r="AF1060" t="s">
        <v>1861</v>
      </c>
      <c r="AG1060" t="s">
        <v>142</v>
      </c>
      <c r="AH1060" t="b">
        <v>0</v>
      </c>
    </row>
    <row r="1061" spans="1:34">
      <c r="A1061" t="s">
        <v>1861</v>
      </c>
      <c r="R1061" t="s">
        <v>926</v>
      </c>
      <c r="S1061" t="s">
        <v>927</v>
      </c>
      <c r="T1061" t="s">
        <v>929</v>
      </c>
      <c r="V1061" t="s">
        <v>225</v>
      </c>
      <c r="W1061" t="s">
        <v>928</v>
      </c>
      <c r="X1061" t="s">
        <v>393</v>
      </c>
      <c r="Y1061" t="s">
        <v>230</v>
      </c>
      <c r="Z1061" t="s">
        <v>930</v>
      </c>
      <c r="AF1061" t="s">
        <v>1861</v>
      </c>
      <c r="AG1061" t="s">
        <v>142</v>
      </c>
      <c r="AH1061" t="b">
        <v>0</v>
      </c>
    </row>
    <row r="1062" spans="1:34">
      <c r="A1062" t="s">
        <v>1861</v>
      </c>
      <c r="R1062" t="s">
        <v>931</v>
      </c>
      <c r="S1062" t="s">
        <v>932</v>
      </c>
      <c r="T1062" t="s">
        <v>934</v>
      </c>
      <c r="V1062" t="s">
        <v>225</v>
      </c>
      <c r="W1062" t="s">
        <v>933</v>
      </c>
      <c r="X1062" t="s">
        <v>393</v>
      </c>
      <c r="Y1062" t="s">
        <v>230</v>
      </c>
      <c r="Z1062" t="s">
        <v>935</v>
      </c>
      <c r="AF1062" t="s">
        <v>1861</v>
      </c>
      <c r="AG1062" t="s">
        <v>142</v>
      </c>
      <c r="AH1062" t="b">
        <v>0</v>
      </c>
    </row>
    <row r="1063" spans="1:34">
      <c r="A1063" t="s">
        <v>1861</v>
      </c>
      <c r="R1063" t="s">
        <v>936</v>
      </c>
      <c r="S1063" t="s">
        <v>937</v>
      </c>
      <c r="T1063" t="s">
        <v>939</v>
      </c>
      <c r="V1063" t="s">
        <v>225</v>
      </c>
      <c r="W1063" t="s">
        <v>938</v>
      </c>
      <c r="X1063" t="s">
        <v>393</v>
      </c>
      <c r="Y1063" t="s">
        <v>230</v>
      </c>
      <c r="Z1063" t="s">
        <v>940</v>
      </c>
      <c r="AF1063" t="s">
        <v>1861</v>
      </c>
      <c r="AG1063" t="s">
        <v>142</v>
      </c>
      <c r="AH1063" t="b">
        <v>0</v>
      </c>
    </row>
    <row r="1064" spans="1:34">
      <c r="A1064" t="s">
        <v>1861</v>
      </c>
      <c r="R1064" t="s">
        <v>941</v>
      </c>
      <c r="S1064" t="s">
        <v>942</v>
      </c>
      <c r="T1064" t="s">
        <v>944</v>
      </c>
      <c r="V1064" t="s">
        <v>225</v>
      </c>
      <c r="W1064" t="s">
        <v>943</v>
      </c>
      <c r="X1064" t="s">
        <v>393</v>
      </c>
      <c r="Y1064" t="s">
        <v>230</v>
      </c>
      <c r="Z1064" t="s">
        <v>945</v>
      </c>
      <c r="AF1064" t="s">
        <v>1861</v>
      </c>
      <c r="AG1064" t="s">
        <v>142</v>
      </c>
      <c r="AH1064" t="b">
        <v>0</v>
      </c>
    </row>
    <row r="1065" spans="1:34">
      <c r="A1065" t="s">
        <v>1861</v>
      </c>
      <c r="R1065" t="s">
        <v>946</v>
      </c>
      <c r="S1065" t="s">
        <v>947</v>
      </c>
      <c r="T1065" t="s">
        <v>949</v>
      </c>
      <c r="V1065" t="s">
        <v>225</v>
      </c>
      <c r="W1065" t="s">
        <v>948</v>
      </c>
      <c r="X1065" t="s">
        <v>393</v>
      </c>
      <c r="Y1065" t="s">
        <v>230</v>
      </c>
      <c r="Z1065" t="s">
        <v>950</v>
      </c>
      <c r="AF1065" t="s">
        <v>1861</v>
      </c>
      <c r="AG1065" t="s">
        <v>142</v>
      </c>
      <c r="AH1065" t="b">
        <v>0</v>
      </c>
    </row>
    <row r="1066" spans="1:34">
      <c r="A1066" t="s">
        <v>1861</v>
      </c>
      <c r="R1066" t="s">
        <v>951</v>
      </c>
      <c r="S1066" t="s">
        <v>952</v>
      </c>
      <c r="T1066" t="s">
        <v>954</v>
      </c>
      <c r="V1066" t="s">
        <v>225</v>
      </c>
      <c r="W1066" t="s">
        <v>953</v>
      </c>
      <c r="X1066" t="s">
        <v>393</v>
      </c>
      <c r="Y1066" t="s">
        <v>230</v>
      </c>
      <c r="Z1066" t="s">
        <v>955</v>
      </c>
      <c r="AF1066" t="s">
        <v>1861</v>
      </c>
      <c r="AG1066" t="s">
        <v>142</v>
      </c>
      <c r="AH1066" t="b">
        <v>0</v>
      </c>
    </row>
    <row r="1067" spans="1:34">
      <c r="A1067" t="s">
        <v>1861</v>
      </c>
      <c r="R1067" t="s">
        <v>956</v>
      </c>
      <c r="S1067" t="s">
        <v>957</v>
      </c>
      <c r="T1067" t="s">
        <v>959</v>
      </c>
      <c r="V1067" t="s">
        <v>225</v>
      </c>
      <c r="W1067" t="s">
        <v>958</v>
      </c>
      <c r="X1067" t="s">
        <v>393</v>
      </c>
      <c r="Y1067" t="s">
        <v>230</v>
      </c>
      <c r="Z1067" t="s">
        <v>960</v>
      </c>
      <c r="AF1067" t="s">
        <v>1861</v>
      </c>
      <c r="AG1067" t="s">
        <v>142</v>
      </c>
      <c r="AH1067" t="b">
        <v>0</v>
      </c>
    </row>
    <row r="1068" spans="1:34">
      <c r="A1068" t="s">
        <v>1861</v>
      </c>
      <c r="R1068" t="s">
        <v>961</v>
      </c>
      <c r="S1068" t="s">
        <v>962</v>
      </c>
      <c r="T1068" t="s">
        <v>964</v>
      </c>
      <c r="V1068" t="s">
        <v>225</v>
      </c>
      <c r="W1068" t="s">
        <v>963</v>
      </c>
      <c r="X1068" t="s">
        <v>393</v>
      </c>
      <c r="Y1068" t="s">
        <v>230</v>
      </c>
      <c r="Z1068" t="s">
        <v>965</v>
      </c>
      <c r="AF1068" t="s">
        <v>1861</v>
      </c>
      <c r="AG1068" t="s">
        <v>142</v>
      </c>
      <c r="AH1068" t="b">
        <v>0</v>
      </c>
    </row>
    <row r="1069" spans="1:34">
      <c r="A1069" t="s">
        <v>1861</v>
      </c>
      <c r="R1069" t="s">
        <v>966</v>
      </c>
      <c r="S1069" t="s">
        <v>967</v>
      </c>
      <c r="T1069" t="s">
        <v>969</v>
      </c>
      <c r="V1069" t="s">
        <v>225</v>
      </c>
      <c r="W1069" t="s">
        <v>968</v>
      </c>
      <c r="X1069" t="s">
        <v>393</v>
      </c>
      <c r="Y1069" t="s">
        <v>230</v>
      </c>
      <c r="Z1069" t="s">
        <v>970</v>
      </c>
      <c r="AF1069" t="s">
        <v>1861</v>
      </c>
      <c r="AG1069" t="s">
        <v>142</v>
      </c>
      <c r="AH1069" t="b">
        <v>0</v>
      </c>
    </row>
    <row r="1070" spans="1:34">
      <c r="A1070" t="s">
        <v>1861</v>
      </c>
      <c r="R1070" t="s">
        <v>971</v>
      </c>
      <c r="S1070" t="s">
        <v>972</v>
      </c>
      <c r="T1070" t="s">
        <v>974</v>
      </c>
      <c r="V1070" t="s">
        <v>225</v>
      </c>
      <c r="W1070" t="s">
        <v>973</v>
      </c>
      <c r="X1070" t="s">
        <v>393</v>
      </c>
      <c r="Y1070" t="s">
        <v>230</v>
      </c>
      <c r="Z1070" t="s">
        <v>975</v>
      </c>
      <c r="AF1070" t="s">
        <v>1861</v>
      </c>
      <c r="AG1070" t="s">
        <v>142</v>
      </c>
      <c r="AH1070" t="b">
        <v>0</v>
      </c>
    </row>
    <row r="1071" spans="1:34">
      <c r="A1071" t="s">
        <v>1861</v>
      </c>
      <c r="R1071" t="s">
        <v>976</v>
      </c>
      <c r="S1071" t="s">
        <v>977</v>
      </c>
      <c r="T1071" t="s">
        <v>979</v>
      </c>
      <c r="V1071" t="s">
        <v>225</v>
      </c>
      <c r="W1071" t="s">
        <v>978</v>
      </c>
      <c r="X1071" t="s">
        <v>393</v>
      </c>
      <c r="Y1071" t="s">
        <v>230</v>
      </c>
      <c r="Z1071" t="s">
        <v>980</v>
      </c>
      <c r="AF1071" t="s">
        <v>1861</v>
      </c>
      <c r="AG1071" t="s">
        <v>142</v>
      </c>
      <c r="AH1071" t="b">
        <v>0</v>
      </c>
    </row>
    <row r="1072" spans="1:34">
      <c r="A1072" t="s">
        <v>1861</v>
      </c>
      <c r="R1072" t="s">
        <v>981</v>
      </c>
      <c r="S1072" t="s">
        <v>982</v>
      </c>
      <c r="T1072" t="s">
        <v>984</v>
      </c>
      <c r="V1072" t="s">
        <v>225</v>
      </c>
      <c r="W1072" t="s">
        <v>983</v>
      </c>
      <c r="X1072" t="s">
        <v>393</v>
      </c>
      <c r="Y1072" t="s">
        <v>230</v>
      </c>
      <c r="Z1072" t="s">
        <v>985</v>
      </c>
      <c r="AF1072" t="s">
        <v>1861</v>
      </c>
      <c r="AG1072" t="s">
        <v>142</v>
      </c>
      <c r="AH1072" t="b">
        <v>0</v>
      </c>
    </row>
    <row r="1073" spans="1:34">
      <c r="A1073" t="s">
        <v>1861</v>
      </c>
      <c r="R1073" t="s">
        <v>986</v>
      </c>
      <c r="S1073" t="s">
        <v>987</v>
      </c>
      <c r="T1073" t="s">
        <v>989</v>
      </c>
      <c r="V1073" t="s">
        <v>225</v>
      </c>
      <c r="W1073" t="s">
        <v>988</v>
      </c>
      <c r="X1073" t="s">
        <v>393</v>
      </c>
      <c r="Y1073" t="s">
        <v>230</v>
      </c>
      <c r="Z1073" t="s">
        <v>990</v>
      </c>
      <c r="AF1073" t="s">
        <v>1861</v>
      </c>
      <c r="AG1073" t="s">
        <v>142</v>
      </c>
      <c r="AH1073" t="b">
        <v>0</v>
      </c>
    </row>
    <row r="1074" spans="1:34">
      <c r="A1074" t="s">
        <v>1861</v>
      </c>
      <c r="R1074" t="s">
        <v>991</v>
      </c>
      <c r="S1074" t="s">
        <v>992</v>
      </c>
      <c r="T1074" t="s">
        <v>994</v>
      </c>
      <c r="V1074" t="s">
        <v>225</v>
      </c>
      <c r="W1074" t="s">
        <v>993</v>
      </c>
      <c r="X1074" t="s">
        <v>393</v>
      </c>
      <c r="Y1074" t="s">
        <v>230</v>
      </c>
      <c r="Z1074" t="s">
        <v>995</v>
      </c>
      <c r="AF1074" t="s">
        <v>1861</v>
      </c>
      <c r="AG1074" t="s">
        <v>142</v>
      </c>
      <c r="AH1074" t="b">
        <v>0</v>
      </c>
    </row>
    <row r="1075" spans="1:34">
      <c r="A1075" t="s">
        <v>1861</v>
      </c>
      <c r="R1075" t="s">
        <v>996</v>
      </c>
      <c r="S1075" t="s">
        <v>997</v>
      </c>
      <c r="T1075" t="s">
        <v>999</v>
      </c>
      <c r="V1075" t="s">
        <v>225</v>
      </c>
      <c r="W1075" t="s">
        <v>998</v>
      </c>
      <c r="X1075" t="s">
        <v>393</v>
      </c>
      <c r="Y1075" t="s">
        <v>230</v>
      </c>
      <c r="Z1075" t="s">
        <v>1000</v>
      </c>
      <c r="AF1075" t="s">
        <v>1861</v>
      </c>
      <c r="AG1075" t="s">
        <v>142</v>
      </c>
      <c r="AH1075" t="b">
        <v>0</v>
      </c>
    </row>
    <row r="1076" spans="1:34">
      <c r="A1076" t="s">
        <v>1861</v>
      </c>
      <c r="R1076" t="s">
        <v>1001</v>
      </c>
      <c r="S1076" t="s">
        <v>1002</v>
      </c>
      <c r="T1076" t="s">
        <v>1004</v>
      </c>
      <c r="V1076" t="s">
        <v>225</v>
      </c>
      <c r="W1076" t="s">
        <v>1003</v>
      </c>
      <c r="X1076" t="s">
        <v>393</v>
      </c>
      <c r="Y1076" t="s">
        <v>230</v>
      </c>
      <c r="Z1076" t="s">
        <v>1005</v>
      </c>
      <c r="AF1076" t="s">
        <v>1861</v>
      </c>
      <c r="AG1076" t="s">
        <v>142</v>
      </c>
      <c r="AH1076" t="b">
        <v>0</v>
      </c>
    </row>
    <row r="1077" spans="1:34">
      <c r="A1077" t="s">
        <v>1861</v>
      </c>
      <c r="R1077" t="s">
        <v>1006</v>
      </c>
      <c r="S1077" t="s">
        <v>1007</v>
      </c>
      <c r="T1077" t="s">
        <v>1009</v>
      </c>
      <c r="V1077" t="s">
        <v>225</v>
      </c>
      <c r="W1077" t="s">
        <v>1008</v>
      </c>
      <c r="X1077" t="s">
        <v>393</v>
      </c>
      <c r="Y1077" t="s">
        <v>230</v>
      </c>
      <c r="Z1077" t="s">
        <v>1010</v>
      </c>
      <c r="AF1077" t="s">
        <v>1861</v>
      </c>
      <c r="AG1077" t="s">
        <v>142</v>
      </c>
      <c r="AH1077" t="b">
        <v>0</v>
      </c>
    </row>
    <row r="1078" spans="1:34">
      <c r="A1078" t="s">
        <v>1861</v>
      </c>
      <c r="R1078" t="s">
        <v>1011</v>
      </c>
      <c r="S1078" t="s">
        <v>1012</v>
      </c>
      <c r="T1078" t="s">
        <v>1014</v>
      </c>
      <c r="V1078" t="s">
        <v>225</v>
      </c>
      <c r="W1078" t="s">
        <v>1013</v>
      </c>
      <c r="X1078" t="s">
        <v>393</v>
      </c>
      <c r="Y1078" t="s">
        <v>230</v>
      </c>
      <c r="Z1078" t="s">
        <v>1015</v>
      </c>
      <c r="AF1078" t="s">
        <v>1861</v>
      </c>
      <c r="AG1078" t="s">
        <v>142</v>
      </c>
      <c r="AH1078" t="b">
        <v>0</v>
      </c>
    </row>
    <row r="1079" spans="1:34">
      <c r="A1079" t="s">
        <v>1861</v>
      </c>
      <c r="R1079" t="s">
        <v>1016</v>
      </c>
      <c r="S1079" t="s">
        <v>1017</v>
      </c>
      <c r="T1079" t="s">
        <v>1019</v>
      </c>
      <c r="V1079" t="s">
        <v>225</v>
      </c>
      <c r="W1079" t="s">
        <v>1018</v>
      </c>
      <c r="X1079" t="s">
        <v>393</v>
      </c>
      <c r="Y1079" t="s">
        <v>230</v>
      </c>
      <c r="Z1079" t="s">
        <v>1020</v>
      </c>
      <c r="AF1079" t="s">
        <v>1861</v>
      </c>
      <c r="AG1079" t="s">
        <v>142</v>
      </c>
      <c r="AH1079" t="b">
        <v>0</v>
      </c>
    </row>
    <row r="1080" spans="1:34">
      <c r="A1080" t="s">
        <v>1861</v>
      </c>
      <c r="R1080" t="s">
        <v>1021</v>
      </c>
      <c r="S1080" t="s">
        <v>227</v>
      </c>
      <c r="T1080" t="s">
        <v>1023</v>
      </c>
      <c r="V1080" t="s">
        <v>225</v>
      </c>
      <c r="W1080" t="s">
        <v>1022</v>
      </c>
      <c r="X1080" t="s">
        <v>393</v>
      </c>
      <c r="Y1080" t="s">
        <v>230</v>
      </c>
      <c r="Z1080" t="s">
        <v>1024</v>
      </c>
      <c r="AF1080" t="s">
        <v>1861</v>
      </c>
      <c r="AG1080" t="s">
        <v>142</v>
      </c>
      <c r="AH1080" t="b">
        <v>0</v>
      </c>
    </row>
    <row r="1081" spans="1:34">
      <c r="A1081" t="s">
        <v>1861</v>
      </c>
      <c r="R1081" t="s">
        <v>1025</v>
      </c>
      <c r="S1081" t="s">
        <v>1026</v>
      </c>
      <c r="T1081" t="s">
        <v>1028</v>
      </c>
      <c r="V1081" t="s">
        <v>225</v>
      </c>
      <c r="W1081" t="s">
        <v>1027</v>
      </c>
      <c r="X1081" t="s">
        <v>393</v>
      </c>
      <c r="Y1081" t="s">
        <v>230</v>
      </c>
      <c r="Z1081" t="s">
        <v>1029</v>
      </c>
      <c r="AF1081" t="s">
        <v>1861</v>
      </c>
      <c r="AG1081" t="s">
        <v>142</v>
      </c>
      <c r="AH1081" t="b">
        <v>0</v>
      </c>
    </row>
    <row r="1082" spans="1:34">
      <c r="A1082" t="s">
        <v>1861</v>
      </c>
      <c r="R1082" t="s">
        <v>1030</v>
      </c>
      <c r="S1082" t="s">
        <v>1031</v>
      </c>
      <c r="T1082" t="s">
        <v>1033</v>
      </c>
      <c r="V1082" t="s">
        <v>225</v>
      </c>
      <c r="W1082" t="s">
        <v>1032</v>
      </c>
      <c r="X1082" t="s">
        <v>393</v>
      </c>
      <c r="Y1082" t="s">
        <v>230</v>
      </c>
      <c r="Z1082" t="s">
        <v>1034</v>
      </c>
      <c r="AF1082" t="s">
        <v>1861</v>
      </c>
      <c r="AG1082" t="s">
        <v>142</v>
      </c>
      <c r="AH1082" t="b">
        <v>0</v>
      </c>
    </row>
    <row r="1083" spans="1:34">
      <c r="A1083" t="s">
        <v>1861</v>
      </c>
      <c r="R1083" t="s">
        <v>1035</v>
      </c>
      <c r="S1083" t="s">
        <v>1036</v>
      </c>
      <c r="T1083" t="s">
        <v>1038</v>
      </c>
      <c r="V1083" t="s">
        <v>225</v>
      </c>
      <c r="W1083" t="s">
        <v>1037</v>
      </c>
      <c r="X1083" t="s">
        <v>393</v>
      </c>
      <c r="Y1083" t="s">
        <v>230</v>
      </c>
      <c r="Z1083" t="s">
        <v>1039</v>
      </c>
      <c r="AF1083" t="s">
        <v>1861</v>
      </c>
      <c r="AG1083" t="s">
        <v>142</v>
      </c>
      <c r="AH1083" t="b">
        <v>0</v>
      </c>
    </row>
    <row r="1084" spans="1:34">
      <c r="A1084" t="s">
        <v>1861</v>
      </c>
      <c r="R1084" t="s">
        <v>1040</v>
      </c>
      <c r="S1084" t="s">
        <v>1041</v>
      </c>
      <c r="T1084" t="s">
        <v>639</v>
      </c>
      <c r="V1084" t="s">
        <v>225</v>
      </c>
      <c r="W1084" t="s">
        <v>1042</v>
      </c>
      <c r="X1084" t="s">
        <v>393</v>
      </c>
      <c r="Y1084" t="s">
        <v>230</v>
      </c>
      <c r="Z1084" t="s">
        <v>1043</v>
      </c>
      <c r="AF1084" t="s">
        <v>1861</v>
      </c>
      <c r="AG1084" t="s">
        <v>142</v>
      </c>
      <c r="AH1084" t="b">
        <v>0</v>
      </c>
    </row>
    <row r="1085" spans="1:34">
      <c r="A1085" t="s">
        <v>1861</v>
      </c>
      <c r="R1085" t="s">
        <v>1044</v>
      </c>
      <c r="S1085" t="s">
        <v>227</v>
      </c>
      <c r="T1085" t="s">
        <v>1046</v>
      </c>
      <c r="V1085" t="s">
        <v>225</v>
      </c>
      <c r="W1085" t="s">
        <v>1045</v>
      </c>
      <c r="X1085" t="s">
        <v>393</v>
      </c>
      <c r="Y1085" t="s">
        <v>230</v>
      </c>
      <c r="Z1085" t="s">
        <v>1047</v>
      </c>
      <c r="AF1085" t="s">
        <v>1861</v>
      </c>
      <c r="AG1085" t="s">
        <v>142</v>
      </c>
      <c r="AH1085" t="b">
        <v>0</v>
      </c>
    </row>
    <row r="1086" spans="1:34">
      <c r="A1086" t="s">
        <v>1861</v>
      </c>
      <c r="R1086" t="s">
        <v>1048</v>
      </c>
      <c r="S1086" t="s">
        <v>1049</v>
      </c>
      <c r="T1086" t="s">
        <v>1051</v>
      </c>
      <c r="V1086" t="s">
        <v>225</v>
      </c>
      <c r="W1086" t="s">
        <v>1050</v>
      </c>
      <c r="X1086" t="s">
        <v>393</v>
      </c>
      <c r="Y1086" t="s">
        <v>230</v>
      </c>
      <c r="Z1086" t="s">
        <v>1052</v>
      </c>
      <c r="AF1086" t="s">
        <v>1861</v>
      </c>
      <c r="AG1086" t="s">
        <v>142</v>
      </c>
      <c r="AH1086" t="b">
        <v>0</v>
      </c>
    </row>
    <row r="1087" spans="1:34">
      <c r="A1087" t="s">
        <v>1861</v>
      </c>
      <c r="R1087" t="s">
        <v>1053</v>
      </c>
      <c r="S1087" t="s">
        <v>227</v>
      </c>
      <c r="T1087" t="s">
        <v>1055</v>
      </c>
      <c r="V1087" t="s">
        <v>225</v>
      </c>
      <c r="W1087" t="s">
        <v>1054</v>
      </c>
      <c r="X1087" t="s">
        <v>393</v>
      </c>
      <c r="Y1087" t="s">
        <v>230</v>
      </c>
      <c r="Z1087" t="s">
        <v>1056</v>
      </c>
      <c r="AF1087" t="s">
        <v>1861</v>
      </c>
      <c r="AG1087" t="s">
        <v>142</v>
      </c>
      <c r="AH1087" t="b">
        <v>0</v>
      </c>
    </row>
    <row r="1088" spans="1:34">
      <c r="A1088" t="s">
        <v>1861</v>
      </c>
      <c r="R1088" t="s">
        <v>1057</v>
      </c>
      <c r="S1088" t="s">
        <v>1058</v>
      </c>
      <c r="T1088" t="s">
        <v>1060</v>
      </c>
      <c r="V1088" t="s">
        <v>225</v>
      </c>
      <c r="W1088" t="s">
        <v>1059</v>
      </c>
      <c r="X1088" t="s">
        <v>393</v>
      </c>
      <c r="Y1088" t="s">
        <v>230</v>
      </c>
      <c r="Z1088" t="s">
        <v>1061</v>
      </c>
      <c r="AF1088" t="s">
        <v>1861</v>
      </c>
      <c r="AG1088" t="s">
        <v>142</v>
      </c>
      <c r="AH1088" t="b">
        <v>0</v>
      </c>
    </row>
    <row r="1089" spans="1:34">
      <c r="A1089" t="s">
        <v>1861</v>
      </c>
      <c r="R1089" t="s">
        <v>1062</v>
      </c>
      <c r="S1089" t="s">
        <v>1063</v>
      </c>
      <c r="T1089" t="s">
        <v>1065</v>
      </c>
      <c r="V1089" t="s">
        <v>225</v>
      </c>
      <c r="W1089" t="s">
        <v>1064</v>
      </c>
      <c r="X1089" t="s">
        <v>393</v>
      </c>
      <c r="Y1089" t="s">
        <v>230</v>
      </c>
      <c r="Z1089" t="s">
        <v>1066</v>
      </c>
      <c r="AF1089" t="s">
        <v>1861</v>
      </c>
      <c r="AG1089" t="s">
        <v>142</v>
      </c>
      <c r="AH1089" t="b">
        <v>0</v>
      </c>
    </row>
    <row r="1090" spans="1:34">
      <c r="A1090" t="s">
        <v>1861</v>
      </c>
      <c r="R1090" t="s">
        <v>1067</v>
      </c>
      <c r="S1090" t="s">
        <v>227</v>
      </c>
      <c r="T1090" t="s">
        <v>1069</v>
      </c>
      <c r="V1090" t="s">
        <v>225</v>
      </c>
      <c r="W1090" t="s">
        <v>1068</v>
      </c>
      <c r="X1090" t="s">
        <v>393</v>
      </c>
      <c r="Y1090" t="s">
        <v>230</v>
      </c>
      <c r="Z1090" t="s">
        <v>1070</v>
      </c>
      <c r="AF1090" t="s">
        <v>1861</v>
      </c>
      <c r="AG1090" t="s">
        <v>142</v>
      </c>
      <c r="AH1090" t="b">
        <v>0</v>
      </c>
    </row>
    <row r="1091" spans="1:34">
      <c r="A1091" t="s">
        <v>1861</v>
      </c>
      <c r="R1091" t="s">
        <v>1071</v>
      </c>
      <c r="S1091" t="s">
        <v>1072</v>
      </c>
      <c r="T1091" t="s">
        <v>1074</v>
      </c>
      <c r="V1091" t="s">
        <v>225</v>
      </c>
      <c r="W1091" t="s">
        <v>1073</v>
      </c>
      <c r="X1091" t="s">
        <v>393</v>
      </c>
      <c r="Y1091" t="s">
        <v>230</v>
      </c>
      <c r="Z1091" t="s">
        <v>1075</v>
      </c>
      <c r="AF1091" t="s">
        <v>1861</v>
      </c>
      <c r="AG1091" t="s">
        <v>142</v>
      </c>
      <c r="AH1091" t="b">
        <v>0</v>
      </c>
    </row>
    <row r="1092" spans="1:34">
      <c r="A1092" t="s">
        <v>1861</v>
      </c>
      <c r="R1092" t="s">
        <v>1076</v>
      </c>
      <c r="S1092" t="s">
        <v>1077</v>
      </c>
      <c r="T1092" t="s">
        <v>1079</v>
      </c>
      <c r="V1092" t="s">
        <v>225</v>
      </c>
      <c r="W1092" t="s">
        <v>1078</v>
      </c>
      <c r="X1092" t="s">
        <v>393</v>
      </c>
      <c r="Y1092" t="s">
        <v>230</v>
      </c>
      <c r="Z1092" t="s">
        <v>1080</v>
      </c>
      <c r="AF1092" t="s">
        <v>1861</v>
      </c>
      <c r="AG1092" t="s">
        <v>142</v>
      </c>
      <c r="AH1092" t="b">
        <v>0</v>
      </c>
    </row>
    <row r="1093" spans="1:34">
      <c r="A1093" t="s">
        <v>1861</v>
      </c>
      <c r="R1093" t="s">
        <v>1081</v>
      </c>
      <c r="S1093" t="s">
        <v>1082</v>
      </c>
      <c r="T1093" t="s">
        <v>1084</v>
      </c>
      <c r="V1093" t="s">
        <v>225</v>
      </c>
      <c r="W1093" t="s">
        <v>1083</v>
      </c>
      <c r="X1093" t="s">
        <v>393</v>
      </c>
      <c r="Y1093" t="s">
        <v>230</v>
      </c>
      <c r="Z1093" t="s">
        <v>1085</v>
      </c>
      <c r="AF1093" t="s">
        <v>1861</v>
      </c>
      <c r="AG1093" t="s">
        <v>142</v>
      </c>
      <c r="AH1093" t="b">
        <v>0</v>
      </c>
    </row>
    <row r="1094" spans="1:34">
      <c r="A1094" t="s">
        <v>1861</v>
      </c>
      <c r="R1094" t="s">
        <v>1086</v>
      </c>
      <c r="S1094" t="s">
        <v>227</v>
      </c>
      <c r="T1094" t="s">
        <v>1089</v>
      </c>
      <c r="V1094" t="s">
        <v>225</v>
      </c>
      <c r="W1094" t="s">
        <v>1087</v>
      </c>
      <c r="X1094" t="s">
        <v>1088</v>
      </c>
      <c r="Y1094" t="s">
        <v>230</v>
      </c>
      <c r="Z1094" t="s">
        <v>1090</v>
      </c>
      <c r="AF1094" t="s">
        <v>1861</v>
      </c>
      <c r="AG1094" t="s">
        <v>142</v>
      </c>
      <c r="AH1094" t="b">
        <v>0</v>
      </c>
    </row>
    <row r="1095" spans="1:34">
      <c r="A1095" t="s">
        <v>1861</v>
      </c>
      <c r="R1095" t="s">
        <v>1091</v>
      </c>
      <c r="S1095" t="s">
        <v>1092</v>
      </c>
      <c r="T1095" t="s">
        <v>1094</v>
      </c>
      <c r="V1095" t="s">
        <v>225</v>
      </c>
      <c r="W1095" t="s">
        <v>1093</v>
      </c>
      <c r="X1095" t="s">
        <v>393</v>
      </c>
      <c r="Y1095" t="s">
        <v>230</v>
      </c>
      <c r="Z1095" t="s">
        <v>1095</v>
      </c>
      <c r="AF1095" t="s">
        <v>1861</v>
      </c>
      <c r="AG1095" t="s">
        <v>142</v>
      </c>
      <c r="AH1095" t="b">
        <v>0</v>
      </c>
    </row>
    <row r="1096" spans="1:34">
      <c r="A1096" t="s">
        <v>1861</v>
      </c>
      <c r="R1096" t="s">
        <v>1096</v>
      </c>
      <c r="S1096" t="s">
        <v>1097</v>
      </c>
      <c r="T1096" t="s">
        <v>1099</v>
      </c>
      <c r="V1096" t="s">
        <v>225</v>
      </c>
      <c r="W1096" t="s">
        <v>1098</v>
      </c>
      <c r="X1096" t="s">
        <v>393</v>
      </c>
      <c r="Y1096" t="s">
        <v>230</v>
      </c>
      <c r="Z1096" t="s">
        <v>1100</v>
      </c>
      <c r="AF1096" t="s">
        <v>1861</v>
      </c>
      <c r="AG1096" t="s">
        <v>142</v>
      </c>
      <c r="AH1096" t="b">
        <v>0</v>
      </c>
    </row>
    <row r="1097" spans="1:34">
      <c r="A1097" t="s">
        <v>1861</v>
      </c>
      <c r="R1097" t="s">
        <v>1101</v>
      </c>
      <c r="S1097" t="s">
        <v>1102</v>
      </c>
      <c r="T1097" t="s">
        <v>1104</v>
      </c>
      <c r="V1097" t="s">
        <v>225</v>
      </c>
      <c r="W1097" t="s">
        <v>1103</v>
      </c>
      <c r="X1097" t="s">
        <v>393</v>
      </c>
      <c r="Y1097" t="s">
        <v>230</v>
      </c>
      <c r="Z1097" t="s">
        <v>1105</v>
      </c>
      <c r="AF1097" t="s">
        <v>1861</v>
      </c>
      <c r="AG1097" t="s">
        <v>142</v>
      </c>
      <c r="AH1097" t="b">
        <v>0</v>
      </c>
    </row>
    <row r="1098" spans="1:34">
      <c r="A1098" t="s">
        <v>1861</v>
      </c>
      <c r="R1098" t="s">
        <v>1106</v>
      </c>
      <c r="S1098" t="s">
        <v>1107</v>
      </c>
      <c r="T1098" t="s">
        <v>1109</v>
      </c>
      <c r="V1098" t="s">
        <v>225</v>
      </c>
      <c r="W1098" t="s">
        <v>1108</v>
      </c>
      <c r="X1098" t="s">
        <v>393</v>
      </c>
      <c r="Y1098" t="s">
        <v>230</v>
      </c>
      <c r="Z1098" t="s">
        <v>1110</v>
      </c>
      <c r="AF1098" t="s">
        <v>1861</v>
      </c>
      <c r="AG1098" t="s">
        <v>142</v>
      </c>
      <c r="AH1098" t="b">
        <v>0</v>
      </c>
    </row>
    <row r="1099" spans="1:34">
      <c r="A1099" t="s">
        <v>1861</v>
      </c>
      <c r="R1099" t="s">
        <v>1111</v>
      </c>
      <c r="S1099" t="s">
        <v>1112</v>
      </c>
      <c r="T1099" t="s">
        <v>1114</v>
      </c>
      <c r="V1099" t="s">
        <v>225</v>
      </c>
      <c r="W1099" t="s">
        <v>1113</v>
      </c>
      <c r="X1099" t="s">
        <v>393</v>
      </c>
      <c r="Y1099" t="s">
        <v>230</v>
      </c>
      <c r="Z1099" t="s">
        <v>1115</v>
      </c>
      <c r="AF1099" t="s">
        <v>1861</v>
      </c>
      <c r="AG1099" t="s">
        <v>142</v>
      </c>
      <c r="AH1099" t="b">
        <v>0</v>
      </c>
    </row>
    <row r="1100" spans="1:34">
      <c r="A1100" t="s">
        <v>1861</v>
      </c>
      <c r="R1100" t="s">
        <v>1116</v>
      </c>
      <c r="S1100" t="s">
        <v>1117</v>
      </c>
      <c r="T1100" t="s">
        <v>1119</v>
      </c>
      <c r="V1100" t="s">
        <v>225</v>
      </c>
      <c r="W1100" t="s">
        <v>1118</v>
      </c>
      <c r="X1100" t="s">
        <v>393</v>
      </c>
      <c r="Y1100" t="s">
        <v>230</v>
      </c>
      <c r="Z1100" t="s">
        <v>1120</v>
      </c>
      <c r="AF1100" t="s">
        <v>1861</v>
      </c>
      <c r="AG1100" t="s">
        <v>142</v>
      </c>
      <c r="AH1100" t="b">
        <v>0</v>
      </c>
    </row>
    <row r="1101" spans="1:34">
      <c r="A1101" t="s">
        <v>1861</v>
      </c>
      <c r="R1101" t="s">
        <v>1121</v>
      </c>
      <c r="S1101" t="s">
        <v>1122</v>
      </c>
      <c r="T1101" t="s">
        <v>1124</v>
      </c>
      <c r="V1101" t="s">
        <v>225</v>
      </c>
      <c r="W1101" t="s">
        <v>1123</v>
      </c>
      <c r="X1101" t="s">
        <v>393</v>
      </c>
      <c r="Y1101" t="s">
        <v>230</v>
      </c>
      <c r="Z1101" t="s">
        <v>1125</v>
      </c>
      <c r="AF1101" t="s">
        <v>1861</v>
      </c>
      <c r="AG1101" t="s">
        <v>142</v>
      </c>
      <c r="AH1101" t="b">
        <v>0</v>
      </c>
    </row>
    <row r="1102" spans="1:34">
      <c r="A1102" t="s">
        <v>1861</v>
      </c>
      <c r="R1102" t="s">
        <v>1126</v>
      </c>
      <c r="S1102" t="s">
        <v>1127</v>
      </c>
      <c r="T1102" t="s">
        <v>1129</v>
      </c>
      <c r="V1102" t="s">
        <v>225</v>
      </c>
      <c r="W1102" t="s">
        <v>1128</v>
      </c>
      <c r="X1102" t="s">
        <v>393</v>
      </c>
      <c r="Y1102" t="s">
        <v>230</v>
      </c>
      <c r="Z1102" t="s">
        <v>1130</v>
      </c>
      <c r="AF1102" t="s">
        <v>1861</v>
      </c>
      <c r="AG1102" t="s">
        <v>142</v>
      </c>
      <c r="AH1102" t="b">
        <v>0</v>
      </c>
    </row>
    <row r="1103" spans="1:34">
      <c r="A1103" t="s">
        <v>1861</v>
      </c>
      <c r="R1103" t="s">
        <v>1131</v>
      </c>
      <c r="S1103" t="s">
        <v>1132</v>
      </c>
      <c r="T1103" t="s">
        <v>1104</v>
      </c>
      <c r="V1103" t="s">
        <v>225</v>
      </c>
      <c r="W1103" t="s">
        <v>1133</v>
      </c>
      <c r="X1103" t="s">
        <v>393</v>
      </c>
      <c r="Y1103" t="s">
        <v>230</v>
      </c>
      <c r="Z1103" t="s">
        <v>1134</v>
      </c>
      <c r="AF1103" t="s">
        <v>1861</v>
      </c>
      <c r="AG1103" t="s">
        <v>142</v>
      </c>
      <c r="AH1103" t="b">
        <v>0</v>
      </c>
    </row>
    <row r="1104" spans="1:34">
      <c r="A1104" t="s">
        <v>1861</v>
      </c>
      <c r="R1104" t="s">
        <v>1135</v>
      </c>
      <c r="S1104" t="s">
        <v>1136</v>
      </c>
      <c r="T1104" t="s">
        <v>1138</v>
      </c>
      <c r="V1104" t="s">
        <v>225</v>
      </c>
      <c r="W1104" t="s">
        <v>1137</v>
      </c>
      <c r="X1104" t="s">
        <v>393</v>
      </c>
      <c r="Y1104" t="s">
        <v>230</v>
      </c>
      <c r="Z1104" t="s">
        <v>1139</v>
      </c>
      <c r="AF1104" t="s">
        <v>1861</v>
      </c>
      <c r="AG1104" t="s">
        <v>142</v>
      </c>
      <c r="AH1104" t="b">
        <v>0</v>
      </c>
    </row>
    <row r="1105" spans="1:34">
      <c r="A1105" t="s">
        <v>1861</v>
      </c>
      <c r="R1105" t="s">
        <v>1140</v>
      </c>
      <c r="S1105" t="s">
        <v>1141</v>
      </c>
      <c r="T1105" t="s">
        <v>1143</v>
      </c>
      <c r="V1105" t="s">
        <v>225</v>
      </c>
      <c r="W1105" t="s">
        <v>1142</v>
      </c>
      <c r="X1105" t="s">
        <v>393</v>
      </c>
      <c r="Y1105" t="s">
        <v>230</v>
      </c>
      <c r="Z1105" t="s">
        <v>1144</v>
      </c>
      <c r="AF1105" t="s">
        <v>1861</v>
      </c>
      <c r="AG1105" t="s">
        <v>142</v>
      </c>
      <c r="AH1105" t="b">
        <v>0</v>
      </c>
    </row>
    <row r="1106" spans="1:34">
      <c r="A1106" t="s">
        <v>1861</v>
      </c>
      <c r="R1106" t="s">
        <v>1145</v>
      </c>
      <c r="S1106" t="s">
        <v>1146</v>
      </c>
      <c r="T1106" t="s">
        <v>1148</v>
      </c>
      <c r="V1106" t="s">
        <v>225</v>
      </c>
      <c r="W1106" t="s">
        <v>1147</v>
      </c>
      <c r="X1106" t="s">
        <v>393</v>
      </c>
      <c r="Y1106" t="s">
        <v>230</v>
      </c>
      <c r="Z1106" t="s">
        <v>1149</v>
      </c>
      <c r="AF1106" t="s">
        <v>1861</v>
      </c>
      <c r="AG1106" t="s">
        <v>142</v>
      </c>
      <c r="AH1106" t="b">
        <v>0</v>
      </c>
    </row>
    <row r="1107" spans="1:34">
      <c r="A1107" t="s">
        <v>1861</v>
      </c>
      <c r="R1107" t="s">
        <v>1150</v>
      </c>
      <c r="S1107" t="s">
        <v>1151</v>
      </c>
      <c r="T1107" t="s">
        <v>1153</v>
      </c>
      <c r="V1107" t="s">
        <v>225</v>
      </c>
      <c r="W1107" t="s">
        <v>1152</v>
      </c>
      <c r="X1107" t="s">
        <v>393</v>
      </c>
      <c r="Y1107" t="s">
        <v>230</v>
      </c>
      <c r="Z1107" t="s">
        <v>1154</v>
      </c>
      <c r="AF1107" t="s">
        <v>1861</v>
      </c>
      <c r="AG1107" t="s">
        <v>142</v>
      </c>
      <c r="AH1107" t="b">
        <v>0</v>
      </c>
    </row>
    <row r="1108" spans="1:34">
      <c r="A1108" t="s">
        <v>1861</v>
      </c>
      <c r="R1108" t="s">
        <v>1155</v>
      </c>
      <c r="S1108" t="s">
        <v>1156</v>
      </c>
      <c r="T1108" t="s">
        <v>1124</v>
      </c>
      <c r="V1108" t="s">
        <v>225</v>
      </c>
      <c r="W1108" t="s">
        <v>1157</v>
      </c>
      <c r="X1108" t="s">
        <v>393</v>
      </c>
      <c r="Y1108" t="s">
        <v>230</v>
      </c>
      <c r="Z1108" t="s">
        <v>1158</v>
      </c>
      <c r="AF1108" t="s">
        <v>1861</v>
      </c>
      <c r="AG1108" t="s">
        <v>142</v>
      </c>
      <c r="AH1108" t="b">
        <v>0</v>
      </c>
    </row>
    <row r="1109" spans="1:34">
      <c r="A1109" t="s">
        <v>1861</v>
      </c>
      <c r="R1109" t="s">
        <v>1159</v>
      </c>
      <c r="S1109" t="s">
        <v>1160</v>
      </c>
      <c r="T1109" t="s">
        <v>1162</v>
      </c>
      <c r="V1109" t="s">
        <v>225</v>
      </c>
      <c r="W1109" t="s">
        <v>1161</v>
      </c>
      <c r="X1109" t="s">
        <v>393</v>
      </c>
      <c r="Y1109" t="s">
        <v>230</v>
      </c>
      <c r="Z1109" t="s">
        <v>1163</v>
      </c>
      <c r="AF1109" t="s">
        <v>1861</v>
      </c>
      <c r="AG1109" t="s">
        <v>142</v>
      </c>
      <c r="AH1109" t="b">
        <v>0</v>
      </c>
    </row>
    <row r="1110" spans="1:34">
      <c r="A1110" t="s">
        <v>1861</v>
      </c>
      <c r="R1110" t="s">
        <v>1164</v>
      </c>
      <c r="S1110" t="s">
        <v>1165</v>
      </c>
      <c r="T1110" t="s">
        <v>1167</v>
      </c>
      <c r="V1110" t="s">
        <v>225</v>
      </c>
      <c r="W1110" t="s">
        <v>1166</v>
      </c>
      <c r="X1110" t="s">
        <v>393</v>
      </c>
      <c r="Y1110" t="s">
        <v>230</v>
      </c>
      <c r="Z1110" t="s">
        <v>1168</v>
      </c>
      <c r="AF1110" t="s">
        <v>1861</v>
      </c>
      <c r="AG1110" t="s">
        <v>142</v>
      </c>
      <c r="AH1110" t="b">
        <v>0</v>
      </c>
    </row>
    <row r="1111" spans="1:34">
      <c r="A1111" t="s">
        <v>1861</v>
      </c>
      <c r="R1111" t="s">
        <v>1169</v>
      </c>
      <c r="S1111" t="s">
        <v>1170</v>
      </c>
      <c r="T1111" t="s">
        <v>1172</v>
      </c>
      <c r="V1111" t="s">
        <v>225</v>
      </c>
      <c r="W1111" t="s">
        <v>1171</v>
      </c>
      <c r="X1111" t="s">
        <v>393</v>
      </c>
      <c r="Y1111" t="s">
        <v>230</v>
      </c>
      <c r="Z1111" t="s">
        <v>1173</v>
      </c>
      <c r="AF1111" t="s">
        <v>1861</v>
      </c>
      <c r="AG1111" t="s">
        <v>142</v>
      </c>
      <c r="AH1111" t="b">
        <v>0</v>
      </c>
    </row>
    <row r="1112" spans="1:34">
      <c r="A1112" t="s">
        <v>1861</v>
      </c>
      <c r="R1112" t="s">
        <v>1174</v>
      </c>
      <c r="S1112" t="s">
        <v>227</v>
      </c>
      <c r="T1112" t="s">
        <v>1176</v>
      </c>
      <c r="V1112" t="s">
        <v>225</v>
      </c>
      <c r="W1112" t="s">
        <v>1175</v>
      </c>
      <c r="X1112" t="s">
        <v>475</v>
      </c>
      <c r="Y1112" t="s">
        <v>230</v>
      </c>
      <c r="Z1112" t="s">
        <v>1177</v>
      </c>
      <c r="AF1112" t="s">
        <v>1861</v>
      </c>
      <c r="AG1112" t="s">
        <v>142</v>
      </c>
      <c r="AH1112" t="b">
        <v>0</v>
      </c>
    </row>
    <row r="1113" spans="1:34">
      <c r="A1113" t="s">
        <v>1861</v>
      </c>
      <c r="R1113" t="s">
        <v>1178</v>
      </c>
      <c r="S1113" t="s">
        <v>1179</v>
      </c>
      <c r="T1113" t="s">
        <v>1181</v>
      </c>
      <c r="V1113" t="s">
        <v>225</v>
      </c>
      <c r="W1113" t="s">
        <v>1180</v>
      </c>
      <c r="X1113" t="s">
        <v>393</v>
      </c>
      <c r="Y1113" t="s">
        <v>230</v>
      </c>
      <c r="Z1113" t="s">
        <v>1182</v>
      </c>
      <c r="AF1113" t="s">
        <v>1861</v>
      </c>
      <c r="AG1113" t="s">
        <v>142</v>
      </c>
      <c r="AH1113" t="b">
        <v>0</v>
      </c>
    </row>
    <row r="1114" spans="1:34">
      <c r="A1114" t="s">
        <v>1861</v>
      </c>
      <c r="R1114" t="s">
        <v>1183</v>
      </c>
      <c r="S1114" t="s">
        <v>1184</v>
      </c>
      <c r="T1114" t="s">
        <v>1186</v>
      </c>
      <c r="V1114" t="s">
        <v>225</v>
      </c>
      <c r="W1114" t="s">
        <v>1185</v>
      </c>
      <c r="X1114" t="s">
        <v>393</v>
      </c>
      <c r="Y1114" t="s">
        <v>230</v>
      </c>
      <c r="Z1114" t="s">
        <v>1187</v>
      </c>
      <c r="AF1114" t="s">
        <v>1861</v>
      </c>
      <c r="AG1114" t="s">
        <v>142</v>
      </c>
      <c r="AH1114" t="b">
        <v>0</v>
      </c>
    </row>
    <row r="1115" spans="1:34">
      <c r="A1115" t="s">
        <v>1861</v>
      </c>
      <c r="R1115" t="s">
        <v>1188</v>
      </c>
      <c r="S1115" t="s">
        <v>1189</v>
      </c>
      <c r="T1115" t="s">
        <v>1191</v>
      </c>
      <c r="V1115" t="s">
        <v>225</v>
      </c>
      <c r="W1115" t="s">
        <v>1190</v>
      </c>
      <c r="X1115" t="s">
        <v>393</v>
      </c>
      <c r="Y1115" t="s">
        <v>230</v>
      </c>
      <c r="Z1115" t="s">
        <v>1192</v>
      </c>
      <c r="AF1115" t="s">
        <v>1861</v>
      </c>
      <c r="AG1115" t="s">
        <v>142</v>
      </c>
      <c r="AH1115" t="b">
        <v>0</v>
      </c>
    </row>
    <row r="1116" spans="1:34">
      <c r="A1116" t="s">
        <v>1861</v>
      </c>
      <c r="R1116" t="s">
        <v>1193</v>
      </c>
      <c r="S1116" t="s">
        <v>1194</v>
      </c>
      <c r="T1116" t="s">
        <v>1196</v>
      </c>
      <c r="V1116" t="s">
        <v>225</v>
      </c>
      <c r="W1116" t="s">
        <v>1195</v>
      </c>
      <c r="X1116" t="s">
        <v>393</v>
      </c>
      <c r="Y1116" t="s">
        <v>230</v>
      </c>
      <c r="Z1116" t="s">
        <v>1197</v>
      </c>
      <c r="AF1116" t="s">
        <v>1861</v>
      </c>
      <c r="AG1116" t="s">
        <v>142</v>
      </c>
      <c r="AH1116" t="b">
        <v>0</v>
      </c>
    </row>
    <row r="1117" spans="1:34">
      <c r="A1117" t="s">
        <v>1861</v>
      </c>
      <c r="R1117" t="s">
        <v>1198</v>
      </c>
      <c r="S1117" t="s">
        <v>1199</v>
      </c>
      <c r="T1117" t="s">
        <v>1201</v>
      </c>
      <c r="V1117" t="s">
        <v>225</v>
      </c>
      <c r="W1117" t="s">
        <v>1200</v>
      </c>
      <c r="X1117" t="s">
        <v>393</v>
      </c>
      <c r="Y1117" t="s">
        <v>230</v>
      </c>
      <c r="Z1117" t="s">
        <v>1202</v>
      </c>
      <c r="AF1117" t="s">
        <v>1861</v>
      </c>
      <c r="AG1117" t="s">
        <v>142</v>
      </c>
      <c r="AH1117" t="b">
        <v>0</v>
      </c>
    </row>
    <row r="1118" spans="1:34">
      <c r="A1118" t="s">
        <v>1861</v>
      </c>
      <c r="R1118" t="s">
        <v>1203</v>
      </c>
      <c r="S1118" t="s">
        <v>1204</v>
      </c>
      <c r="T1118" t="s">
        <v>1206</v>
      </c>
      <c r="V1118" t="s">
        <v>225</v>
      </c>
      <c r="W1118" t="s">
        <v>1205</v>
      </c>
      <c r="X1118" t="s">
        <v>393</v>
      </c>
      <c r="Y1118" t="s">
        <v>230</v>
      </c>
      <c r="Z1118" t="s">
        <v>1207</v>
      </c>
      <c r="AF1118" t="s">
        <v>1861</v>
      </c>
      <c r="AG1118" t="s">
        <v>142</v>
      </c>
      <c r="AH1118" t="b">
        <v>0</v>
      </c>
    </row>
    <row r="1119" spans="1:34">
      <c r="A1119" t="s">
        <v>1861</v>
      </c>
      <c r="R1119" t="s">
        <v>1208</v>
      </c>
      <c r="S1119" t="s">
        <v>1209</v>
      </c>
      <c r="T1119" t="s">
        <v>1211</v>
      </c>
      <c r="V1119" t="s">
        <v>225</v>
      </c>
      <c r="W1119" t="s">
        <v>1210</v>
      </c>
      <c r="X1119" t="s">
        <v>393</v>
      </c>
      <c r="Y1119" t="s">
        <v>230</v>
      </c>
      <c r="Z1119" t="s">
        <v>1212</v>
      </c>
      <c r="AF1119" t="s">
        <v>1861</v>
      </c>
      <c r="AG1119" t="s">
        <v>142</v>
      </c>
      <c r="AH1119" t="b">
        <v>0</v>
      </c>
    </row>
    <row r="1120" spans="1:34">
      <c r="A1120" t="s">
        <v>1861</v>
      </c>
      <c r="R1120" t="s">
        <v>1213</v>
      </c>
      <c r="S1120" t="s">
        <v>1214</v>
      </c>
      <c r="T1120" t="s">
        <v>1216</v>
      </c>
      <c r="V1120" t="s">
        <v>225</v>
      </c>
      <c r="W1120" t="s">
        <v>1215</v>
      </c>
      <c r="X1120" t="s">
        <v>393</v>
      </c>
      <c r="Y1120" t="s">
        <v>230</v>
      </c>
      <c r="Z1120" t="s">
        <v>1217</v>
      </c>
      <c r="AF1120" t="s">
        <v>1861</v>
      </c>
      <c r="AG1120" t="s">
        <v>142</v>
      </c>
      <c r="AH1120" t="b">
        <v>0</v>
      </c>
    </row>
    <row r="1121" spans="1:34">
      <c r="A1121" t="s">
        <v>1861</v>
      </c>
      <c r="R1121" t="s">
        <v>1218</v>
      </c>
      <c r="S1121" t="s">
        <v>1219</v>
      </c>
      <c r="T1121" t="s">
        <v>1221</v>
      </c>
      <c r="V1121" t="s">
        <v>225</v>
      </c>
      <c r="W1121" t="s">
        <v>1220</v>
      </c>
      <c r="X1121" t="s">
        <v>393</v>
      </c>
      <c r="Y1121" t="s">
        <v>230</v>
      </c>
      <c r="Z1121" t="s">
        <v>1222</v>
      </c>
      <c r="AF1121" t="s">
        <v>1861</v>
      </c>
      <c r="AG1121" t="s">
        <v>142</v>
      </c>
      <c r="AH1121" t="b">
        <v>0</v>
      </c>
    </row>
    <row r="1122" spans="1:34">
      <c r="A1122" t="s">
        <v>1861</v>
      </c>
      <c r="R1122" t="s">
        <v>1223</v>
      </c>
      <c r="S1122" t="s">
        <v>1224</v>
      </c>
      <c r="T1122" t="s">
        <v>1226</v>
      </c>
      <c r="V1122" t="s">
        <v>225</v>
      </c>
      <c r="W1122" t="s">
        <v>1225</v>
      </c>
      <c r="X1122" t="s">
        <v>393</v>
      </c>
      <c r="Y1122" t="s">
        <v>230</v>
      </c>
      <c r="Z1122" t="s">
        <v>1227</v>
      </c>
      <c r="AF1122" t="s">
        <v>1861</v>
      </c>
      <c r="AG1122" t="s">
        <v>142</v>
      </c>
      <c r="AH1122" t="b">
        <v>0</v>
      </c>
    </row>
    <row r="1123" spans="1:34">
      <c r="A1123" t="s">
        <v>1861</v>
      </c>
      <c r="R1123" t="s">
        <v>1228</v>
      </c>
      <c r="S1123" t="s">
        <v>1229</v>
      </c>
      <c r="T1123" t="s">
        <v>1231</v>
      </c>
      <c r="V1123" t="s">
        <v>225</v>
      </c>
      <c r="W1123" t="s">
        <v>1230</v>
      </c>
      <c r="X1123" t="s">
        <v>393</v>
      </c>
      <c r="Y1123" t="s">
        <v>230</v>
      </c>
      <c r="Z1123" t="s">
        <v>1232</v>
      </c>
      <c r="AF1123" t="s">
        <v>1861</v>
      </c>
      <c r="AG1123" t="s">
        <v>142</v>
      </c>
      <c r="AH1123" t="b">
        <v>0</v>
      </c>
    </row>
    <row r="1124" spans="1:34">
      <c r="A1124" t="s">
        <v>1861</v>
      </c>
      <c r="R1124" t="s">
        <v>1233</v>
      </c>
      <c r="S1124" t="s">
        <v>1234</v>
      </c>
      <c r="T1124" t="s">
        <v>1236</v>
      </c>
      <c r="V1124" t="s">
        <v>225</v>
      </c>
      <c r="W1124" t="s">
        <v>1235</v>
      </c>
      <c r="X1124" t="s">
        <v>393</v>
      </c>
      <c r="Y1124" t="s">
        <v>230</v>
      </c>
      <c r="Z1124" t="s">
        <v>1237</v>
      </c>
      <c r="AF1124" t="s">
        <v>1861</v>
      </c>
      <c r="AG1124" t="s">
        <v>142</v>
      </c>
      <c r="AH1124" t="b">
        <v>0</v>
      </c>
    </row>
    <row r="1125" spans="1:34">
      <c r="A1125" t="s">
        <v>1861</v>
      </c>
      <c r="R1125" t="s">
        <v>1238</v>
      </c>
      <c r="S1125" t="s">
        <v>1239</v>
      </c>
      <c r="T1125" t="s">
        <v>1241</v>
      </c>
      <c r="V1125" t="s">
        <v>225</v>
      </c>
      <c r="W1125" t="s">
        <v>1240</v>
      </c>
      <c r="X1125" t="s">
        <v>393</v>
      </c>
      <c r="Y1125" t="s">
        <v>230</v>
      </c>
      <c r="Z1125" t="s">
        <v>1242</v>
      </c>
      <c r="AF1125" t="s">
        <v>1861</v>
      </c>
      <c r="AG1125" t="s">
        <v>142</v>
      </c>
      <c r="AH1125" t="b">
        <v>0</v>
      </c>
    </row>
    <row r="1126" spans="1:34">
      <c r="A1126" t="s">
        <v>1861</v>
      </c>
      <c r="R1126" t="s">
        <v>1243</v>
      </c>
      <c r="S1126" t="s">
        <v>1244</v>
      </c>
      <c r="T1126" t="s">
        <v>1246</v>
      </c>
      <c r="V1126" t="s">
        <v>225</v>
      </c>
      <c r="W1126" t="s">
        <v>1245</v>
      </c>
      <c r="X1126" t="s">
        <v>393</v>
      </c>
      <c r="Y1126" t="s">
        <v>230</v>
      </c>
      <c r="Z1126" t="s">
        <v>1247</v>
      </c>
      <c r="AF1126" t="s">
        <v>1861</v>
      </c>
      <c r="AG1126" t="s">
        <v>142</v>
      </c>
      <c r="AH1126" t="b">
        <v>0</v>
      </c>
    </row>
    <row r="1127" spans="1:34">
      <c r="A1127" t="s">
        <v>1862</v>
      </c>
      <c r="R1127" t="s">
        <v>390</v>
      </c>
      <c r="S1127" t="s">
        <v>391</v>
      </c>
      <c r="T1127" t="s">
        <v>394</v>
      </c>
      <c r="U1127" t="s">
        <v>1250</v>
      </c>
      <c r="AF1127" t="s">
        <v>1862</v>
      </c>
      <c r="AG1127" t="s">
        <v>142</v>
      </c>
      <c r="AH1127" t="b">
        <v>0</v>
      </c>
    </row>
    <row r="1128" spans="1:34">
      <c r="A1128" t="s">
        <v>1862</v>
      </c>
      <c r="R1128" t="s">
        <v>396</v>
      </c>
      <c r="S1128" t="s">
        <v>397</v>
      </c>
      <c r="U1128" t="s">
        <v>399</v>
      </c>
      <c r="AF1128" t="s">
        <v>1862</v>
      </c>
      <c r="AG1128" t="s">
        <v>142</v>
      </c>
      <c r="AH1128" t="b">
        <v>0</v>
      </c>
    </row>
    <row r="1129" spans="1:34">
      <c r="A1129" t="s">
        <v>1862</v>
      </c>
      <c r="R1129" t="s">
        <v>400</v>
      </c>
      <c r="S1129" t="s">
        <v>401</v>
      </c>
      <c r="T1129" t="s">
        <v>403</v>
      </c>
      <c r="U1129" t="s">
        <v>1252</v>
      </c>
      <c r="AF1129" t="s">
        <v>1862</v>
      </c>
      <c r="AG1129" t="s">
        <v>142</v>
      </c>
      <c r="AH1129" t="b">
        <v>0</v>
      </c>
    </row>
    <row r="1130" spans="1:34">
      <c r="A1130" t="s">
        <v>1862</v>
      </c>
      <c r="R1130" t="s">
        <v>424</v>
      </c>
      <c r="S1130" t="s">
        <v>425</v>
      </c>
      <c r="T1130" t="s">
        <v>427</v>
      </c>
      <c r="U1130" t="s">
        <v>1253</v>
      </c>
      <c r="AF1130" t="s">
        <v>1862</v>
      </c>
      <c r="AG1130" t="s">
        <v>142</v>
      </c>
      <c r="AH1130" t="b">
        <v>0</v>
      </c>
    </row>
    <row r="1131" spans="1:34">
      <c r="A1131" t="s">
        <v>1862</v>
      </c>
      <c r="R1131" t="s">
        <v>445</v>
      </c>
      <c r="S1131" t="s">
        <v>446</v>
      </c>
      <c r="T1131" t="s">
        <v>448</v>
      </c>
      <c r="U1131" t="s">
        <v>1254</v>
      </c>
      <c r="AF1131" t="s">
        <v>1862</v>
      </c>
      <c r="AG1131" t="s">
        <v>142</v>
      </c>
      <c r="AH1131" t="b">
        <v>0</v>
      </c>
    </row>
    <row r="1132" spans="1:34">
      <c r="A1132" t="s">
        <v>1862</v>
      </c>
      <c r="R1132" t="s">
        <v>456</v>
      </c>
      <c r="S1132" t="s">
        <v>457</v>
      </c>
      <c r="T1132" t="s">
        <v>459</v>
      </c>
      <c r="U1132" t="s">
        <v>1255</v>
      </c>
      <c r="AF1132" t="s">
        <v>1862</v>
      </c>
      <c r="AG1132" t="s">
        <v>142</v>
      </c>
      <c r="AH1132" t="b">
        <v>0</v>
      </c>
    </row>
    <row r="1133" spans="1:34">
      <c r="A1133" t="s">
        <v>1862</v>
      </c>
      <c r="R1133" t="s">
        <v>515</v>
      </c>
      <c r="S1133" t="s">
        <v>516</v>
      </c>
      <c r="T1133" t="s">
        <v>518</v>
      </c>
      <c r="U1133" t="s">
        <v>1256</v>
      </c>
      <c r="AF1133" t="s">
        <v>1862</v>
      </c>
      <c r="AG1133" t="s">
        <v>142</v>
      </c>
      <c r="AH1133" t="b">
        <v>0</v>
      </c>
    </row>
    <row r="1134" spans="1:34">
      <c r="A1134" t="s">
        <v>1862</v>
      </c>
      <c r="R1134" t="s">
        <v>626</v>
      </c>
      <c r="S1134" t="s">
        <v>627</v>
      </c>
      <c r="T1134" t="s">
        <v>629</v>
      </c>
      <c r="U1134" t="s">
        <v>1257</v>
      </c>
      <c r="AF1134" t="s">
        <v>1862</v>
      </c>
      <c r="AG1134" t="s">
        <v>142</v>
      </c>
      <c r="AH1134" t="b">
        <v>0</v>
      </c>
    </row>
    <row r="1135" spans="1:34">
      <c r="A1135" t="s">
        <v>1862</v>
      </c>
      <c r="R1135" t="s">
        <v>631</v>
      </c>
      <c r="S1135" t="s">
        <v>632</v>
      </c>
      <c r="T1135" t="s">
        <v>634</v>
      </c>
      <c r="U1135" t="s">
        <v>1258</v>
      </c>
      <c r="AF1135" t="s">
        <v>1862</v>
      </c>
      <c r="AG1135" t="s">
        <v>142</v>
      </c>
      <c r="AH1135" t="b">
        <v>0</v>
      </c>
    </row>
    <row r="1136" spans="1:34">
      <c r="A1136" t="s">
        <v>1862</v>
      </c>
      <c r="R1136" t="s">
        <v>636</v>
      </c>
      <c r="S1136" t="s">
        <v>637</v>
      </c>
      <c r="T1136" t="s">
        <v>639</v>
      </c>
      <c r="U1136" t="s">
        <v>1259</v>
      </c>
      <c r="AF1136" t="s">
        <v>1862</v>
      </c>
      <c r="AG1136" t="s">
        <v>142</v>
      </c>
      <c r="AH1136" t="b">
        <v>0</v>
      </c>
    </row>
    <row r="1137" spans="1:34">
      <c r="A1137" t="s">
        <v>1862</v>
      </c>
      <c r="R1137" t="s">
        <v>641</v>
      </c>
      <c r="S1137" t="s">
        <v>642</v>
      </c>
      <c r="T1137" t="s">
        <v>644</v>
      </c>
      <c r="U1137" t="s">
        <v>1260</v>
      </c>
      <c r="AF1137" t="s">
        <v>1862</v>
      </c>
      <c r="AG1137" t="s">
        <v>142</v>
      </c>
      <c r="AH1137" t="b">
        <v>0</v>
      </c>
    </row>
    <row r="1138" spans="1:34">
      <c r="A1138" t="s">
        <v>1862</v>
      </c>
      <c r="R1138" t="s">
        <v>646</v>
      </c>
      <c r="S1138" t="s">
        <v>647</v>
      </c>
      <c r="T1138" t="s">
        <v>649</v>
      </c>
      <c r="U1138" t="s">
        <v>1261</v>
      </c>
      <c r="AF1138" t="s">
        <v>1862</v>
      </c>
      <c r="AG1138" t="s">
        <v>142</v>
      </c>
      <c r="AH1138" t="b">
        <v>0</v>
      </c>
    </row>
    <row r="1139" spans="1:34">
      <c r="A1139" t="s">
        <v>1862</v>
      </c>
      <c r="R1139" t="s">
        <v>651</v>
      </c>
      <c r="S1139" t="s">
        <v>652</v>
      </c>
      <c r="T1139" t="s">
        <v>654</v>
      </c>
      <c r="U1139" t="s">
        <v>1262</v>
      </c>
      <c r="AF1139" t="s">
        <v>1862</v>
      </c>
      <c r="AG1139" t="s">
        <v>142</v>
      </c>
      <c r="AH1139" t="b">
        <v>0</v>
      </c>
    </row>
    <row r="1140" spans="1:34">
      <c r="A1140" t="s">
        <v>1862</v>
      </c>
      <c r="R1140" t="s">
        <v>669</v>
      </c>
      <c r="S1140" t="s">
        <v>670</v>
      </c>
      <c r="T1140" t="s">
        <v>672</v>
      </c>
      <c r="U1140" t="s">
        <v>1263</v>
      </c>
      <c r="AF1140" t="s">
        <v>1862</v>
      </c>
      <c r="AG1140" t="s">
        <v>142</v>
      </c>
      <c r="AH1140" t="b">
        <v>0</v>
      </c>
    </row>
    <row r="1141" spans="1:34">
      <c r="A1141" t="s">
        <v>1862</v>
      </c>
      <c r="R1141" t="s">
        <v>690</v>
      </c>
      <c r="S1141" t="s">
        <v>691</v>
      </c>
      <c r="T1141" t="s">
        <v>693</v>
      </c>
      <c r="U1141" t="s">
        <v>1264</v>
      </c>
      <c r="AF1141" t="s">
        <v>1862</v>
      </c>
      <c r="AG1141" t="s">
        <v>142</v>
      </c>
      <c r="AH1141" t="b">
        <v>0</v>
      </c>
    </row>
    <row r="1142" spans="1:34">
      <c r="A1142" t="s">
        <v>1862</v>
      </c>
      <c r="R1142" t="s">
        <v>695</v>
      </c>
      <c r="S1142" t="s">
        <v>696</v>
      </c>
      <c r="T1142" t="s">
        <v>698</v>
      </c>
      <c r="U1142" t="s">
        <v>1265</v>
      </c>
      <c r="AF1142" t="s">
        <v>1862</v>
      </c>
      <c r="AG1142" t="s">
        <v>142</v>
      </c>
      <c r="AH1142" t="b">
        <v>0</v>
      </c>
    </row>
    <row r="1143" spans="1:34">
      <c r="A1143" t="s">
        <v>1862</v>
      </c>
      <c r="R1143" t="s">
        <v>700</v>
      </c>
      <c r="S1143" t="s">
        <v>701</v>
      </c>
      <c r="T1143" t="s">
        <v>703</v>
      </c>
      <c r="U1143" t="s">
        <v>1266</v>
      </c>
      <c r="AF1143" t="s">
        <v>1862</v>
      </c>
      <c r="AG1143" t="s">
        <v>142</v>
      </c>
      <c r="AH1143" t="b">
        <v>0</v>
      </c>
    </row>
    <row r="1144" spans="1:34">
      <c r="A1144" t="s">
        <v>1862</v>
      </c>
      <c r="R1144" t="s">
        <v>705</v>
      </c>
      <c r="S1144" t="s">
        <v>706</v>
      </c>
      <c r="T1144" t="s">
        <v>708</v>
      </c>
      <c r="U1144" t="s">
        <v>1267</v>
      </c>
      <c r="AF1144" t="s">
        <v>1862</v>
      </c>
      <c r="AG1144" t="s">
        <v>142</v>
      </c>
      <c r="AH1144" t="b">
        <v>0</v>
      </c>
    </row>
    <row r="1145" spans="1:34">
      <c r="A1145" t="s">
        <v>1862</v>
      </c>
      <c r="R1145" t="s">
        <v>710</v>
      </c>
      <c r="S1145" t="s">
        <v>711</v>
      </c>
      <c r="T1145" t="s">
        <v>713</v>
      </c>
      <c r="U1145" t="s">
        <v>1268</v>
      </c>
      <c r="AF1145" t="s">
        <v>1862</v>
      </c>
      <c r="AG1145" t="s">
        <v>142</v>
      </c>
      <c r="AH1145" t="b">
        <v>0</v>
      </c>
    </row>
    <row r="1146" spans="1:34">
      <c r="A1146" t="s">
        <v>1862</v>
      </c>
      <c r="R1146" t="s">
        <v>715</v>
      </c>
      <c r="S1146" t="s">
        <v>716</v>
      </c>
      <c r="T1146" t="s">
        <v>718</v>
      </c>
      <c r="U1146" t="s">
        <v>1269</v>
      </c>
      <c r="AF1146" t="s">
        <v>1862</v>
      </c>
      <c r="AG1146" t="s">
        <v>142</v>
      </c>
      <c r="AH1146" t="b">
        <v>0</v>
      </c>
    </row>
    <row r="1147" spans="1:34">
      <c r="A1147" t="s">
        <v>1862</v>
      </c>
      <c r="R1147" t="s">
        <v>720</v>
      </c>
      <c r="S1147" t="s">
        <v>721</v>
      </c>
      <c r="T1147" t="s">
        <v>723</v>
      </c>
      <c r="U1147" t="s">
        <v>1270</v>
      </c>
      <c r="AF1147" t="s">
        <v>1862</v>
      </c>
      <c r="AG1147" t="s">
        <v>142</v>
      </c>
      <c r="AH1147" t="b">
        <v>0</v>
      </c>
    </row>
    <row r="1148" spans="1:34">
      <c r="A1148" t="s">
        <v>1862</v>
      </c>
      <c r="R1148" t="s">
        <v>730</v>
      </c>
      <c r="S1148" t="s">
        <v>731</v>
      </c>
      <c r="T1148" t="s">
        <v>733</v>
      </c>
      <c r="U1148" t="s">
        <v>1271</v>
      </c>
      <c r="AF1148" t="s">
        <v>1862</v>
      </c>
      <c r="AG1148" t="s">
        <v>142</v>
      </c>
      <c r="AH1148" t="b">
        <v>0</v>
      </c>
    </row>
    <row r="1149" spans="1:34">
      <c r="A1149" t="s">
        <v>1862</v>
      </c>
      <c r="R1149" t="s">
        <v>735</v>
      </c>
      <c r="S1149" t="s">
        <v>736</v>
      </c>
      <c r="T1149" t="s">
        <v>738</v>
      </c>
      <c r="U1149" t="s">
        <v>1272</v>
      </c>
      <c r="AF1149" t="s">
        <v>1862</v>
      </c>
      <c r="AG1149" t="s">
        <v>142</v>
      </c>
      <c r="AH1149" t="b">
        <v>0</v>
      </c>
    </row>
    <row r="1150" spans="1:34">
      <c r="A1150" t="s">
        <v>1862</v>
      </c>
      <c r="R1150" t="s">
        <v>740</v>
      </c>
      <c r="S1150" t="s">
        <v>741</v>
      </c>
      <c r="T1150" t="s">
        <v>743</v>
      </c>
      <c r="U1150" t="s">
        <v>1273</v>
      </c>
      <c r="AF1150" t="s">
        <v>1862</v>
      </c>
      <c r="AG1150" t="s">
        <v>142</v>
      </c>
      <c r="AH1150" t="b">
        <v>0</v>
      </c>
    </row>
    <row r="1151" spans="1:34">
      <c r="A1151" t="s">
        <v>1862</v>
      </c>
      <c r="R1151" t="s">
        <v>745</v>
      </c>
      <c r="S1151" t="s">
        <v>746</v>
      </c>
      <c r="T1151" t="s">
        <v>748</v>
      </c>
      <c r="U1151" t="s">
        <v>1274</v>
      </c>
      <c r="AF1151" t="s">
        <v>1862</v>
      </c>
      <c r="AG1151" t="s">
        <v>142</v>
      </c>
      <c r="AH1151" t="b">
        <v>0</v>
      </c>
    </row>
    <row r="1152" spans="1:34">
      <c r="A1152" t="s">
        <v>1862</v>
      </c>
      <c r="R1152" t="s">
        <v>849</v>
      </c>
      <c r="S1152" t="s">
        <v>850</v>
      </c>
      <c r="T1152" t="s">
        <v>852</v>
      </c>
      <c r="U1152" t="s">
        <v>1275</v>
      </c>
      <c r="AF1152" t="s">
        <v>1862</v>
      </c>
      <c r="AG1152" t="s">
        <v>142</v>
      </c>
      <c r="AH1152" t="b">
        <v>0</v>
      </c>
    </row>
    <row r="1153" spans="1:34">
      <c r="A1153" t="s">
        <v>1862</v>
      </c>
      <c r="R1153" t="s">
        <v>854</v>
      </c>
      <c r="S1153" t="s">
        <v>855</v>
      </c>
      <c r="T1153" t="s">
        <v>857</v>
      </c>
      <c r="U1153" t="s">
        <v>1276</v>
      </c>
      <c r="AF1153" t="s">
        <v>1862</v>
      </c>
      <c r="AG1153" t="s">
        <v>142</v>
      </c>
      <c r="AH1153" t="b">
        <v>0</v>
      </c>
    </row>
    <row r="1154" spans="1:34">
      <c r="A1154" t="s">
        <v>1862</v>
      </c>
      <c r="R1154" t="s">
        <v>864</v>
      </c>
      <c r="S1154" t="s">
        <v>865</v>
      </c>
      <c r="T1154" t="s">
        <v>867</v>
      </c>
      <c r="U1154" t="s">
        <v>1277</v>
      </c>
      <c r="AF1154" t="s">
        <v>1862</v>
      </c>
      <c r="AG1154" t="s">
        <v>142</v>
      </c>
      <c r="AH1154" t="b">
        <v>0</v>
      </c>
    </row>
    <row r="1155" spans="1:34">
      <c r="A1155" t="s">
        <v>1862</v>
      </c>
      <c r="R1155" t="s">
        <v>877</v>
      </c>
      <c r="S1155" t="s">
        <v>878</v>
      </c>
      <c r="T1155" t="s">
        <v>880</v>
      </c>
      <c r="U1155" t="s">
        <v>1278</v>
      </c>
      <c r="AF1155" t="s">
        <v>1862</v>
      </c>
      <c r="AG1155" t="s">
        <v>142</v>
      </c>
      <c r="AH1155" t="b">
        <v>0</v>
      </c>
    </row>
    <row r="1156" spans="1:34">
      <c r="A1156" t="s">
        <v>1862</v>
      </c>
      <c r="R1156" t="s">
        <v>882</v>
      </c>
      <c r="S1156" t="s">
        <v>883</v>
      </c>
      <c r="T1156" t="s">
        <v>885</v>
      </c>
      <c r="U1156" t="s">
        <v>1279</v>
      </c>
      <c r="AF1156" t="s">
        <v>1862</v>
      </c>
      <c r="AG1156" t="s">
        <v>142</v>
      </c>
      <c r="AH1156" t="b">
        <v>0</v>
      </c>
    </row>
    <row r="1157" spans="1:34">
      <c r="A1157" t="s">
        <v>1862</v>
      </c>
      <c r="R1157" t="s">
        <v>887</v>
      </c>
      <c r="S1157" t="s">
        <v>888</v>
      </c>
      <c r="T1157" t="s">
        <v>890</v>
      </c>
      <c r="U1157" t="s">
        <v>1280</v>
      </c>
      <c r="AF1157" t="s">
        <v>1862</v>
      </c>
      <c r="AG1157" t="s">
        <v>142</v>
      </c>
      <c r="AH1157" t="b">
        <v>0</v>
      </c>
    </row>
    <row r="1158" spans="1:34">
      <c r="A1158" t="s">
        <v>1862</v>
      </c>
      <c r="R1158" t="s">
        <v>906</v>
      </c>
      <c r="S1158" t="s">
        <v>907</v>
      </c>
      <c r="T1158" t="s">
        <v>909</v>
      </c>
      <c r="U1158" t="s">
        <v>1281</v>
      </c>
      <c r="AF1158" t="s">
        <v>1862</v>
      </c>
      <c r="AG1158" t="s">
        <v>142</v>
      </c>
      <c r="AH1158" t="b">
        <v>0</v>
      </c>
    </row>
    <row r="1159" spans="1:34">
      <c r="A1159" t="s">
        <v>1862</v>
      </c>
      <c r="R1159" t="s">
        <v>916</v>
      </c>
      <c r="S1159" t="s">
        <v>917</v>
      </c>
      <c r="T1159" t="s">
        <v>919</v>
      </c>
      <c r="U1159" t="s">
        <v>1282</v>
      </c>
      <c r="AF1159" t="s">
        <v>1862</v>
      </c>
      <c r="AG1159" t="s">
        <v>142</v>
      </c>
      <c r="AH1159" t="b">
        <v>0</v>
      </c>
    </row>
    <row r="1160" spans="1:34">
      <c r="A1160" t="s">
        <v>1862</v>
      </c>
      <c r="R1160" t="s">
        <v>921</v>
      </c>
      <c r="S1160" t="s">
        <v>922</v>
      </c>
      <c r="T1160" t="s">
        <v>924</v>
      </c>
      <c r="U1160" t="s">
        <v>1283</v>
      </c>
      <c r="AF1160" t="s">
        <v>1862</v>
      </c>
      <c r="AG1160" t="s">
        <v>142</v>
      </c>
      <c r="AH1160" t="b">
        <v>0</v>
      </c>
    </row>
    <row r="1161" spans="1:34">
      <c r="A1161" t="s">
        <v>1862</v>
      </c>
      <c r="R1161" t="s">
        <v>926</v>
      </c>
      <c r="S1161" t="s">
        <v>927</v>
      </c>
      <c r="T1161" t="s">
        <v>929</v>
      </c>
      <c r="U1161" t="s">
        <v>1284</v>
      </c>
      <c r="AF1161" t="s">
        <v>1862</v>
      </c>
      <c r="AG1161" t="s">
        <v>142</v>
      </c>
      <c r="AH1161" t="b">
        <v>0</v>
      </c>
    </row>
    <row r="1162" spans="1:34">
      <c r="A1162" t="s">
        <v>1862</v>
      </c>
      <c r="R1162" t="s">
        <v>931</v>
      </c>
      <c r="S1162" t="s">
        <v>932</v>
      </c>
      <c r="T1162" t="s">
        <v>934</v>
      </c>
      <c r="U1162" t="s">
        <v>1285</v>
      </c>
      <c r="AF1162" t="s">
        <v>1862</v>
      </c>
      <c r="AG1162" t="s">
        <v>142</v>
      </c>
      <c r="AH1162" t="b">
        <v>0</v>
      </c>
    </row>
    <row r="1163" spans="1:34">
      <c r="A1163" t="s">
        <v>1862</v>
      </c>
      <c r="R1163" t="s">
        <v>946</v>
      </c>
      <c r="S1163" t="s">
        <v>947</v>
      </c>
      <c r="T1163" t="s">
        <v>949</v>
      </c>
      <c r="U1163" t="s">
        <v>1286</v>
      </c>
      <c r="AF1163" t="s">
        <v>1862</v>
      </c>
      <c r="AG1163" t="s">
        <v>142</v>
      </c>
      <c r="AH1163" t="b">
        <v>0</v>
      </c>
    </row>
    <row r="1164" spans="1:34">
      <c r="A1164" t="s">
        <v>1862</v>
      </c>
      <c r="R1164" t="s">
        <v>951</v>
      </c>
      <c r="S1164" t="s">
        <v>952</v>
      </c>
      <c r="T1164" t="s">
        <v>954</v>
      </c>
      <c r="U1164" t="s">
        <v>1287</v>
      </c>
      <c r="AF1164" t="s">
        <v>1862</v>
      </c>
      <c r="AG1164" t="s">
        <v>142</v>
      </c>
      <c r="AH1164" t="b">
        <v>0</v>
      </c>
    </row>
    <row r="1165" spans="1:34">
      <c r="A1165" t="s">
        <v>1862</v>
      </c>
      <c r="R1165" t="s">
        <v>956</v>
      </c>
      <c r="S1165" t="s">
        <v>957</v>
      </c>
      <c r="T1165" t="s">
        <v>959</v>
      </c>
      <c r="U1165" t="s">
        <v>1288</v>
      </c>
      <c r="AF1165" t="s">
        <v>1862</v>
      </c>
      <c r="AG1165" t="s">
        <v>142</v>
      </c>
      <c r="AH1165" t="b">
        <v>0</v>
      </c>
    </row>
    <row r="1166" spans="1:34">
      <c r="A1166" t="s">
        <v>1862</v>
      </c>
      <c r="R1166" t="s">
        <v>966</v>
      </c>
      <c r="S1166" t="s">
        <v>967</v>
      </c>
      <c r="T1166" t="s">
        <v>969</v>
      </c>
      <c r="U1166" t="s">
        <v>1289</v>
      </c>
      <c r="AF1166" t="s">
        <v>1862</v>
      </c>
      <c r="AG1166" t="s">
        <v>142</v>
      </c>
      <c r="AH1166" t="b">
        <v>0</v>
      </c>
    </row>
    <row r="1167" spans="1:34">
      <c r="A1167" t="s">
        <v>1862</v>
      </c>
      <c r="R1167" t="s">
        <v>986</v>
      </c>
      <c r="S1167" t="s">
        <v>987</v>
      </c>
      <c r="T1167" t="s">
        <v>989</v>
      </c>
      <c r="U1167" t="s">
        <v>1290</v>
      </c>
      <c r="AF1167" t="s">
        <v>1862</v>
      </c>
      <c r="AG1167" t="s">
        <v>142</v>
      </c>
      <c r="AH1167" t="b">
        <v>0</v>
      </c>
    </row>
    <row r="1168" spans="1:34">
      <c r="A1168" t="s">
        <v>1862</v>
      </c>
      <c r="R1168" t="s">
        <v>991</v>
      </c>
      <c r="S1168" t="s">
        <v>992</v>
      </c>
      <c r="T1168" t="s">
        <v>994</v>
      </c>
      <c r="U1168" t="s">
        <v>1291</v>
      </c>
      <c r="AF1168" t="s">
        <v>1862</v>
      </c>
      <c r="AG1168" t="s">
        <v>142</v>
      </c>
      <c r="AH1168" t="b">
        <v>0</v>
      </c>
    </row>
    <row r="1169" spans="1:34">
      <c r="A1169" t="s">
        <v>1862</v>
      </c>
      <c r="R1169" t="s">
        <v>996</v>
      </c>
      <c r="S1169" t="s">
        <v>997</v>
      </c>
      <c r="T1169" t="s">
        <v>999</v>
      </c>
      <c r="U1169" t="s">
        <v>1292</v>
      </c>
      <c r="AF1169" t="s">
        <v>1862</v>
      </c>
      <c r="AG1169" t="s">
        <v>142</v>
      </c>
      <c r="AH1169" t="b">
        <v>0</v>
      </c>
    </row>
    <row r="1170" spans="1:34">
      <c r="A1170" t="s">
        <v>1862</v>
      </c>
      <c r="R1170" t="s">
        <v>1011</v>
      </c>
      <c r="S1170" t="s">
        <v>1012</v>
      </c>
      <c r="T1170" t="s">
        <v>1014</v>
      </c>
      <c r="U1170" t="s">
        <v>1293</v>
      </c>
      <c r="AF1170" t="s">
        <v>1862</v>
      </c>
      <c r="AG1170" t="s">
        <v>142</v>
      </c>
      <c r="AH1170" t="b">
        <v>0</v>
      </c>
    </row>
    <row r="1171" spans="1:34">
      <c r="A1171" t="s">
        <v>1862</v>
      </c>
      <c r="R1171" t="s">
        <v>1025</v>
      </c>
      <c r="S1171" t="s">
        <v>1026</v>
      </c>
      <c r="T1171" t="s">
        <v>1028</v>
      </c>
      <c r="U1171" t="s">
        <v>1294</v>
      </c>
      <c r="AF1171" t="s">
        <v>1862</v>
      </c>
      <c r="AG1171" t="s">
        <v>142</v>
      </c>
      <c r="AH1171" t="b">
        <v>0</v>
      </c>
    </row>
    <row r="1172" spans="1:34">
      <c r="A1172" t="s">
        <v>1862</v>
      </c>
      <c r="R1172" t="s">
        <v>1030</v>
      </c>
      <c r="S1172" t="s">
        <v>1031</v>
      </c>
      <c r="T1172" t="s">
        <v>1033</v>
      </c>
      <c r="U1172" t="s">
        <v>1295</v>
      </c>
      <c r="AF1172" t="s">
        <v>1862</v>
      </c>
      <c r="AG1172" t="s">
        <v>142</v>
      </c>
      <c r="AH1172" t="b">
        <v>0</v>
      </c>
    </row>
    <row r="1173" spans="1:34">
      <c r="A1173" t="s">
        <v>1862</v>
      </c>
      <c r="R1173" t="s">
        <v>1048</v>
      </c>
      <c r="S1173" t="s">
        <v>1049</v>
      </c>
      <c r="T1173" t="s">
        <v>1051</v>
      </c>
      <c r="U1173" t="s">
        <v>1296</v>
      </c>
      <c r="AF1173" t="s">
        <v>1862</v>
      </c>
      <c r="AG1173" t="s">
        <v>142</v>
      </c>
      <c r="AH1173" t="b">
        <v>0</v>
      </c>
    </row>
    <row r="1174" spans="1:34">
      <c r="A1174" t="s">
        <v>1862</v>
      </c>
      <c r="R1174" t="s">
        <v>1071</v>
      </c>
      <c r="S1174" t="s">
        <v>1072</v>
      </c>
      <c r="T1174" t="s">
        <v>1074</v>
      </c>
      <c r="U1174" t="s">
        <v>1297</v>
      </c>
      <c r="AF1174" t="s">
        <v>1862</v>
      </c>
      <c r="AG1174" t="s">
        <v>142</v>
      </c>
      <c r="AH1174" t="b">
        <v>0</v>
      </c>
    </row>
    <row r="1175" spans="1:34">
      <c r="A1175" t="s">
        <v>1862</v>
      </c>
      <c r="R1175" t="s">
        <v>1076</v>
      </c>
      <c r="S1175" t="s">
        <v>1077</v>
      </c>
      <c r="T1175" t="s">
        <v>1079</v>
      </c>
      <c r="U1175" t="s">
        <v>1298</v>
      </c>
      <c r="AF1175" t="s">
        <v>1862</v>
      </c>
      <c r="AG1175" t="s">
        <v>142</v>
      </c>
      <c r="AH1175" t="b">
        <v>0</v>
      </c>
    </row>
    <row r="1176" spans="1:34">
      <c r="A1176" t="s">
        <v>1862</v>
      </c>
      <c r="R1176" t="s">
        <v>1091</v>
      </c>
      <c r="S1176" t="s">
        <v>1092</v>
      </c>
      <c r="T1176" t="s">
        <v>1094</v>
      </c>
      <c r="U1176" t="s">
        <v>1299</v>
      </c>
      <c r="AF1176" t="s">
        <v>1862</v>
      </c>
      <c r="AG1176" t="s">
        <v>142</v>
      </c>
      <c r="AH1176" t="b">
        <v>0</v>
      </c>
    </row>
    <row r="1177" spans="1:34">
      <c r="A1177" t="s">
        <v>1862</v>
      </c>
      <c r="R1177" t="s">
        <v>1096</v>
      </c>
      <c r="S1177" t="s">
        <v>1097</v>
      </c>
      <c r="T1177" t="s">
        <v>1099</v>
      </c>
      <c r="U1177" t="s">
        <v>1300</v>
      </c>
      <c r="AF1177" t="s">
        <v>1862</v>
      </c>
      <c r="AG1177" t="s">
        <v>142</v>
      </c>
      <c r="AH1177" t="b">
        <v>0</v>
      </c>
    </row>
    <row r="1178" spans="1:34">
      <c r="A1178" t="s">
        <v>1862</v>
      </c>
      <c r="R1178" t="s">
        <v>1106</v>
      </c>
      <c r="S1178" t="s">
        <v>1107</v>
      </c>
      <c r="T1178" t="s">
        <v>1109</v>
      </c>
      <c r="U1178" t="s">
        <v>1301</v>
      </c>
      <c r="AF1178" t="s">
        <v>1862</v>
      </c>
      <c r="AG1178" t="s">
        <v>142</v>
      </c>
      <c r="AH1178" t="b">
        <v>0</v>
      </c>
    </row>
    <row r="1179" spans="1:34">
      <c r="A1179" t="s">
        <v>1862</v>
      </c>
      <c r="R1179" t="s">
        <v>1131</v>
      </c>
      <c r="S1179" t="s">
        <v>1132</v>
      </c>
      <c r="T1179" t="s">
        <v>1104</v>
      </c>
      <c r="U1179" t="s">
        <v>1302</v>
      </c>
      <c r="AF1179" t="s">
        <v>1862</v>
      </c>
      <c r="AG1179" t="s">
        <v>142</v>
      </c>
      <c r="AH1179" t="b">
        <v>0</v>
      </c>
    </row>
    <row r="1180" spans="1:34">
      <c r="A1180" t="s">
        <v>1862</v>
      </c>
      <c r="R1180" t="s">
        <v>1135</v>
      </c>
      <c r="S1180" t="s">
        <v>1136</v>
      </c>
      <c r="T1180" t="s">
        <v>1138</v>
      </c>
      <c r="U1180" t="s">
        <v>1303</v>
      </c>
      <c r="AF1180" t="s">
        <v>1862</v>
      </c>
      <c r="AG1180" t="s">
        <v>142</v>
      </c>
      <c r="AH1180" t="b">
        <v>0</v>
      </c>
    </row>
    <row r="1181" spans="1:34">
      <c r="A1181" t="s">
        <v>1862</v>
      </c>
      <c r="R1181" t="s">
        <v>1140</v>
      </c>
      <c r="S1181" t="s">
        <v>1141</v>
      </c>
      <c r="T1181" t="s">
        <v>1143</v>
      </c>
      <c r="U1181" t="s">
        <v>1304</v>
      </c>
      <c r="AF1181" t="s">
        <v>1862</v>
      </c>
      <c r="AG1181" t="s">
        <v>142</v>
      </c>
      <c r="AH1181" t="b">
        <v>0</v>
      </c>
    </row>
    <row r="1182" spans="1:34">
      <c r="A1182" t="s">
        <v>1862</v>
      </c>
      <c r="R1182" t="s">
        <v>1155</v>
      </c>
      <c r="S1182" t="s">
        <v>1156</v>
      </c>
      <c r="T1182" t="s">
        <v>1124</v>
      </c>
      <c r="U1182" t="s">
        <v>1305</v>
      </c>
      <c r="AF1182" t="s">
        <v>1862</v>
      </c>
      <c r="AG1182" t="s">
        <v>142</v>
      </c>
      <c r="AH1182" t="b">
        <v>0</v>
      </c>
    </row>
    <row r="1183" spans="1:34">
      <c r="A1183" t="s">
        <v>1862</v>
      </c>
      <c r="R1183" t="s">
        <v>1188</v>
      </c>
      <c r="S1183" t="s">
        <v>1189</v>
      </c>
      <c r="T1183" t="s">
        <v>1191</v>
      </c>
      <c r="U1183" t="s">
        <v>1306</v>
      </c>
      <c r="AF1183" t="s">
        <v>1862</v>
      </c>
      <c r="AG1183" t="s">
        <v>142</v>
      </c>
      <c r="AH1183" t="b">
        <v>0</v>
      </c>
    </row>
    <row r="1184" spans="1:34">
      <c r="A1184" t="s">
        <v>1862</v>
      </c>
      <c r="R1184" t="s">
        <v>1193</v>
      </c>
      <c r="S1184" t="s">
        <v>1194</v>
      </c>
      <c r="T1184" t="s">
        <v>1196</v>
      </c>
      <c r="U1184" t="s">
        <v>1307</v>
      </c>
      <c r="AF1184" t="s">
        <v>1862</v>
      </c>
      <c r="AG1184" t="s">
        <v>142</v>
      </c>
      <c r="AH1184" t="b">
        <v>0</v>
      </c>
    </row>
    <row r="1185" spans="1:34">
      <c r="A1185" t="s">
        <v>1862</v>
      </c>
      <c r="R1185" t="s">
        <v>1198</v>
      </c>
      <c r="S1185" t="s">
        <v>1199</v>
      </c>
      <c r="T1185" t="s">
        <v>1201</v>
      </c>
      <c r="U1185" t="s">
        <v>1308</v>
      </c>
      <c r="AF1185" t="s">
        <v>1862</v>
      </c>
      <c r="AG1185" t="s">
        <v>142</v>
      </c>
      <c r="AH1185" t="b">
        <v>0</v>
      </c>
    </row>
    <row r="1186" spans="1:34">
      <c r="A1186" t="s">
        <v>1862</v>
      </c>
      <c r="R1186" t="s">
        <v>1233</v>
      </c>
      <c r="S1186" t="s">
        <v>1234</v>
      </c>
      <c r="T1186" t="s">
        <v>1236</v>
      </c>
      <c r="U1186" t="s">
        <v>1309</v>
      </c>
      <c r="AF1186" t="s">
        <v>1862</v>
      </c>
      <c r="AG1186" t="s">
        <v>142</v>
      </c>
      <c r="AH1186" t="b">
        <v>0</v>
      </c>
    </row>
    <row r="1187" spans="1:34">
      <c r="A1187" t="s">
        <v>1862</v>
      </c>
      <c r="R1187" t="s">
        <v>621</v>
      </c>
      <c r="S1187" t="s">
        <v>622</v>
      </c>
      <c r="T1187" t="s">
        <v>624</v>
      </c>
      <c r="U1187" t="s">
        <v>1310</v>
      </c>
      <c r="AF1187" t="s">
        <v>1862</v>
      </c>
      <c r="AG1187" t="s">
        <v>142</v>
      </c>
      <c r="AH1187" t="b">
        <v>0</v>
      </c>
    </row>
    <row r="1188" spans="1:34">
      <c r="A1188" t="s">
        <v>1862</v>
      </c>
      <c r="R1188" t="s">
        <v>664</v>
      </c>
      <c r="S1188" t="s">
        <v>665</v>
      </c>
      <c r="T1188" t="s">
        <v>667</v>
      </c>
      <c r="U1188" t="s">
        <v>1311</v>
      </c>
      <c r="AF1188" t="s">
        <v>1862</v>
      </c>
      <c r="AG1188" t="s">
        <v>142</v>
      </c>
      <c r="AH1188" t="b">
        <v>0</v>
      </c>
    </row>
    <row r="1189" spans="1:34">
      <c r="A1189" t="s">
        <v>1862</v>
      </c>
      <c r="R1189" t="s">
        <v>725</v>
      </c>
      <c r="S1189" t="s">
        <v>726</v>
      </c>
      <c r="T1189" t="s">
        <v>728</v>
      </c>
      <c r="U1189" t="s">
        <v>1312</v>
      </c>
      <c r="AF1189" t="s">
        <v>1862</v>
      </c>
      <c r="AG1189" t="s">
        <v>142</v>
      </c>
      <c r="AH1189" t="b">
        <v>0</v>
      </c>
    </row>
    <row r="1190" spans="1:34">
      <c r="A1190" t="s">
        <v>1862</v>
      </c>
      <c r="R1190" t="s">
        <v>844</v>
      </c>
      <c r="S1190" t="s">
        <v>845</v>
      </c>
      <c r="T1190" t="s">
        <v>847</v>
      </c>
      <c r="U1190" t="s">
        <v>1313</v>
      </c>
      <c r="AF1190" t="s">
        <v>1862</v>
      </c>
      <c r="AG1190" t="s">
        <v>142</v>
      </c>
      <c r="AH1190" t="b">
        <v>0</v>
      </c>
    </row>
    <row r="1191" spans="1:34">
      <c r="A1191" t="s">
        <v>1862</v>
      </c>
      <c r="R1191" t="s">
        <v>859</v>
      </c>
      <c r="S1191" t="s">
        <v>860</v>
      </c>
      <c r="T1191" t="s">
        <v>862</v>
      </c>
      <c r="U1191" t="s">
        <v>1314</v>
      </c>
      <c r="AF1191" t="s">
        <v>1862</v>
      </c>
      <c r="AG1191" t="s">
        <v>142</v>
      </c>
      <c r="AH1191" t="b">
        <v>0</v>
      </c>
    </row>
    <row r="1192" spans="1:34">
      <c r="A1192" t="s">
        <v>1862</v>
      </c>
      <c r="R1192" t="s">
        <v>892</v>
      </c>
      <c r="S1192" t="s">
        <v>893</v>
      </c>
      <c r="T1192" t="s">
        <v>895</v>
      </c>
      <c r="U1192" t="s">
        <v>1315</v>
      </c>
      <c r="AF1192" t="s">
        <v>1862</v>
      </c>
      <c r="AG1192" t="s">
        <v>142</v>
      </c>
      <c r="AH1192" t="b">
        <v>0</v>
      </c>
    </row>
    <row r="1193" spans="1:34">
      <c r="A1193" t="s">
        <v>1862</v>
      </c>
      <c r="R1193" t="s">
        <v>901</v>
      </c>
      <c r="S1193" t="s">
        <v>902</v>
      </c>
      <c r="T1193" t="s">
        <v>904</v>
      </c>
      <c r="U1193" t="s">
        <v>1316</v>
      </c>
      <c r="AF1193" t="s">
        <v>1862</v>
      </c>
      <c r="AG1193" t="s">
        <v>142</v>
      </c>
      <c r="AH1193" t="b">
        <v>0</v>
      </c>
    </row>
    <row r="1194" spans="1:34">
      <c r="A1194" t="s">
        <v>1862</v>
      </c>
      <c r="R1194" t="s">
        <v>911</v>
      </c>
      <c r="S1194" t="s">
        <v>912</v>
      </c>
      <c r="T1194" t="s">
        <v>914</v>
      </c>
      <c r="U1194" t="s">
        <v>1317</v>
      </c>
      <c r="AF1194" t="s">
        <v>1862</v>
      </c>
      <c r="AG1194" t="s">
        <v>142</v>
      </c>
      <c r="AH1194" t="b">
        <v>0</v>
      </c>
    </row>
    <row r="1195" spans="1:34">
      <c r="A1195" t="s">
        <v>1862</v>
      </c>
      <c r="R1195" t="s">
        <v>976</v>
      </c>
      <c r="S1195" t="s">
        <v>977</v>
      </c>
      <c r="T1195" t="s">
        <v>979</v>
      </c>
      <c r="U1195" t="s">
        <v>1318</v>
      </c>
      <c r="AF1195" t="s">
        <v>1862</v>
      </c>
      <c r="AG1195" t="s">
        <v>142</v>
      </c>
      <c r="AH1195" t="b">
        <v>0</v>
      </c>
    </row>
    <row r="1196" spans="1:34">
      <c r="A1196" t="s">
        <v>1862</v>
      </c>
      <c r="R1196" t="s">
        <v>936</v>
      </c>
      <c r="S1196" t="s">
        <v>937</v>
      </c>
      <c r="T1196" t="s">
        <v>939</v>
      </c>
      <c r="U1196" t="s">
        <v>1319</v>
      </c>
      <c r="AF1196" t="s">
        <v>1862</v>
      </c>
      <c r="AG1196" t="s">
        <v>142</v>
      </c>
      <c r="AH1196" t="b">
        <v>0</v>
      </c>
    </row>
    <row r="1197" spans="1:34">
      <c r="A1197" t="s">
        <v>1862</v>
      </c>
      <c r="R1197" t="s">
        <v>941</v>
      </c>
      <c r="S1197" t="s">
        <v>942</v>
      </c>
      <c r="T1197" t="s">
        <v>944</v>
      </c>
      <c r="U1197" t="s">
        <v>1320</v>
      </c>
      <c r="AF1197" t="s">
        <v>1862</v>
      </c>
      <c r="AG1197" t="s">
        <v>142</v>
      </c>
      <c r="AH1197" t="b">
        <v>0</v>
      </c>
    </row>
    <row r="1198" spans="1:34">
      <c r="A1198" t="s">
        <v>1862</v>
      </c>
      <c r="R1198" t="s">
        <v>961</v>
      </c>
      <c r="S1198" t="s">
        <v>962</v>
      </c>
      <c r="T1198" t="s">
        <v>964</v>
      </c>
      <c r="U1198" t="s">
        <v>1321</v>
      </c>
      <c r="AF1198" t="s">
        <v>1862</v>
      </c>
      <c r="AG1198" t="s">
        <v>142</v>
      </c>
      <c r="AH1198" t="b">
        <v>0</v>
      </c>
    </row>
    <row r="1199" spans="1:34">
      <c r="A1199" t="s">
        <v>1862</v>
      </c>
      <c r="R1199" t="s">
        <v>971</v>
      </c>
      <c r="S1199" t="s">
        <v>972</v>
      </c>
      <c r="T1199" t="s">
        <v>974</v>
      </c>
      <c r="U1199" t="s">
        <v>1322</v>
      </c>
      <c r="AF1199" t="s">
        <v>1862</v>
      </c>
      <c r="AG1199" t="s">
        <v>142</v>
      </c>
      <c r="AH1199" t="b">
        <v>0</v>
      </c>
    </row>
    <row r="1200" spans="1:34">
      <c r="A1200" t="s">
        <v>1862</v>
      </c>
      <c r="R1200" t="s">
        <v>981</v>
      </c>
      <c r="S1200" t="s">
        <v>982</v>
      </c>
      <c r="T1200" t="s">
        <v>984</v>
      </c>
      <c r="U1200" t="s">
        <v>1323</v>
      </c>
      <c r="AF1200" t="s">
        <v>1862</v>
      </c>
      <c r="AG1200" t="s">
        <v>142</v>
      </c>
      <c r="AH1200" t="b">
        <v>0</v>
      </c>
    </row>
    <row r="1201" spans="1:34">
      <c r="A1201" t="s">
        <v>1862</v>
      </c>
      <c r="R1201" t="s">
        <v>1001</v>
      </c>
      <c r="S1201" t="s">
        <v>1002</v>
      </c>
      <c r="T1201" t="s">
        <v>1004</v>
      </c>
      <c r="U1201" t="s">
        <v>1324</v>
      </c>
      <c r="AF1201" t="s">
        <v>1862</v>
      </c>
      <c r="AG1201" t="s">
        <v>142</v>
      </c>
      <c r="AH1201" t="b">
        <v>0</v>
      </c>
    </row>
    <row r="1202" spans="1:34">
      <c r="A1202" t="s">
        <v>1862</v>
      </c>
      <c r="R1202" t="s">
        <v>1006</v>
      </c>
      <c r="S1202" t="s">
        <v>1007</v>
      </c>
      <c r="T1202" t="s">
        <v>1009</v>
      </c>
      <c r="U1202" t="s">
        <v>1325</v>
      </c>
      <c r="AF1202" t="s">
        <v>1862</v>
      </c>
      <c r="AG1202" t="s">
        <v>142</v>
      </c>
      <c r="AH1202" t="b">
        <v>0</v>
      </c>
    </row>
    <row r="1203" spans="1:34">
      <c r="A1203" t="s">
        <v>1862</v>
      </c>
      <c r="R1203" t="s">
        <v>1016</v>
      </c>
      <c r="S1203" t="s">
        <v>1017</v>
      </c>
      <c r="T1203" t="s">
        <v>1019</v>
      </c>
      <c r="U1203" t="s">
        <v>1326</v>
      </c>
      <c r="AF1203" t="s">
        <v>1862</v>
      </c>
      <c r="AG1203" t="s">
        <v>142</v>
      </c>
      <c r="AH1203" t="b">
        <v>0</v>
      </c>
    </row>
    <row r="1204" spans="1:34">
      <c r="A1204" t="s">
        <v>1862</v>
      </c>
      <c r="R1204" t="s">
        <v>1035</v>
      </c>
      <c r="S1204" t="s">
        <v>1036</v>
      </c>
      <c r="T1204" t="s">
        <v>1038</v>
      </c>
      <c r="U1204" t="s">
        <v>1327</v>
      </c>
      <c r="AF1204" t="s">
        <v>1862</v>
      </c>
      <c r="AG1204" t="s">
        <v>142</v>
      </c>
      <c r="AH1204" t="b">
        <v>0</v>
      </c>
    </row>
    <row r="1205" spans="1:34">
      <c r="A1205" t="s">
        <v>1862</v>
      </c>
      <c r="R1205" t="s">
        <v>1040</v>
      </c>
      <c r="S1205" t="s">
        <v>1041</v>
      </c>
      <c r="T1205" t="s">
        <v>639</v>
      </c>
      <c r="U1205" t="s">
        <v>1328</v>
      </c>
      <c r="AF1205" t="s">
        <v>1862</v>
      </c>
      <c r="AG1205" t="s">
        <v>142</v>
      </c>
      <c r="AH1205" t="b">
        <v>0</v>
      </c>
    </row>
    <row r="1206" spans="1:34">
      <c r="A1206" t="s">
        <v>1862</v>
      </c>
      <c r="R1206" t="s">
        <v>1126</v>
      </c>
      <c r="S1206" t="s">
        <v>1127</v>
      </c>
      <c r="T1206" t="s">
        <v>1129</v>
      </c>
      <c r="U1206" t="s">
        <v>1329</v>
      </c>
      <c r="AF1206" t="s">
        <v>1862</v>
      </c>
      <c r="AG1206" t="s">
        <v>142</v>
      </c>
      <c r="AH1206" t="b">
        <v>0</v>
      </c>
    </row>
    <row r="1207" spans="1:34">
      <c r="A1207" t="s">
        <v>1862</v>
      </c>
      <c r="R1207" t="s">
        <v>1081</v>
      </c>
      <c r="S1207" t="s">
        <v>1082</v>
      </c>
      <c r="T1207" t="s">
        <v>1084</v>
      </c>
      <c r="U1207" t="s">
        <v>1330</v>
      </c>
      <c r="AF1207" t="s">
        <v>1862</v>
      </c>
      <c r="AG1207" t="s">
        <v>142</v>
      </c>
      <c r="AH1207" t="b">
        <v>0</v>
      </c>
    </row>
    <row r="1208" spans="1:34">
      <c r="A1208" t="s">
        <v>1862</v>
      </c>
      <c r="R1208" t="s">
        <v>1057</v>
      </c>
      <c r="S1208" t="s">
        <v>1058</v>
      </c>
      <c r="T1208" t="s">
        <v>1060</v>
      </c>
      <c r="U1208" t="s">
        <v>1331</v>
      </c>
      <c r="AF1208" t="s">
        <v>1862</v>
      </c>
      <c r="AG1208" t="s">
        <v>142</v>
      </c>
      <c r="AH1208" t="b">
        <v>0</v>
      </c>
    </row>
    <row r="1209" spans="1:34">
      <c r="A1209" t="s">
        <v>1862</v>
      </c>
      <c r="R1209" t="s">
        <v>1062</v>
      </c>
      <c r="S1209" t="s">
        <v>1063</v>
      </c>
      <c r="T1209" t="s">
        <v>1065</v>
      </c>
      <c r="U1209" t="s">
        <v>1332</v>
      </c>
      <c r="AF1209" t="s">
        <v>1862</v>
      </c>
      <c r="AG1209" t="s">
        <v>142</v>
      </c>
      <c r="AH1209" t="b">
        <v>0</v>
      </c>
    </row>
    <row r="1210" spans="1:34">
      <c r="A1210" t="s">
        <v>1862</v>
      </c>
      <c r="R1210" t="s">
        <v>1101</v>
      </c>
      <c r="S1210" t="s">
        <v>1102</v>
      </c>
      <c r="T1210" t="s">
        <v>1104</v>
      </c>
      <c r="U1210" t="s">
        <v>1333</v>
      </c>
      <c r="AF1210" t="s">
        <v>1862</v>
      </c>
      <c r="AG1210" t="s">
        <v>142</v>
      </c>
      <c r="AH1210" t="b">
        <v>0</v>
      </c>
    </row>
    <row r="1211" spans="1:34">
      <c r="A1211" t="s">
        <v>1862</v>
      </c>
      <c r="R1211" t="s">
        <v>1111</v>
      </c>
      <c r="S1211" t="s">
        <v>1112</v>
      </c>
      <c r="T1211" t="s">
        <v>1114</v>
      </c>
      <c r="U1211" t="s">
        <v>1334</v>
      </c>
      <c r="AF1211" t="s">
        <v>1862</v>
      </c>
      <c r="AG1211" t="s">
        <v>142</v>
      </c>
      <c r="AH1211" t="b">
        <v>0</v>
      </c>
    </row>
    <row r="1212" spans="1:34">
      <c r="A1212" t="s">
        <v>1862</v>
      </c>
      <c r="R1212" t="s">
        <v>1116</v>
      </c>
      <c r="S1212" t="s">
        <v>1117</v>
      </c>
      <c r="T1212" t="s">
        <v>1119</v>
      </c>
      <c r="U1212" t="s">
        <v>1335</v>
      </c>
      <c r="AF1212" t="s">
        <v>1862</v>
      </c>
      <c r="AG1212" t="s">
        <v>142</v>
      </c>
      <c r="AH1212" t="b">
        <v>0</v>
      </c>
    </row>
    <row r="1213" spans="1:34">
      <c r="A1213" t="s">
        <v>1862</v>
      </c>
      <c r="R1213" t="s">
        <v>1178</v>
      </c>
      <c r="S1213" t="s">
        <v>1179</v>
      </c>
      <c r="T1213" t="s">
        <v>1181</v>
      </c>
      <c r="U1213" t="s">
        <v>1336</v>
      </c>
      <c r="AF1213" t="s">
        <v>1862</v>
      </c>
      <c r="AG1213" t="s">
        <v>142</v>
      </c>
      <c r="AH1213" t="b">
        <v>0</v>
      </c>
    </row>
    <row r="1214" spans="1:34">
      <c r="A1214" t="s">
        <v>1862</v>
      </c>
      <c r="R1214" t="s">
        <v>1121</v>
      </c>
      <c r="S1214" t="s">
        <v>1122</v>
      </c>
      <c r="T1214" t="s">
        <v>1124</v>
      </c>
      <c r="U1214" t="s">
        <v>1337</v>
      </c>
      <c r="AF1214" t="s">
        <v>1862</v>
      </c>
      <c r="AG1214" t="s">
        <v>142</v>
      </c>
      <c r="AH1214" t="b">
        <v>0</v>
      </c>
    </row>
    <row r="1215" spans="1:34">
      <c r="A1215" t="s">
        <v>1862</v>
      </c>
      <c r="R1215" t="s">
        <v>1145</v>
      </c>
      <c r="S1215" t="s">
        <v>1146</v>
      </c>
      <c r="T1215" t="s">
        <v>1148</v>
      </c>
      <c r="U1215" t="s">
        <v>1338</v>
      </c>
      <c r="AF1215" t="s">
        <v>1862</v>
      </c>
      <c r="AG1215" t="s">
        <v>142</v>
      </c>
      <c r="AH1215" t="b">
        <v>0</v>
      </c>
    </row>
    <row r="1216" spans="1:34">
      <c r="A1216" t="s">
        <v>1862</v>
      </c>
      <c r="R1216" t="s">
        <v>1150</v>
      </c>
      <c r="S1216" t="s">
        <v>1151</v>
      </c>
      <c r="T1216" t="s">
        <v>1153</v>
      </c>
      <c r="U1216" t="s">
        <v>1339</v>
      </c>
      <c r="AF1216" t="s">
        <v>1862</v>
      </c>
      <c r="AG1216" t="s">
        <v>142</v>
      </c>
      <c r="AH1216" t="b">
        <v>0</v>
      </c>
    </row>
    <row r="1217" spans="1:34">
      <c r="A1217" t="s">
        <v>1862</v>
      </c>
      <c r="R1217" t="s">
        <v>1159</v>
      </c>
      <c r="S1217" t="s">
        <v>1160</v>
      </c>
      <c r="T1217" t="s">
        <v>1162</v>
      </c>
      <c r="U1217" t="s">
        <v>1340</v>
      </c>
      <c r="AF1217" t="s">
        <v>1862</v>
      </c>
      <c r="AG1217" t="s">
        <v>142</v>
      </c>
      <c r="AH1217" t="b">
        <v>0</v>
      </c>
    </row>
    <row r="1218" spans="1:34">
      <c r="A1218" t="s">
        <v>1862</v>
      </c>
      <c r="R1218" t="s">
        <v>1164</v>
      </c>
      <c r="S1218" t="s">
        <v>1165</v>
      </c>
      <c r="T1218" t="s">
        <v>1167</v>
      </c>
      <c r="U1218" t="s">
        <v>1341</v>
      </c>
      <c r="AF1218" t="s">
        <v>1862</v>
      </c>
      <c r="AG1218" t="s">
        <v>142</v>
      </c>
      <c r="AH1218" t="b">
        <v>0</v>
      </c>
    </row>
    <row r="1219" spans="1:34">
      <c r="A1219" t="s">
        <v>1862</v>
      </c>
      <c r="R1219" t="s">
        <v>1169</v>
      </c>
      <c r="S1219" t="s">
        <v>1170</v>
      </c>
      <c r="T1219" t="s">
        <v>1172</v>
      </c>
      <c r="U1219" t="s">
        <v>1342</v>
      </c>
      <c r="AF1219" t="s">
        <v>1862</v>
      </c>
      <c r="AG1219" t="s">
        <v>142</v>
      </c>
      <c r="AH1219" t="b">
        <v>0</v>
      </c>
    </row>
    <row r="1220" spans="1:34">
      <c r="A1220" t="s">
        <v>1862</v>
      </c>
      <c r="R1220" t="s">
        <v>1183</v>
      </c>
      <c r="S1220" t="s">
        <v>1184</v>
      </c>
      <c r="T1220" t="s">
        <v>1186</v>
      </c>
      <c r="U1220" t="s">
        <v>1343</v>
      </c>
      <c r="AF1220" t="s">
        <v>1862</v>
      </c>
      <c r="AG1220" t="s">
        <v>142</v>
      </c>
      <c r="AH1220" t="b">
        <v>0</v>
      </c>
    </row>
    <row r="1221" spans="1:34">
      <c r="A1221" t="s">
        <v>1862</v>
      </c>
      <c r="R1221" t="s">
        <v>1218</v>
      </c>
      <c r="S1221" t="s">
        <v>1219</v>
      </c>
      <c r="T1221" t="s">
        <v>1221</v>
      </c>
      <c r="U1221" t="s">
        <v>1344</v>
      </c>
      <c r="AF1221" t="s">
        <v>1862</v>
      </c>
      <c r="AG1221" t="s">
        <v>142</v>
      </c>
      <c r="AH1221" t="b">
        <v>0</v>
      </c>
    </row>
    <row r="1222" spans="1:34">
      <c r="A1222" t="s">
        <v>1862</v>
      </c>
      <c r="R1222" t="s">
        <v>1223</v>
      </c>
      <c r="S1222" t="s">
        <v>1224</v>
      </c>
      <c r="T1222" t="s">
        <v>1226</v>
      </c>
      <c r="U1222" t="s">
        <v>1345</v>
      </c>
      <c r="AF1222" t="s">
        <v>1862</v>
      </c>
      <c r="AG1222" t="s">
        <v>142</v>
      </c>
      <c r="AH1222" t="b">
        <v>0</v>
      </c>
    </row>
    <row r="1223" spans="1:34">
      <c r="A1223" t="s">
        <v>1862</v>
      </c>
      <c r="R1223" t="s">
        <v>1208</v>
      </c>
      <c r="S1223" t="s">
        <v>1209</v>
      </c>
      <c r="T1223" t="s">
        <v>1211</v>
      </c>
      <c r="U1223" t="s">
        <v>1346</v>
      </c>
      <c r="AF1223" t="s">
        <v>1862</v>
      </c>
      <c r="AG1223" t="s">
        <v>142</v>
      </c>
      <c r="AH1223" t="b">
        <v>0</v>
      </c>
    </row>
    <row r="1224" spans="1:34">
      <c r="A1224" t="s">
        <v>1862</v>
      </c>
      <c r="R1224" t="s">
        <v>1213</v>
      </c>
      <c r="S1224" t="s">
        <v>1214</v>
      </c>
      <c r="T1224" t="s">
        <v>1216</v>
      </c>
      <c r="U1224" t="s">
        <v>1347</v>
      </c>
      <c r="AF1224" t="s">
        <v>1862</v>
      </c>
      <c r="AG1224" t="s">
        <v>142</v>
      </c>
      <c r="AH1224" t="b">
        <v>0</v>
      </c>
    </row>
    <row r="1225" spans="1:34">
      <c r="A1225" t="s">
        <v>1862</v>
      </c>
      <c r="R1225" t="s">
        <v>1228</v>
      </c>
      <c r="S1225" t="s">
        <v>1229</v>
      </c>
      <c r="T1225" t="s">
        <v>1231</v>
      </c>
      <c r="U1225" t="s">
        <v>1348</v>
      </c>
      <c r="AF1225" t="s">
        <v>1862</v>
      </c>
      <c r="AG1225" t="s">
        <v>142</v>
      </c>
      <c r="AH1225" t="b">
        <v>0</v>
      </c>
    </row>
    <row r="1226" spans="1:34">
      <c r="A1226" t="s">
        <v>1862</v>
      </c>
      <c r="R1226" t="s">
        <v>1203</v>
      </c>
      <c r="S1226" t="s">
        <v>1204</v>
      </c>
      <c r="T1226" t="s">
        <v>1206</v>
      </c>
      <c r="U1226" t="s">
        <v>1349</v>
      </c>
      <c r="AF1226" t="s">
        <v>1862</v>
      </c>
      <c r="AG1226" t="s">
        <v>142</v>
      </c>
      <c r="AH1226" t="b">
        <v>0</v>
      </c>
    </row>
    <row r="1227" spans="1:34">
      <c r="A1227" t="s">
        <v>1862</v>
      </c>
      <c r="R1227" t="s">
        <v>1238</v>
      </c>
      <c r="S1227" t="s">
        <v>1239</v>
      </c>
      <c r="T1227" t="s">
        <v>1241</v>
      </c>
      <c r="U1227" t="s">
        <v>1350</v>
      </c>
      <c r="AF1227" t="s">
        <v>1862</v>
      </c>
      <c r="AG1227" t="s">
        <v>142</v>
      </c>
      <c r="AH1227" t="b">
        <v>0</v>
      </c>
    </row>
    <row r="1228" spans="1:34">
      <c r="A1228" t="s">
        <v>1862</v>
      </c>
      <c r="R1228" t="s">
        <v>1243</v>
      </c>
      <c r="S1228" t="s">
        <v>1244</v>
      </c>
      <c r="T1228" t="s">
        <v>1246</v>
      </c>
      <c r="U1228" t="s">
        <v>1351</v>
      </c>
      <c r="AF1228" t="s">
        <v>1862</v>
      </c>
      <c r="AG1228" t="s">
        <v>142</v>
      </c>
      <c r="AH1228" t="b">
        <v>0</v>
      </c>
    </row>
    <row r="1229" spans="1:34">
      <c r="A1229" t="s">
        <v>1862</v>
      </c>
      <c r="R1229" t="s">
        <v>1352</v>
      </c>
      <c r="S1229" t="s">
        <v>227</v>
      </c>
      <c r="T1229" t="s">
        <v>1353</v>
      </c>
      <c r="U1229" t="s">
        <v>1354</v>
      </c>
      <c r="AF1229" t="s">
        <v>1862</v>
      </c>
      <c r="AG1229" t="s">
        <v>142</v>
      </c>
      <c r="AH1229" t="b">
        <v>0</v>
      </c>
    </row>
    <row r="1230" spans="1:34">
      <c r="A1230" t="s">
        <v>1863</v>
      </c>
      <c r="AA1230" t="s">
        <v>1361</v>
      </c>
      <c r="AB1230" t="s">
        <v>1362</v>
      </c>
      <c r="AC1230" t="s">
        <v>1363</v>
      </c>
      <c r="AD1230" t="s">
        <v>1364</v>
      </c>
      <c r="AE1230" t="s">
        <v>1365</v>
      </c>
      <c r="AF1230" t="s">
        <v>1863</v>
      </c>
      <c r="AG1230" t="s">
        <v>142</v>
      </c>
      <c r="AH1230" t="b">
        <v>0</v>
      </c>
    </row>
    <row r="1231" spans="1:34">
      <c r="A1231" t="s">
        <v>1863</v>
      </c>
      <c r="AA1231" t="s">
        <v>1366</v>
      </c>
      <c r="AB1231" t="s">
        <v>1367</v>
      </c>
      <c r="AC1231" t="s">
        <v>1368</v>
      </c>
      <c r="AD1231" t="s">
        <v>1369</v>
      </c>
      <c r="AE1231" t="s">
        <v>1370</v>
      </c>
      <c r="AF1231" t="s">
        <v>1863</v>
      </c>
      <c r="AG1231" t="s">
        <v>142</v>
      </c>
      <c r="AH1231" t="b">
        <v>0</v>
      </c>
    </row>
    <row r="1232" spans="1:34">
      <c r="A1232" t="s">
        <v>1863</v>
      </c>
      <c r="AA1232" t="s">
        <v>1371</v>
      </c>
      <c r="AB1232" t="s">
        <v>1362</v>
      </c>
      <c r="AC1232" t="s">
        <v>1372</v>
      </c>
      <c r="AD1232" t="s">
        <v>1364</v>
      </c>
      <c r="AE1232" t="s">
        <v>1373</v>
      </c>
      <c r="AF1232" t="s">
        <v>1863</v>
      </c>
      <c r="AG1232" t="s">
        <v>142</v>
      </c>
      <c r="AH1232" t="b">
        <v>0</v>
      </c>
    </row>
    <row r="1233" spans="1:34">
      <c r="A1233" t="s">
        <v>1863</v>
      </c>
      <c r="AA1233" t="s">
        <v>1374</v>
      </c>
      <c r="AB1233" t="s">
        <v>1362</v>
      </c>
      <c r="AC1233" t="s">
        <v>1375</v>
      </c>
      <c r="AD1233" t="s">
        <v>1364</v>
      </c>
      <c r="AE1233" t="s">
        <v>1376</v>
      </c>
      <c r="AF1233" t="s">
        <v>1863</v>
      </c>
      <c r="AG1233" t="s">
        <v>142</v>
      </c>
      <c r="AH1233" t="b">
        <v>0</v>
      </c>
    </row>
    <row r="1234" spans="1:34">
      <c r="A1234" t="s">
        <v>1863</v>
      </c>
      <c r="AA1234" t="s">
        <v>1377</v>
      </c>
      <c r="AB1234" t="s">
        <v>1367</v>
      </c>
      <c r="AC1234" t="s">
        <v>1378</v>
      </c>
      <c r="AD1234" t="s">
        <v>1369</v>
      </c>
      <c r="AE1234" t="s">
        <v>1379</v>
      </c>
      <c r="AF1234" t="s">
        <v>1863</v>
      </c>
      <c r="AG1234" t="s">
        <v>142</v>
      </c>
      <c r="AH1234" t="b">
        <v>0</v>
      </c>
    </row>
    <row r="1235" spans="1:34">
      <c r="A1235" t="s">
        <v>1863</v>
      </c>
      <c r="AA1235" t="s">
        <v>1380</v>
      </c>
      <c r="AB1235" t="s">
        <v>1362</v>
      </c>
      <c r="AC1235" t="s">
        <v>1381</v>
      </c>
      <c r="AD1235" t="s">
        <v>1382</v>
      </c>
      <c r="AE1235" t="s">
        <v>1383</v>
      </c>
      <c r="AF1235" t="s">
        <v>1863</v>
      </c>
      <c r="AG1235" t="s">
        <v>142</v>
      </c>
      <c r="AH1235" t="b">
        <v>0</v>
      </c>
    </row>
    <row r="1236" spans="1:34">
      <c r="A1236" t="s">
        <v>1863</v>
      </c>
      <c r="AA1236" t="s">
        <v>1384</v>
      </c>
      <c r="AB1236" t="s">
        <v>1362</v>
      </c>
      <c r="AC1236" t="s">
        <v>1385</v>
      </c>
      <c r="AD1236" t="s">
        <v>1364</v>
      </c>
      <c r="AE1236" t="s">
        <v>1386</v>
      </c>
      <c r="AF1236" t="s">
        <v>1863</v>
      </c>
      <c r="AG1236" t="s">
        <v>142</v>
      </c>
      <c r="AH1236" t="b">
        <v>0</v>
      </c>
    </row>
    <row r="1237" spans="1:34">
      <c r="A1237" t="s">
        <v>1863</v>
      </c>
      <c r="AA1237" t="s">
        <v>1387</v>
      </c>
      <c r="AB1237" t="s">
        <v>1362</v>
      </c>
      <c r="AC1237" t="s">
        <v>1388</v>
      </c>
      <c r="AD1237" t="s">
        <v>1364</v>
      </c>
      <c r="AE1237" t="s">
        <v>1389</v>
      </c>
      <c r="AF1237" t="s">
        <v>1863</v>
      </c>
      <c r="AG1237" t="s">
        <v>142</v>
      </c>
      <c r="AH1237" t="b">
        <v>0</v>
      </c>
    </row>
    <row r="1238" spans="1:34">
      <c r="A1238" t="s">
        <v>1863</v>
      </c>
      <c r="AA1238" t="s">
        <v>1390</v>
      </c>
      <c r="AB1238" t="s">
        <v>1362</v>
      </c>
      <c r="AC1238" t="s">
        <v>1391</v>
      </c>
      <c r="AD1238" t="s">
        <v>1364</v>
      </c>
      <c r="AE1238" t="s">
        <v>1392</v>
      </c>
      <c r="AF1238" t="s">
        <v>1863</v>
      </c>
      <c r="AG1238" t="s">
        <v>142</v>
      </c>
      <c r="AH1238" t="b">
        <v>0</v>
      </c>
    </row>
    <row r="1239" spans="1:34">
      <c r="A1239" t="s">
        <v>1863</v>
      </c>
      <c r="AA1239" t="s">
        <v>1393</v>
      </c>
      <c r="AB1239" t="s">
        <v>1362</v>
      </c>
      <c r="AC1239" t="s">
        <v>1394</v>
      </c>
      <c r="AD1239" t="s">
        <v>1364</v>
      </c>
      <c r="AE1239" t="s">
        <v>1395</v>
      </c>
      <c r="AF1239" t="s">
        <v>1863</v>
      </c>
      <c r="AG1239" t="s">
        <v>142</v>
      </c>
      <c r="AH1239" t="b">
        <v>0</v>
      </c>
    </row>
    <row r="1240" spans="1:34">
      <c r="A1240" t="s">
        <v>1863</v>
      </c>
      <c r="AA1240" t="s">
        <v>1396</v>
      </c>
      <c r="AB1240" t="s">
        <v>1362</v>
      </c>
      <c r="AC1240" t="s">
        <v>1397</v>
      </c>
      <c r="AD1240" t="s">
        <v>1364</v>
      </c>
      <c r="AE1240" t="s">
        <v>1398</v>
      </c>
      <c r="AF1240" t="s">
        <v>1863</v>
      </c>
      <c r="AG1240" t="s">
        <v>142</v>
      </c>
      <c r="AH1240" t="b">
        <v>0</v>
      </c>
    </row>
    <row r="1241" spans="1:34">
      <c r="A1241" t="s">
        <v>1863</v>
      </c>
      <c r="AA1241" t="s">
        <v>1399</v>
      </c>
      <c r="AB1241" t="s">
        <v>1362</v>
      </c>
      <c r="AC1241" t="s">
        <v>1400</v>
      </c>
      <c r="AD1241" t="s">
        <v>1364</v>
      </c>
      <c r="AE1241" t="s">
        <v>1401</v>
      </c>
      <c r="AF1241" t="s">
        <v>1863</v>
      </c>
      <c r="AG1241" t="s">
        <v>142</v>
      </c>
      <c r="AH1241" t="b">
        <v>0</v>
      </c>
    </row>
    <row r="1242" spans="1:34">
      <c r="A1242" t="s">
        <v>1863</v>
      </c>
      <c r="AA1242" t="s">
        <v>1402</v>
      </c>
      <c r="AB1242" t="s">
        <v>1362</v>
      </c>
      <c r="AC1242" t="s">
        <v>1403</v>
      </c>
      <c r="AD1242" t="s">
        <v>1364</v>
      </c>
      <c r="AE1242" t="s">
        <v>1404</v>
      </c>
      <c r="AF1242" t="s">
        <v>1863</v>
      </c>
      <c r="AG1242" t="s">
        <v>142</v>
      </c>
      <c r="AH1242" t="b">
        <v>0</v>
      </c>
    </row>
    <row r="1243" spans="1:34">
      <c r="A1243" t="s">
        <v>1863</v>
      </c>
      <c r="AA1243" t="s">
        <v>1405</v>
      </c>
      <c r="AB1243" t="s">
        <v>1362</v>
      </c>
      <c r="AC1243" t="s">
        <v>1406</v>
      </c>
      <c r="AD1243" t="s">
        <v>1407</v>
      </c>
      <c r="AE1243" t="s">
        <v>1404</v>
      </c>
      <c r="AF1243" t="s">
        <v>1863</v>
      </c>
      <c r="AG1243" t="s">
        <v>142</v>
      </c>
      <c r="AH1243" t="b">
        <v>0</v>
      </c>
    </row>
    <row r="1244" spans="1:34">
      <c r="A1244" t="s">
        <v>1863</v>
      </c>
      <c r="AA1244" t="s">
        <v>1408</v>
      </c>
      <c r="AB1244" t="s">
        <v>1362</v>
      </c>
      <c r="AC1244" t="s">
        <v>1409</v>
      </c>
      <c r="AD1244" t="s">
        <v>1364</v>
      </c>
      <c r="AE1244" t="s">
        <v>1410</v>
      </c>
      <c r="AF1244" t="s">
        <v>1863</v>
      </c>
      <c r="AG1244" t="s">
        <v>142</v>
      </c>
      <c r="AH1244" t="b">
        <v>0</v>
      </c>
    </row>
    <row r="1245" spans="1:34">
      <c r="A1245" t="s">
        <v>1863</v>
      </c>
      <c r="AA1245" t="s">
        <v>1411</v>
      </c>
      <c r="AB1245" t="s">
        <v>1362</v>
      </c>
      <c r="AC1245" t="s">
        <v>1412</v>
      </c>
      <c r="AD1245" t="s">
        <v>1364</v>
      </c>
      <c r="AE1245" t="s">
        <v>1413</v>
      </c>
      <c r="AF1245" t="s">
        <v>1863</v>
      </c>
      <c r="AG1245" t="s">
        <v>142</v>
      </c>
      <c r="AH1245" t="b">
        <v>0</v>
      </c>
    </row>
    <row r="1246" spans="1:34">
      <c r="A1246" t="s">
        <v>1863</v>
      </c>
      <c r="AA1246" t="s">
        <v>1414</v>
      </c>
      <c r="AB1246" t="s">
        <v>1362</v>
      </c>
      <c r="AC1246" t="s">
        <v>1415</v>
      </c>
      <c r="AD1246" t="s">
        <v>1364</v>
      </c>
      <c r="AE1246" t="s">
        <v>1416</v>
      </c>
      <c r="AF1246" t="s">
        <v>1863</v>
      </c>
      <c r="AG1246" t="s">
        <v>142</v>
      </c>
      <c r="AH1246" t="b">
        <v>0</v>
      </c>
    </row>
    <row r="1247" spans="1:34">
      <c r="A1247" t="s">
        <v>1863</v>
      </c>
      <c r="AA1247" t="s">
        <v>1417</v>
      </c>
      <c r="AB1247" t="s">
        <v>1362</v>
      </c>
      <c r="AC1247" t="s">
        <v>1418</v>
      </c>
      <c r="AD1247" t="s">
        <v>1419</v>
      </c>
      <c r="AE1247" t="s">
        <v>1420</v>
      </c>
      <c r="AF1247" t="s">
        <v>1863</v>
      </c>
      <c r="AG1247" t="s">
        <v>142</v>
      </c>
      <c r="AH1247" t="b">
        <v>0</v>
      </c>
    </row>
    <row r="1248" spans="1:34">
      <c r="A1248" t="s">
        <v>1863</v>
      </c>
      <c r="AA1248" t="s">
        <v>1421</v>
      </c>
      <c r="AB1248" t="s">
        <v>1362</v>
      </c>
      <c r="AC1248" t="s">
        <v>1422</v>
      </c>
      <c r="AD1248" t="s">
        <v>1382</v>
      </c>
      <c r="AE1248" t="s">
        <v>1423</v>
      </c>
      <c r="AF1248" t="s">
        <v>1863</v>
      </c>
      <c r="AG1248" t="s">
        <v>142</v>
      </c>
      <c r="AH1248" t="b">
        <v>0</v>
      </c>
    </row>
    <row r="1249" spans="1:34">
      <c r="A1249" t="s">
        <v>1863</v>
      </c>
      <c r="AA1249" t="s">
        <v>1424</v>
      </c>
      <c r="AB1249" t="s">
        <v>1362</v>
      </c>
      <c r="AC1249" t="s">
        <v>1425</v>
      </c>
      <c r="AD1249" t="s">
        <v>1382</v>
      </c>
      <c r="AE1249" t="s">
        <v>1426</v>
      </c>
      <c r="AF1249" t="s">
        <v>1863</v>
      </c>
      <c r="AG1249" t="s">
        <v>142</v>
      </c>
      <c r="AH1249" t="b">
        <v>0</v>
      </c>
    </row>
    <row r="1250" spans="1:34">
      <c r="A1250" t="s">
        <v>1863</v>
      </c>
      <c r="AA1250" t="s">
        <v>1427</v>
      </c>
      <c r="AB1250" t="s">
        <v>1362</v>
      </c>
      <c r="AC1250" t="s">
        <v>1428</v>
      </c>
      <c r="AD1250" t="s">
        <v>1364</v>
      </c>
      <c r="AE1250" t="s">
        <v>1383</v>
      </c>
      <c r="AF1250" t="s">
        <v>1863</v>
      </c>
      <c r="AG1250" t="s">
        <v>142</v>
      </c>
      <c r="AH1250" t="b">
        <v>0</v>
      </c>
    </row>
    <row r="1251" spans="1:34">
      <c r="A1251" t="s">
        <v>1863</v>
      </c>
      <c r="AA1251" t="s">
        <v>1429</v>
      </c>
      <c r="AB1251" t="s">
        <v>1362</v>
      </c>
      <c r="AC1251" t="s">
        <v>1430</v>
      </c>
      <c r="AD1251" t="s">
        <v>1364</v>
      </c>
      <c r="AE1251" t="s">
        <v>1431</v>
      </c>
      <c r="AF1251" t="s">
        <v>1863</v>
      </c>
      <c r="AG1251" t="s">
        <v>142</v>
      </c>
      <c r="AH1251" t="b">
        <v>0</v>
      </c>
    </row>
    <row r="1252" spans="1:34">
      <c r="A1252" t="s">
        <v>1863</v>
      </c>
      <c r="AA1252" t="s">
        <v>1432</v>
      </c>
      <c r="AB1252" t="s">
        <v>1362</v>
      </c>
      <c r="AC1252" t="s">
        <v>1433</v>
      </c>
      <c r="AD1252" t="s">
        <v>1364</v>
      </c>
      <c r="AE1252" t="s">
        <v>1416</v>
      </c>
      <c r="AF1252" t="s">
        <v>1863</v>
      </c>
      <c r="AG1252" t="s">
        <v>142</v>
      </c>
      <c r="AH1252" t="b">
        <v>0</v>
      </c>
    </row>
    <row r="1253" spans="1:34">
      <c r="A1253" t="s">
        <v>1863</v>
      </c>
      <c r="AA1253" t="s">
        <v>1434</v>
      </c>
      <c r="AB1253" t="s">
        <v>1362</v>
      </c>
      <c r="AC1253" t="s">
        <v>1435</v>
      </c>
      <c r="AD1253" t="s">
        <v>1364</v>
      </c>
      <c r="AE1253" t="s">
        <v>1436</v>
      </c>
      <c r="AF1253" t="s">
        <v>1863</v>
      </c>
      <c r="AG1253" t="s">
        <v>142</v>
      </c>
      <c r="AH1253" t="b">
        <v>0</v>
      </c>
    </row>
    <row r="1254" spans="1:34">
      <c r="A1254" t="s">
        <v>1863</v>
      </c>
      <c r="AA1254" t="s">
        <v>1437</v>
      </c>
      <c r="AB1254" t="s">
        <v>1362</v>
      </c>
      <c r="AC1254" t="s">
        <v>1438</v>
      </c>
      <c r="AD1254" t="s">
        <v>1364</v>
      </c>
      <c r="AF1254" t="s">
        <v>1863</v>
      </c>
      <c r="AG1254" t="s">
        <v>142</v>
      </c>
      <c r="AH1254" t="b">
        <v>0</v>
      </c>
    </row>
    <row r="1255" spans="1:34">
      <c r="A1255" t="s">
        <v>1863</v>
      </c>
      <c r="AA1255" t="s">
        <v>1439</v>
      </c>
      <c r="AB1255" t="s">
        <v>1362</v>
      </c>
      <c r="AC1255" t="s">
        <v>1440</v>
      </c>
      <c r="AD1255" t="s">
        <v>1364</v>
      </c>
      <c r="AE1255" t="s">
        <v>1441</v>
      </c>
      <c r="AF1255" t="s">
        <v>1863</v>
      </c>
      <c r="AG1255" t="s">
        <v>142</v>
      </c>
      <c r="AH1255" t="b">
        <v>0</v>
      </c>
    </row>
    <row r="1256" spans="1:34">
      <c r="A1256" t="s">
        <v>1863</v>
      </c>
      <c r="AA1256" t="s">
        <v>1442</v>
      </c>
      <c r="AB1256" t="s">
        <v>1362</v>
      </c>
      <c r="AC1256" t="s">
        <v>1443</v>
      </c>
      <c r="AD1256" t="s">
        <v>1419</v>
      </c>
      <c r="AE1256" t="s">
        <v>1420</v>
      </c>
      <c r="AF1256" t="s">
        <v>1863</v>
      </c>
      <c r="AG1256" t="s">
        <v>142</v>
      </c>
      <c r="AH1256" t="b">
        <v>0</v>
      </c>
    </row>
    <row r="1257" spans="1:34">
      <c r="A1257" t="s">
        <v>1863</v>
      </c>
      <c r="AA1257" t="s">
        <v>1444</v>
      </c>
      <c r="AB1257" t="s">
        <v>1362</v>
      </c>
      <c r="AC1257" t="s">
        <v>1445</v>
      </c>
      <c r="AD1257" t="s">
        <v>1382</v>
      </c>
      <c r="AE1257" t="s">
        <v>1446</v>
      </c>
      <c r="AF1257" t="s">
        <v>1863</v>
      </c>
      <c r="AG1257" t="s">
        <v>142</v>
      </c>
      <c r="AH1257" t="b">
        <v>0</v>
      </c>
    </row>
    <row r="1258" spans="1:34">
      <c r="A1258" t="s">
        <v>1863</v>
      </c>
      <c r="AA1258" t="s">
        <v>1447</v>
      </c>
      <c r="AB1258" t="s">
        <v>1362</v>
      </c>
      <c r="AC1258" t="s">
        <v>1448</v>
      </c>
      <c r="AD1258" t="s">
        <v>1364</v>
      </c>
      <c r="AE1258" t="s">
        <v>1383</v>
      </c>
      <c r="AF1258" t="s">
        <v>1863</v>
      </c>
      <c r="AG1258" t="s">
        <v>142</v>
      </c>
      <c r="AH1258" t="b">
        <v>0</v>
      </c>
    </row>
    <row r="1259" spans="1:34">
      <c r="A1259" t="s">
        <v>1863</v>
      </c>
      <c r="AA1259" t="s">
        <v>1449</v>
      </c>
      <c r="AB1259" t="s">
        <v>1362</v>
      </c>
      <c r="AC1259" t="s">
        <v>1450</v>
      </c>
      <c r="AE1259" t="s">
        <v>1451</v>
      </c>
      <c r="AF1259" t="s">
        <v>1863</v>
      </c>
      <c r="AG1259" t="s">
        <v>142</v>
      </c>
      <c r="AH1259" t="b">
        <v>0</v>
      </c>
    </row>
    <row r="1260" spans="1:34">
      <c r="A1260" t="s">
        <v>1863</v>
      </c>
      <c r="AA1260" t="s">
        <v>1452</v>
      </c>
      <c r="AB1260" t="s">
        <v>1362</v>
      </c>
      <c r="AC1260" t="s">
        <v>1453</v>
      </c>
      <c r="AD1260" t="s">
        <v>1364</v>
      </c>
      <c r="AE1260" t="s">
        <v>1454</v>
      </c>
      <c r="AF1260" t="s">
        <v>1863</v>
      </c>
      <c r="AG1260" t="s">
        <v>142</v>
      </c>
      <c r="AH1260" t="b">
        <v>0</v>
      </c>
    </row>
    <row r="1261" spans="1:34">
      <c r="A1261" t="s">
        <v>1863</v>
      </c>
      <c r="AA1261" t="s">
        <v>1455</v>
      </c>
      <c r="AB1261" t="s">
        <v>1362</v>
      </c>
      <c r="AC1261" t="s">
        <v>1456</v>
      </c>
      <c r="AD1261" t="s">
        <v>1364</v>
      </c>
      <c r="AE1261" t="s">
        <v>1457</v>
      </c>
      <c r="AF1261" t="s">
        <v>1863</v>
      </c>
      <c r="AG1261" t="s">
        <v>142</v>
      </c>
      <c r="AH1261" t="b">
        <v>0</v>
      </c>
    </row>
    <row r="1262" spans="1:34">
      <c r="A1262" t="s">
        <v>1863</v>
      </c>
      <c r="AA1262" t="s">
        <v>17</v>
      </c>
      <c r="AB1262" t="s">
        <v>1362</v>
      </c>
      <c r="AC1262" t="s">
        <v>1458</v>
      </c>
      <c r="AD1262" t="s">
        <v>1459</v>
      </c>
      <c r="AE1262" t="s">
        <v>1460</v>
      </c>
      <c r="AF1262" t="s">
        <v>1863</v>
      </c>
      <c r="AG1262" t="s">
        <v>142</v>
      </c>
      <c r="AH1262" t="b">
        <v>0</v>
      </c>
    </row>
    <row r="1263" spans="1:34">
      <c r="A1263" t="s">
        <v>1863</v>
      </c>
      <c r="AA1263" t="s">
        <v>1461</v>
      </c>
      <c r="AB1263" t="s">
        <v>1462</v>
      </c>
      <c r="AC1263" t="s">
        <v>1463</v>
      </c>
      <c r="AD1263" t="s">
        <v>1464</v>
      </c>
      <c r="AF1263" t="s">
        <v>1863</v>
      </c>
      <c r="AG1263" t="s">
        <v>142</v>
      </c>
      <c r="AH1263" t="b">
        <v>0</v>
      </c>
    </row>
    <row r="1264" spans="1:34">
      <c r="A1264" t="s">
        <v>1863</v>
      </c>
      <c r="AA1264" t="s">
        <v>1465</v>
      </c>
      <c r="AB1264" t="s">
        <v>1362</v>
      </c>
      <c r="AC1264" t="s">
        <v>1466</v>
      </c>
      <c r="AE1264" t="s">
        <v>1467</v>
      </c>
      <c r="AF1264" t="s">
        <v>1863</v>
      </c>
      <c r="AG1264" t="s">
        <v>142</v>
      </c>
      <c r="AH1264" t="b">
        <v>0</v>
      </c>
    </row>
    <row r="1265" spans="1:34">
      <c r="A1265" t="s">
        <v>1863</v>
      </c>
      <c r="AA1265" t="s">
        <v>1468</v>
      </c>
      <c r="AB1265" t="s">
        <v>1462</v>
      </c>
      <c r="AC1265" t="s">
        <v>1469</v>
      </c>
      <c r="AD1265" t="s">
        <v>1464</v>
      </c>
      <c r="AE1265" t="s">
        <v>1470</v>
      </c>
      <c r="AF1265" t="s">
        <v>1863</v>
      </c>
      <c r="AG1265" t="s">
        <v>142</v>
      </c>
      <c r="AH1265" t="b">
        <v>0</v>
      </c>
    </row>
    <row r="1266" spans="1:34">
      <c r="A1266" t="s">
        <v>1863</v>
      </c>
      <c r="AA1266" t="s">
        <v>1471</v>
      </c>
      <c r="AB1266" t="s">
        <v>1362</v>
      </c>
      <c r="AC1266" t="s">
        <v>1472</v>
      </c>
      <c r="AD1266" t="s">
        <v>1364</v>
      </c>
      <c r="AE1266" t="s">
        <v>1451</v>
      </c>
      <c r="AF1266" t="s">
        <v>1863</v>
      </c>
      <c r="AG1266" t="s">
        <v>142</v>
      </c>
      <c r="AH1266" t="b">
        <v>0</v>
      </c>
    </row>
    <row r="1267" spans="1:34">
      <c r="A1267" t="s">
        <v>1863</v>
      </c>
      <c r="AA1267" t="s">
        <v>1473</v>
      </c>
      <c r="AB1267" t="s">
        <v>1362</v>
      </c>
      <c r="AC1267" t="s">
        <v>1474</v>
      </c>
      <c r="AD1267" t="s">
        <v>1364</v>
      </c>
      <c r="AE1267" t="s">
        <v>1475</v>
      </c>
      <c r="AF1267" t="s">
        <v>1863</v>
      </c>
      <c r="AG1267" t="s">
        <v>142</v>
      </c>
      <c r="AH1267" t="b">
        <v>0</v>
      </c>
    </row>
    <row r="1268" spans="1:34">
      <c r="A1268" t="s">
        <v>1863</v>
      </c>
      <c r="AA1268" t="s">
        <v>1476</v>
      </c>
      <c r="AB1268" t="s">
        <v>1362</v>
      </c>
      <c r="AC1268" t="s">
        <v>1477</v>
      </c>
      <c r="AD1268" t="s">
        <v>1364</v>
      </c>
      <c r="AE1268" t="s">
        <v>1478</v>
      </c>
      <c r="AF1268" t="s">
        <v>1863</v>
      </c>
      <c r="AG1268" t="s">
        <v>142</v>
      </c>
      <c r="AH1268" t="b">
        <v>0</v>
      </c>
    </row>
    <row r="1269" spans="1:34">
      <c r="A1269" t="s">
        <v>1863</v>
      </c>
      <c r="AA1269" t="s">
        <v>1479</v>
      </c>
      <c r="AB1269" t="s">
        <v>1362</v>
      </c>
      <c r="AC1269" t="s">
        <v>1480</v>
      </c>
      <c r="AD1269" t="s">
        <v>1364</v>
      </c>
      <c r="AE1269" t="s">
        <v>1481</v>
      </c>
      <c r="AF1269" t="s">
        <v>1863</v>
      </c>
      <c r="AG1269" t="s">
        <v>142</v>
      </c>
      <c r="AH1269" t="b">
        <v>0</v>
      </c>
    </row>
    <row r="1270" spans="1:34">
      <c r="A1270" t="s">
        <v>1863</v>
      </c>
      <c r="AA1270" t="s">
        <v>1482</v>
      </c>
      <c r="AB1270" t="s">
        <v>1362</v>
      </c>
      <c r="AC1270" t="s">
        <v>1483</v>
      </c>
      <c r="AD1270" t="s">
        <v>1484</v>
      </c>
      <c r="AE1270" t="s">
        <v>1370</v>
      </c>
      <c r="AF1270" t="s">
        <v>1863</v>
      </c>
      <c r="AG1270" t="s">
        <v>142</v>
      </c>
      <c r="AH1270" t="b">
        <v>0</v>
      </c>
    </row>
    <row r="1271" spans="1:34">
      <c r="A1271" t="s">
        <v>1863</v>
      </c>
      <c r="AA1271" t="s">
        <v>1485</v>
      </c>
      <c r="AB1271" t="s">
        <v>1362</v>
      </c>
      <c r="AC1271" t="s">
        <v>1486</v>
      </c>
      <c r="AD1271" t="s">
        <v>1364</v>
      </c>
      <c r="AE1271" t="s">
        <v>1487</v>
      </c>
      <c r="AF1271" t="s">
        <v>1863</v>
      </c>
      <c r="AG1271" t="s">
        <v>142</v>
      </c>
      <c r="AH1271" t="b">
        <v>0</v>
      </c>
    </row>
    <row r="1272" spans="1:34">
      <c r="A1272" t="s">
        <v>1863</v>
      </c>
      <c r="AA1272" t="s">
        <v>1488</v>
      </c>
      <c r="AB1272" t="s">
        <v>1362</v>
      </c>
      <c r="AC1272" t="s">
        <v>1489</v>
      </c>
      <c r="AD1272" t="s">
        <v>1382</v>
      </c>
      <c r="AE1272" t="s">
        <v>1490</v>
      </c>
      <c r="AF1272" t="s">
        <v>1863</v>
      </c>
      <c r="AG1272" t="s">
        <v>142</v>
      </c>
      <c r="AH1272" t="b">
        <v>0</v>
      </c>
    </row>
    <row r="1273" spans="1:34">
      <c r="A1273" t="s">
        <v>1863</v>
      </c>
      <c r="AA1273" t="s">
        <v>1491</v>
      </c>
      <c r="AB1273" t="s">
        <v>1362</v>
      </c>
      <c r="AC1273" t="s">
        <v>1492</v>
      </c>
      <c r="AD1273" t="s">
        <v>1364</v>
      </c>
      <c r="AE1273" t="s">
        <v>1493</v>
      </c>
      <c r="AF1273" t="s">
        <v>1863</v>
      </c>
      <c r="AG1273" t="s">
        <v>142</v>
      </c>
      <c r="AH1273" t="b">
        <v>0</v>
      </c>
    </row>
    <row r="1274" spans="1:34">
      <c r="A1274" t="s">
        <v>1863</v>
      </c>
      <c r="AA1274" t="s">
        <v>1494</v>
      </c>
      <c r="AB1274" t="s">
        <v>1362</v>
      </c>
      <c r="AC1274" t="s">
        <v>1495</v>
      </c>
      <c r="AD1274" t="s">
        <v>1364</v>
      </c>
      <c r="AE1274" t="s">
        <v>1496</v>
      </c>
      <c r="AF1274" t="s">
        <v>1863</v>
      </c>
      <c r="AG1274" t="s">
        <v>142</v>
      </c>
      <c r="AH1274" t="b">
        <v>0</v>
      </c>
    </row>
    <row r="1275" spans="1:34">
      <c r="A1275" t="s">
        <v>1863</v>
      </c>
      <c r="AA1275" t="s">
        <v>1497</v>
      </c>
      <c r="AB1275" t="s">
        <v>1362</v>
      </c>
      <c r="AC1275" t="s">
        <v>1498</v>
      </c>
      <c r="AD1275" t="s">
        <v>1364</v>
      </c>
      <c r="AE1275" t="s">
        <v>1499</v>
      </c>
      <c r="AF1275" t="s">
        <v>1863</v>
      </c>
      <c r="AG1275" t="s">
        <v>142</v>
      </c>
      <c r="AH1275" t="b">
        <v>0</v>
      </c>
    </row>
    <row r="1276" spans="1:34">
      <c r="A1276" t="s">
        <v>1863</v>
      </c>
      <c r="AA1276" t="s">
        <v>1500</v>
      </c>
      <c r="AB1276" t="s">
        <v>1362</v>
      </c>
      <c r="AC1276" t="s">
        <v>1501</v>
      </c>
      <c r="AD1276" t="s">
        <v>1364</v>
      </c>
      <c r="AE1276" t="s">
        <v>1502</v>
      </c>
      <c r="AF1276" t="s">
        <v>1863</v>
      </c>
      <c r="AG1276" t="s">
        <v>142</v>
      </c>
      <c r="AH1276" t="b">
        <v>0</v>
      </c>
    </row>
    <row r="1277" spans="1:34">
      <c r="A1277" t="s">
        <v>1863</v>
      </c>
      <c r="AA1277" t="s">
        <v>1503</v>
      </c>
      <c r="AB1277" t="s">
        <v>1362</v>
      </c>
      <c r="AC1277" t="s">
        <v>1504</v>
      </c>
      <c r="AD1277" t="s">
        <v>1364</v>
      </c>
      <c r="AE1277" t="s">
        <v>1505</v>
      </c>
      <c r="AF1277" t="s">
        <v>1863</v>
      </c>
      <c r="AG1277" t="s">
        <v>142</v>
      </c>
      <c r="AH1277" t="b">
        <v>0</v>
      </c>
    </row>
    <row r="1278" spans="1:34">
      <c r="A1278" t="s">
        <v>1863</v>
      </c>
      <c r="AA1278" t="s">
        <v>1506</v>
      </c>
      <c r="AB1278" t="s">
        <v>1462</v>
      </c>
      <c r="AC1278" t="s">
        <v>1507</v>
      </c>
      <c r="AD1278" t="s">
        <v>1464</v>
      </c>
      <c r="AE1278" t="s">
        <v>1395</v>
      </c>
      <c r="AF1278" t="s">
        <v>1863</v>
      </c>
      <c r="AG1278" t="s">
        <v>142</v>
      </c>
      <c r="AH1278" t="b">
        <v>0</v>
      </c>
    </row>
    <row r="1279" spans="1:34">
      <c r="A1279" t="s">
        <v>1863</v>
      </c>
      <c r="AA1279" t="s">
        <v>1508</v>
      </c>
      <c r="AB1279" t="s">
        <v>1362</v>
      </c>
      <c r="AC1279" t="s">
        <v>1509</v>
      </c>
      <c r="AD1279" t="s">
        <v>1364</v>
      </c>
      <c r="AE1279" t="s">
        <v>1510</v>
      </c>
      <c r="AF1279" t="s">
        <v>1863</v>
      </c>
      <c r="AG1279" t="s">
        <v>142</v>
      </c>
      <c r="AH1279" t="b">
        <v>0</v>
      </c>
    </row>
    <row r="1280" spans="1:34">
      <c r="A1280" t="s">
        <v>1863</v>
      </c>
      <c r="AA1280" t="s">
        <v>1511</v>
      </c>
      <c r="AB1280" t="s">
        <v>1362</v>
      </c>
      <c r="AC1280" t="s">
        <v>1512</v>
      </c>
      <c r="AD1280" t="s">
        <v>1364</v>
      </c>
      <c r="AE1280" t="s">
        <v>1513</v>
      </c>
      <c r="AF1280" t="s">
        <v>1863</v>
      </c>
      <c r="AG1280" t="s">
        <v>142</v>
      </c>
      <c r="AH1280" t="b">
        <v>0</v>
      </c>
    </row>
    <row r="1281" spans="1:34">
      <c r="A1281" t="s">
        <v>1863</v>
      </c>
      <c r="AA1281" t="s">
        <v>1514</v>
      </c>
      <c r="AB1281" t="s">
        <v>1362</v>
      </c>
      <c r="AC1281" t="s">
        <v>1515</v>
      </c>
      <c r="AD1281" t="s">
        <v>1382</v>
      </c>
      <c r="AE1281" t="s">
        <v>1392</v>
      </c>
      <c r="AF1281" t="s">
        <v>1863</v>
      </c>
      <c r="AG1281" t="s">
        <v>142</v>
      </c>
      <c r="AH1281" t="b">
        <v>0</v>
      </c>
    </row>
    <row r="1282" spans="1:34">
      <c r="A1282" t="s">
        <v>1863</v>
      </c>
      <c r="AA1282" t="s">
        <v>1516</v>
      </c>
      <c r="AB1282" t="s">
        <v>1462</v>
      </c>
      <c r="AC1282" t="s">
        <v>1517</v>
      </c>
      <c r="AD1282" t="s">
        <v>1464</v>
      </c>
      <c r="AE1282" t="s">
        <v>1518</v>
      </c>
      <c r="AF1282" t="s">
        <v>1863</v>
      </c>
      <c r="AG1282" t="s">
        <v>142</v>
      </c>
      <c r="AH1282" t="b">
        <v>0</v>
      </c>
    </row>
    <row r="1283" spans="1:34">
      <c r="A1283" t="s">
        <v>1863</v>
      </c>
      <c r="AA1283" t="s">
        <v>1519</v>
      </c>
      <c r="AB1283" t="s">
        <v>1362</v>
      </c>
      <c r="AC1283" t="s">
        <v>1520</v>
      </c>
      <c r="AD1283" t="s">
        <v>1364</v>
      </c>
      <c r="AE1283" t="s">
        <v>1521</v>
      </c>
      <c r="AF1283" t="s">
        <v>1863</v>
      </c>
      <c r="AG1283" t="s">
        <v>142</v>
      </c>
      <c r="AH1283" t="b">
        <v>0</v>
      </c>
    </row>
    <row r="1284" spans="1:34">
      <c r="A1284" t="s">
        <v>1863</v>
      </c>
      <c r="AA1284" t="s">
        <v>1522</v>
      </c>
      <c r="AB1284" t="s">
        <v>1462</v>
      </c>
      <c r="AC1284" t="s">
        <v>1523</v>
      </c>
      <c r="AD1284" t="s">
        <v>1464</v>
      </c>
      <c r="AE1284" t="s">
        <v>1389</v>
      </c>
      <c r="AF1284" t="s">
        <v>1863</v>
      </c>
      <c r="AG1284" t="s">
        <v>142</v>
      </c>
      <c r="AH1284" t="b">
        <v>0</v>
      </c>
    </row>
    <row r="1285" spans="1:34">
      <c r="A1285" t="s">
        <v>1863</v>
      </c>
      <c r="AA1285" t="s">
        <v>1524</v>
      </c>
      <c r="AB1285" t="s">
        <v>1362</v>
      </c>
      <c r="AC1285" t="s">
        <v>1525</v>
      </c>
      <c r="AD1285" t="s">
        <v>1382</v>
      </c>
      <c r="AE1285" t="s">
        <v>1383</v>
      </c>
      <c r="AF1285" t="s">
        <v>1863</v>
      </c>
      <c r="AG1285" t="s">
        <v>142</v>
      </c>
      <c r="AH1285" t="b">
        <v>0</v>
      </c>
    </row>
    <row r="1286" spans="1:34">
      <c r="A1286" t="s">
        <v>1863</v>
      </c>
      <c r="AA1286" t="s">
        <v>1526</v>
      </c>
      <c r="AB1286" t="s">
        <v>1362</v>
      </c>
      <c r="AC1286" t="s">
        <v>1527</v>
      </c>
      <c r="AD1286" t="s">
        <v>1364</v>
      </c>
      <c r="AE1286" t="s">
        <v>1383</v>
      </c>
      <c r="AF1286" t="s">
        <v>1863</v>
      </c>
      <c r="AG1286" t="s">
        <v>142</v>
      </c>
      <c r="AH1286" t="b">
        <v>0</v>
      </c>
    </row>
    <row r="1287" spans="1:34">
      <c r="A1287" t="s">
        <v>1863</v>
      </c>
      <c r="AA1287" t="s">
        <v>1528</v>
      </c>
      <c r="AB1287" t="s">
        <v>1362</v>
      </c>
      <c r="AC1287" t="s">
        <v>1529</v>
      </c>
      <c r="AD1287" t="s">
        <v>1364</v>
      </c>
      <c r="AE1287" t="s">
        <v>1373</v>
      </c>
      <c r="AF1287" t="s">
        <v>1863</v>
      </c>
      <c r="AG1287" t="s">
        <v>142</v>
      </c>
      <c r="AH1287" t="b">
        <v>0</v>
      </c>
    </row>
    <row r="1288" spans="1:34">
      <c r="A1288" t="s">
        <v>1863</v>
      </c>
      <c r="AA1288" t="s">
        <v>1530</v>
      </c>
      <c r="AB1288" t="s">
        <v>1362</v>
      </c>
      <c r="AC1288" t="s">
        <v>1531</v>
      </c>
      <c r="AD1288" t="s">
        <v>1407</v>
      </c>
      <c r="AE1288" t="s">
        <v>1532</v>
      </c>
      <c r="AF1288" t="s">
        <v>1863</v>
      </c>
      <c r="AG1288" t="s">
        <v>142</v>
      </c>
      <c r="AH1288" t="b">
        <v>0</v>
      </c>
    </row>
    <row r="1289" spans="1:34">
      <c r="A1289" t="s">
        <v>1863</v>
      </c>
      <c r="AA1289" t="s">
        <v>1533</v>
      </c>
      <c r="AB1289" t="s">
        <v>1362</v>
      </c>
      <c r="AC1289" t="s">
        <v>1534</v>
      </c>
      <c r="AD1289" t="s">
        <v>1484</v>
      </c>
      <c r="AE1289" t="s">
        <v>1379</v>
      </c>
      <c r="AF1289" t="s">
        <v>1863</v>
      </c>
      <c r="AG1289" t="s">
        <v>142</v>
      </c>
      <c r="AH1289" t="b">
        <v>0</v>
      </c>
    </row>
    <row r="1290" spans="1:34">
      <c r="A1290" t="s">
        <v>1863</v>
      </c>
      <c r="AA1290" t="s">
        <v>1535</v>
      </c>
      <c r="AB1290" t="s">
        <v>1462</v>
      </c>
      <c r="AC1290" t="s">
        <v>1536</v>
      </c>
      <c r="AD1290" t="s">
        <v>1464</v>
      </c>
      <c r="AE1290" t="s">
        <v>1537</v>
      </c>
      <c r="AF1290" t="s">
        <v>1863</v>
      </c>
      <c r="AG1290" t="s">
        <v>142</v>
      </c>
      <c r="AH1290" t="b">
        <v>0</v>
      </c>
    </row>
    <row r="1291" spans="1:34">
      <c r="A1291" t="s">
        <v>1863</v>
      </c>
      <c r="AA1291" t="s">
        <v>1538</v>
      </c>
      <c r="AB1291" t="s">
        <v>1462</v>
      </c>
      <c r="AC1291" t="s">
        <v>1539</v>
      </c>
      <c r="AD1291" t="s">
        <v>1464</v>
      </c>
      <c r="AE1291" t="s">
        <v>1454</v>
      </c>
      <c r="AF1291" t="s">
        <v>1863</v>
      </c>
      <c r="AG1291" t="s">
        <v>142</v>
      </c>
      <c r="AH1291" t="b">
        <v>0</v>
      </c>
    </row>
    <row r="1292" spans="1:34">
      <c r="A1292" t="s">
        <v>1863</v>
      </c>
      <c r="AA1292" t="s">
        <v>1540</v>
      </c>
      <c r="AB1292" t="s">
        <v>1362</v>
      </c>
      <c r="AC1292" t="s">
        <v>1541</v>
      </c>
      <c r="AD1292" t="s">
        <v>1364</v>
      </c>
      <c r="AE1292" t="s">
        <v>1542</v>
      </c>
      <c r="AF1292" t="s">
        <v>1863</v>
      </c>
      <c r="AG1292" t="s">
        <v>142</v>
      </c>
      <c r="AH1292" t="b">
        <v>0</v>
      </c>
    </row>
    <row r="1293" spans="1:34">
      <c r="A1293" t="s">
        <v>1863</v>
      </c>
      <c r="AA1293" t="s">
        <v>1543</v>
      </c>
      <c r="AB1293" t="s">
        <v>1462</v>
      </c>
      <c r="AC1293" t="s">
        <v>1544</v>
      </c>
      <c r="AD1293" t="s">
        <v>1464</v>
      </c>
      <c r="AE1293" t="s">
        <v>1379</v>
      </c>
      <c r="AF1293" t="s">
        <v>1863</v>
      </c>
      <c r="AG1293" t="s">
        <v>142</v>
      </c>
      <c r="AH1293" t="b">
        <v>0</v>
      </c>
    </row>
    <row r="1294" spans="1:34">
      <c r="A1294" t="s">
        <v>1863</v>
      </c>
      <c r="AA1294" t="s">
        <v>1545</v>
      </c>
      <c r="AB1294" t="s">
        <v>1362</v>
      </c>
      <c r="AC1294" t="s">
        <v>1546</v>
      </c>
      <c r="AD1294" t="s">
        <v>1364</v>
      </c>
      <c r="AE1294" t="s">
        <v>1547</v>
      </c>
      <c r="AF1294" t="s">
        <v>1863</v>
      </c>
      <c r="AG1294" t="s">
        <v>142</v>
      </c>
      <c r="AH1294" t="b">
        <v>0</v>
      </c>
    </row>
    <row r="1295" spans="1:34">
      <c r="A1295" t="s">
        <v>1863</v>
      </c>
      <c r="AA1295" t="s">
        <v>1548</v>
      </c>
      <c r="AB1295" t="s">
        <v>1362</v>
      </c>
      <c r="AC1295" t="s">
        <v>1549</v>
      </c>
      <c r="AD1295" t="s">
        <v>1407</v>
      </c>
      <c r="AE1295" t="s">
        <v>1404</v>
      </c>
      <c r="AF1295" t="s">
        <v>1863</v>
      </c>
      <c r="AG1295" t="s">
        <v>142</v>
      </c>
      <c r="AH1295" t="b">
        <v>0</v>
      </c>
    </row>
    <row r="1296" spans="1:34">
      <c r="A1296" t="s">
        <v>1863</v>
      </c>
      <c r="AA1296" t="s">
        <v>1550</v>
      </c>
      <c r="AB1296" t="s">
        <v>1362</v>
      </c>
      <c r="AC1296" t="s">
        <v>1551</v>
      </c>
      <c r="AD1296" t="s">
        <v>1364</v>
      </c>
      <c r="AE1296" t="s">
        <v>1416</v>
      </c>
      <c r="AF1296" t="s">
        <v>1863</v>
      </c>
      <c r="AG1296" t="s">
        <v>142</v>
      </c>
      <c r="AH1296" t="b">
        <v>0</v>
      </c>
    </row>
    <row r="1297" spans="1:34">
      <c r="A1297" t="s">
        <v>1863</v>
      </c>
      <c r="AA1297" t="s">
        <v>1552</v>
      </c>
      <c r="AB1297" t="s">
        <v>1362</v>
      </c>
      <c r="AC1297" t="s">
        <v>1553</v>
      </c>
      <c r="AD1297" t="s">
        <v>1407</v>
      </c>
      <c r="AE1297" t="s">
        <v>1554</v>
      </c>
      <c r="AF1297" t="s">
        <v>1863</v>
      </c>
      <c r="AG1297" t="s">
        <v>142</v>
      </c>
      <c r="AH1297" t="b">
        <v>0</v>
      </c>
    </row>
    <row r="1298" spans="1:34">
      <c r="A1298" t="s">
        <v>1863</v>
      </c>
      <c r="AA1298" t="s">
        <v>1555</v>
      </c>
      <c r="AB1298" t="s">
        <v>1362</v>
      </c>
      <c r="AC1298" t="s">
        <v>1556</v>
      </c>
      <c r="AD1298" t="s">
        <v>1364</v>
      </c>
      <c r="AE1298" t="s">
        <v>1395</v>
      </c>
      <c r="AF1298" t="s">
        <v>1863</v>
      </c>
      <c r="AG1298" t="s">
        <v>142</v>
      </c>
      <c r="AH1298" t="b">
        <v>0</v>
      </c>
    </row>
    <row r="1299" spans="1:34">
      <c r="A1299" t="s">
        <v>1863</v>
      </c>
      <c r="AA1299" t="s">
        <v>1557</v>
      </c>
      <c r="AB1299" t="s">
        <v>1362</v>
      </c>
      <c r="AC1299" t="s">
        <v>1558</v>
      </c>
      <c r="AD1299" t="s">
        <v>1407</v>
      </c>
      <c r="AE1299" t="s">
        <v>1559</v>
      </c>
      <c r="AF1299" t="s">
        <v>1863</v>
      </c>
      <c r="AG1299" t="s">
        <v>142</v>
      </c>
      <c r="AH1299" t="b">
        <v>0</v>
      </c>
    </row>
    <row r="1300" spans="1:34">
      <c r="A1300" t="s">
        <v>1863</v>
      </c>
      <c r="AA1300" t="s">
        <v>1560</v>
      </c>
      <c r="AB1300" t="s">
        <v>1462</v>
      </c>
      <c r="AC1300" t="s">
        <v>1561</v>
      </c>
      <c r="AD1300" t="s">
        <v>1464</v>
      </c>
      <c r="AE1300" t="s">
        <v>1562</v>
      </c>
      <c r="AF1300" t="s">
        <v>1863</v>
      </c>
      <c r="AG1300" t="s">
        <v>142</v>
      </c>
      <c r="AH1300" t="b">
        <v>0</v>
      </c>
    </row>
    <row r="1301" spans="1:34">
      <c r="A1301" t="s">
        <v>1863</v>
      </c>
      <c r="AA1301" t="s">
        <v>1563</v>
      </c>
      <c r="AB1301" t="s">
        <v>1362</v>
      </c>
      <c r="AC1301" t="s">
        <v>1564</v>
      </c>
      <c r="AD1301" t="s">
        <v>1382</v>
      </c>
      <c r="AE1301" t="s">
        <v>1565</v>
      </c>
      <c r="AF1301" t="s">
        <v>1863</v>
      </c>
      <c r="AG1301" t="s">
        <v>142</v>
      </c>
      <c r="AH1301" t="b">
        <v>0</v>
      </c>
    </row>
    <row r="1302" spans="1:34">
      <c r="A1302" t="s">
        <v>1863</v>
      </c>
      <c r="AA1302" t="s">
        <v>1566</v>
      </c>
      <c r="AB1302" t="s">
        <v>1362</v>
      </c>
      <c r="AC1302" t="s">
        <v>1567</v>
      </c>
      <c r="AD1302" t="s">
        <v>1407</v>
      </c>
      <c r="AE1302" t="s">
        <v>1568</v>
      </c>
      <c r="AF1302" t="s">
        <v>1863</v>
      </c>
      <c r="AG1302" t="s">
        <v>142</v>
      </c>
      <c r="AH1302" t="b">
        <v>0</v>
      </c>
    </row>
    <row r="1303" spans="1:34">
      <c r="A1303" t="s">
        <v>1863</v>
      </c>
      <c r="AA1303" t="s">
        <v>1569</v>
      </c>
      <c r="AB1303" t="s">
        <v>1362</v>
      </c>
      <c r="AC1303" t="s">
        <v>1570</v>
      </c>
      <c r="AD1303" t="s">
        <v>1364</v>
      </c>
      <c r="AE1303" t="s">
        <v>1383</v>
      </c>
      <c r="AF1303" t="s">
        <v>1863</v>
      </c>
      <c r="AG1303" t="s">
        <v>142</v>
      </c>
      <c r="AH1303" t="b">
        <v>0</v>
      </c>
    </row>
    <row r="1304" spans="1:34">
      <c r="A1304" t="s">
        <v>1863</v>
      </c>
      <c r="AA1304" t="s">
        <v>1571</v>
      </c>
      <c r="AB1304" t="s">
        <v>1362</v>
      </c>
      <c r="AC1304" t="s">
        <v>1572</v>
      </c>
      <c r="AD1304" t="s">
        <v>1364</v>
      </c>
      <c r="AE1304" t="s">
        <v>1573</v>
      </c>
      <c r="AF1304" t="s">
        <v>1863</v>
      </c>
      <c r="AG1304" t="s">
        <v>142</v>
      </c>
      <c r="AH1304" t="b">
        <v>0</v>
      </c>
    </row>
    <row r="1305" spans="1:34">
      <c r="A1305" t="s">
        <v>1863</v>
      </c>
      <c r="AA1305" t="s">
        <v>1574</v>
      </c>
      <c r="AB1305" t="s">
        <v>1362</v>
      </c>
      <c r="AC1305" t="s">
        <v>1575</v>
      </c>
      <c r="AD1305" t="s">
        <v>1364</v>
      </c>
      <c r="AE1305" t="s">
        <v>1487</v>
      </c>
      <c r="AF1305" t="s">
        <v>1863</v>
      </c>
      <c r="AG1305" t="s">
        <v>142</v>
      </c>
      <c r="AH1305" t="b">
        <v>0</v>
      </c>
    </row>
    <row r="1306" spans="1:34">
      <c r="A1306" t="s">
        <v>1863</v>
      </c>
      <c r="AA1306" t="s">
        <v>1576</v>
      </c>
      <c r="AB1306" t="s">
        <v>1462</v>
      </c>
      <c r="AC1306" t="s">
        <v>1577</v>
      </c>
      <c r="AD1306" t="s">
        <v>1464</v>
      </c>
      <c r="AE1306" t="s">
        <v>1457</v>
      </c>
      <c r="AF1306" t="s">
        <v>1863</v>
      </c>
      <c r="AG1306" t="s">
        <v>142</v>
      </c>
      <c r="AH1306" t="b">
        <v>0</v>
      </c>
    </row>
    <row r="1307" spans="1:34">
      <c r="A1307" t="s">
        <v>1863</v>
      </c>
      <c r="AA1307" t="s">
        <v>1578</v>
      </c>
      <c r="AB1307" t="s">
        <v>1362</v>
      </c>
      <c r="AC1307" t="s">
        <v>1579</v>
      </c>
      <c r="AD1307" t="s">
        <v>1364</v>
      </c>
      <c r="AE1307" t="s">
        <v>1383</v>
      </c>
      <c r="AF1307" t="s">
        <v>1863</v>
      </c>
      <c r="AG1307" t="s">
        <v>142</v>
      </c>
      <c r="AH1307" t="b">
        <v>0</v>
      </c>
    </row>
    <row r="1308" spans="1:34">
      <c r="A1308" t="s">
        <v>1863</v>
      </c>
      <c r="AA1308" t="s">
        <v>1580</v>
      </c>
      <c r="AB1308" t="s">
        <v>1362</v>
      </c>
      <c r="AC1308" t="s">
        <v>1581</v>
      </c>
      <c r="AD1308" t="s">
        <v>1364</v>
      </c>
      <c r="AE1308" t="s">
        <v>1582</v>
      </c>
      <c r="AF1308" t="s">
        <v>1863</v>
      </c>
      <c r="AG1308" t="s">
        <v>142</v>
      </c>
      <c r="AH1308" t="b">
        <v>0</v>
      </c>
    </row>
    <row r="1309" spans="1:34">
      <c r="A1309" t="s">
        <v>1863</v>
      </c>
      <c r="AA1309" t="s">
        <v>1583</v>
      </c>
      <c r="AB1309" t="s">
        <v>1362</v>
      </c>
      <c r="AC1309" t="s">
        <v>1584</v>
      </c>
      <c r="AD1309" t="s">
        <v>1382</v>
      </c>
      <c r="AE1309" t="s">
        <v>1585</v>
      </c>
      <c r="AF1309" t="s">
        <v>1863</v>
      </c>
      <c r="AG1309" t="s">
        <v>142</v>
      </c>
      <c r="AH1309" t="b">
        <v>0</v>
      </c>
    </row>
    <row r="1310" spans="1:34">
      <c r="A1310" t="s">
        <v>1863</v>
      </c>
      <c r="AA1310" t="s">
        <v>1586</v>
      </c>
      <c r="AB1310" t="s">
        <v>1362</v>
      </c>
      <c r="AC1310" t="s">
        <v>1587</v>
      </c>
      <c r="AD1310" t="s">
        <v>1364</v>
      </c>
      <c r="AE1310" t="s">
        <v>1588</v>
      </c>
      <c r="AF1310" t="s">
        <v>1863</v>
      </c>
      <c r="AG1310" t="s">
        <v>142</v>
      </c>
      <c r="AH1310" t="b">
        <v>0</v>
      </c>
    </row>
    <row r="1311" spans="1:34">
      <c r="A1311" t="s">
        <v>1863</v>
      </c>
      <c r="AA1311" t="s">
        <v>1589</v>
      </c>
      <c r="AB1311" t="s">
        <v>1362</v>
      </c>
      <c r="AC1311" t="s">
        <v>1590</v>
      </c>
      <c r="AD1311" t="s">
        <v>1364</v>
      </c>
      <c r="AE1311" t="s">
        <v>1591</v>
      </c>
      <c r="AF1311" t="s">
        <v>1863</v>
      </c>
      <c r="AG1311" t="s">
        <v>142</v>
      </c>
      <c r="AH1311" t="b">
        <v>0</v>
      </c>
    </row>
    <row r="1312" spans="1:34">
      <c r="A1312" t="s">
        <v>1863</v>
      </c>
      <c r="AA1312" t="s">
        <v>1592</v>
      </c>
      <c r="AB1312" t="s">
        <v>1362</v>
      </c>
      <c r="AC1312" t="s">
        <v>1593</v>
      </c>
      <c r="AD1312" t="s">
        <v>1364</v>
      </c>
      <c r="AE1312" t="s">
        <v>1594</v>
      </c>
      <c r="AF1312" t="s">
        <v>1863</v>
      </c>
      <c r="AG1312" t="s">
        <v>142</v>
      </c>
      <c r="AH1312" t="b">
        <v>0</v>
      </c>
    </row>
    <row r="1313" spans="1:34">
      <c r="A1313" t="s">
        <v>1863</v>
      </c>
      <c r="AA1313" t="s">
        <v>1595</v>
      </c>
      <c r="AB1313" t="s">
        <v>1362</v>
      </c>
      <c r="AC1313" t="s">
        <v>1596</v>
      </c>
      <c r="AD1313" t="s">
        <v>1382</v>
      </c>
      <c r="AE1313" t="s">
        <v>1597</v>
      </c>
      <c r="AF1313" t="s">
        <v>1863</v>
      </c>
      <c r="AG1313" t="s">
        <v>142</v>
      </c>
      <c r="AH1313" t="b">
        <v>0</v>
      </c>
    </row>
    <row r="1314" spans="1:34">
      <c r="A1314" t="s">
        <v>1863</v>
      </c>
      <c r="AA1314" t="s">
        <v>1598</v>
      </c>
      <c r="AB1314" t="s">
        <v>1362</v>
      </c>
      <c r="AC1314" t="s">
        <v>1599</v>
      </c>
      <c r="AD1314" t="s">
        <v>1364</v>
      </c>
      <c r="AE1314" t="s">
        <v>1600</v>
      </c>
      <c r="AF1314" t="s">
        <v>1863</v>
      </c>
      <c r="AG1314" t="s">
        <v>142</v>
      </c>
      <c r="AH1314" t="b">
        <v>0</v>
      </c>
    </row>
    <row r="1315" spans="1:34">
      <c r="A1315" t="s">
        <v>1863</v>
      </c>
      <c r="AA1315" t="s">
        <v>1601</v>
      </c>
      <c r="AB1315" t="s">
        <v>1362</v>
      </c>
      <c r="AC1315" t="s">
        <v>1602</v>
      </c>
      <c r="AD1315" t="s">
        <v>1382</v>
      </c>
      <c r="AE1315" t="s">
        <v>1597</v>
      </c>
      <c r="AF1315" t="s">
        <v>1863</v>
      </c>
      <c r="AG1315" t="s">
        <v>142</v>
      </c>
      <c r="AH1315" t="b">
        <v>0</v>
      </c>
    </row>
    <row r="1316" spans="1:34">
      <c r="A1316" t="s">
        <v>1863</v>
      </c>
      <c r="AA1316" t="s">
        <v>1603</v>
      </c>
      <c r="AB1316" t="s">
        <v>1362</v>
      </c>
      <c r="AC1316" t="s">
        <v>1604</v>
      </c>
      <c r="AD1316" t="s">
        <v>1605</v>
      </c>
      <c r="AE1316" t="s">
        <v>1383</v>
      </c>
      <c r="AF1316" t="s">
        <v>1863</v>
      </c>
      <c r="AG1316" t="s">
        <v>142</v>
      </c>
      <c r="AH1316" t="b">
        <v>0</v>
      </c>
    </row>
    <row r="1317" spans="1:34">
      <c r="A1317" t="s">
        <v>1863</v>
      </c>
      <c r="AA1317" t="s">
        <v>1606</v>
      </c>
      <c r="AB1317" t="s">
        <v>1462</v>
      </c>
      <c r="AC1317" t="s">
        <v>1607</v>
      </c>
      <c r="AD1317" t="s">
        <v>1464</v>
      </c>
      <c r="AE1317" t="s">
        <v>1608</v>
      </c>
      <c r="AF1317" t="s">
        <v>1863</v>
      </c>
      <c r="AG1317" t="s">
        <v>142</v>
      </c>
      <c r="AH1317" t="b">
        <v>0</v>
      </c>
    </row>
    <row r="1318" spans="1:34">
      <c r="A1318" t="s">
        <v>1863</v>
      </c>
      <c r="AA1318" t="s">
        <v>1609</v>
      </c>
      <c r="AB1318" t="s">
        <v>1362</v>
      </c>
      <c r="AC1318" t="s">
        <v>1610</v>
      </c>
      <c r="AD1318" t="s">
        <v>1459</v>
      </c>
      <c r="AE1318" t="s">
        <v>1420</v>
      </c>
      <c r="AF1318" t="s">
        <v>1863</v>
      </c>
      <c r="AG1318" t="s">
        <v>142</v>
      </c>
      <c r="AH1318" t="b">
        <v>0</v>
      </c>
    </row>
    <row r="1319" spans="1:34">
      <c r="A1319" t="s">
        <v>1863</v>
      </c>
      <c r="AA1319" t="s">
        <v>1611</v>
      </c>
      <c r="AB1319" t="s">
        <v>1362</v>
      </c>
      <c r="AC1319" t="s">
        <v>1612</v>
      </c>
      <c r="AD1319" t="s">
        <v>1364</v>
      </c>
      <c r="AE1319" t="s">
        <v>1613</v>
      </c>
      <c r="AF1319" t="s">
        <v>1863</v>
      </c>
      <c r="AG1319" t="s">
        <v>142</v>
      </c>
      <c r="AH1319" t="b">
        <v>0</v>
      </c>
    </row>
    <row r="1320" spans="1:34">
      <c r="A1320" t="s">
        <v>1863</v>
      </c>
      <c r="AA1320" t="s">
        <v>1614</v>
      </c>
      <c r="AB1320" t="s">
        <v>1462</v>
      </c>
      <c r="AC1320" t="s">
        <v>1615</v>
      </c>
      <c r="AD1320" t="s">
        <v>1464</v>
      </c>
      <c r="AE1320" t="s">
        <v>1467</v>
      </c>
      <c r="AF1320" t="s">
        <v>1863</v>
      </c>
      <c r="AG1320" t="s">
        <v>142</v>
      </c>
      <c r="AH1320" t="b">
        <v>0</v>
      </c>
    </row>
    <row r="1321" spans="1:34">
      <c r="A1321" t="s">
        <v>1863</v>
      </c>
      <c r="AA1321" t="s">
        <v>1616</v>
      </c>
      <c r="AB1321" t="s">
        <v>1362</v>
      </c>
      <c r="AC1321" t="s">
        <v>1617</v>
      </c>
      <c r="AD1321" t="s">
        <v>1364</v>
      </c>
      <c r="AE1321" t="s">
        <v>1562</v>
      </c>
      <c r="AF1321" t="s">
        <v>1863</v>
      </c>
      <c r="AG1321" t="s">
        <v>142</v>
      </c>
      <c r="AH1321" t="b">
        <v>0</v>
      </c>
    </row>
    <row r="1322" spans="1:34">
      <c r="A1322" t="s">
        <v>1863</v>
      </c>
      <c r="AA1322" t="s">
        <v>1618</v>
      </c>
      <c r="AB1322" t="s">
        <v>1362</v>
      </c>
      <c r="AC1322" t="s">
        <v>1619</v>
      </c>
      <c r="AD1322" t="s">
        <v>1364</v>
      </c>
      <c r="AE1322" t="s">
        <v>1490</v>
      </c>
      <c r="AF1322" t="s">
        <v>1863</v>
      </c>
      <c r="AG1322" t="s">
        <v>142</v>
      </c>
      <c r="AH1322" t="b">
        <v>0</v>
      </c>
    </row>
    <row r="1323" spans="1:34">
      <c r="A1323" t="s">
        <v>1863</v>
      </c>
      <c r="AA1323" t="s">
        <v>1620</v>
      </c>
      <c r="AB1323" t="s">
        <v>1362</v>
      </c>
      <c r="AC1323" t="s">
        <v>1621</v>
      </c>
      <c r="AD1323" t="s">
        <v>1364</v>
      </c>
      <c r="AE1323" t="s">
        <v>1622</v>
      </c>
      <c r="AF1323" t="s">
        <v>1863</v>
      </c>
      <c r="AG1323" t="s">
        <v>142</v>
      </c>
      <c r="AH1323" t="b">
        <v>0</v>
      </c>
    </row>
    <row r="1324" spans="1:34">
      <c r="A1324" t="s">
        <v>1863</v>
      </c>
      <c r="AA1324" t="s">
        <v>1623</v>
      </c>
      <c r="AB1324" t="s">
        <v>1362</v>
      </c>
      <c r="AC1324" t="s">
        <v>1624</v>
      </c>
      <c r="AD1324" t="s">
        <v>1364</v>
      </c>
      <c r="AE1324" t="s">
        <v>1625</v>
      </c>
      <c r="AF1324" t="s">
        <v>1863</v>
      </c>
      <c r="AG1324" t="s">
        <v>142</v>
      </c>
      <c r="AH1324" t="b">
        <v>0</v>
      </c>
    </row>
    <row r="1325" spans="1:34">
      <c r="A1325" t="s">
        <v>1863</v>
      </c>
      <c r="AA1325" t="s">
        <v>1626</v>
      </c>
      <c r="AB1325" t="s">
        <v>1362</v>
      </c>
      <c r="AC1325" t="s">
        <v>1627</v>
      </c>
      <c r="AD1325" t="s">
        <v>1484</v>
      </c>
      <c r="AE1325" t="s">
        <v>1379</v>
      </c>
      <c r="AF1325" t="s">
        <v>1863</v>
      </c>
      <c r="AG1325" t="s">
        <v>142</v>
      </c>
      <c r="AH1325" t="b">
        <v>0</v>
      </c>
    </row>
    <row r="1326" spans="1:34">
      <c r="A1326" t="s">
        <v>1863</v>
      </c>
      <c r="AA1326" t="s">
        <v>1628</v>
      </c>
      <c r="AB1326" t="s">
        <v>1362</v>
      </c>
      <c r="AC1326" t="s">
        <v>1629</v>
      </c>
      <c r="AD1326" t="s">
        <v>1364</v>
      </c>
      <c r="AE1326" t="s">
        <v>1630</v>
      </c>
      <c r="AF1326" t="s">
        <v>1863</v>
      </c>
      <c r="AG1326" t="s">
        <v>142</v>
      </c>
      <c r="AH1326" t="b">
        <v>0</v>
      </c>
    </row>
    <row r="1327" spans="1:34">
      <c r="A1327" t="s">
        <v>1863</v>
      </c>
      <c r="AA1327" t="s">
        <v>1631</v>
      </c>
      <c r="AB1327" t="s">
        <v>1362</v>
      </c>
      <c r="AC1327" t="s">
        <v>1632</v>
      </c>
      <c r="AD1327" t="s">
        <v>1364</v>
      </c>
      <c r="AE1327" t="s">
        <v>1630</v>
      </c>
      <c r="AF1327" t="s">
        <v>1863</v>
      </c>
      <c r="AG1327" t="s">
        <v>142</v>
      </c>
      <c r="AH1327" t="b">
        <v>0</v>
      </c>
    </row>
    <row r="1328" spans="1:34">
      <c r="A1328" t="s">
        <v>1863</v>
      </c>
      <c r="AA1328" t="s">
        <v>1633</v>
      </c>
      <c r="AB1328" t="s">
        <v>1362</v>
      </c>
      <c r="AC1328" t="s">
        <v>1634</v>
      </c>
      <c r="AD1328" t="s">
        <v>1364</v>
      </c>
      <c r="AE1328" t="s">
        <v>1600</v>
      </c>
      <c r="AF1328" t="s">
        <v>1863</v>
      </c>
      <c r="AG1328" t="s">
        <v>142</v>
      </c>
      <c r="AH1328" t="b">
        <v>0</v>
      </c>
    </row>
    <row r="1329" spans="1:34">
      <c r="A1329" t="s">
        <v>1863</v>
      </c>
      <c r="AA1329" t="s">
        <v>1635</v>
      </c>
      <c r="AB1329" t="s">
        <v>1362</v>
      </c>
      <c r="AC1329" t="s">
        <v>1636</v>
      </c>
      <c r="AD1329" t="s">
        <v>1605</v>
      </c>
      <c r="AE1329" t="s">
        <v>1383</v>
      </c>
      <c r="AF1329" t="s">
        <v>1863</v>
      </c>
      <c r="AG1329" t="s">
        <v>142</v>
      </c>
      <c r="AH1329" t="b">
        <v>0</v>
      </c>
    </row>
    <row r="1330" spans="1:34">
      <c r="A1330" t="s">
        <v>1863</v>
      </c>
      <c r="AA1330" t="s">
        <v>1637</v>
      </c>
      <c r="AB1330" t="s">
        <v>1362</v>
      </c>
      <c r="AC1330" t="s">
        <v>1638</v>
      </c>
      <c r="AD1330" t="s">
        <v>1364</v>
      </c>
      <c r="AE1330" t="s">
        <v>1639</v>
      </c>
      <c r="AF1330" t="s">
        <v>1863</v>
      </c>
      <c r="AG1330" t="s">
        <v>142</v>
      </c>
      <c r="AH1330" t="b">
        <v>0</v>
      </c>
    </row>
    <row r="1331" spans="1:34">
      <c r="A1331" t="s">
        <v>1863</v>
      </c>
      <c r="AA1331" t="s">
        <v>1640</v>
      </c>
      <c r="AB1331" t="s">
        <v>1362</v>
      </c>
      <c r="AC1331" t="s">
        <v>1641</v>
      </c>
      <c r="AD1331" t="s">
        <v>1382</v>
      </c>
      <c r="AE1331" t="s">
        <v>1642</v>
      </c>
      <c r="AF1331" t="s">
        <v>1863</v>
      </c>
      <c r="AG1331" t="s">
        <v>142</v>
      </c>
      <c r="AH1331" t="b">
        <v>0</v>
      </c>
    </row>
    <row r="1332" spans="1:34">
      <c r="A1332" t="s">
        <v>1863</v>
      </c>
      <c r="AA1332" t="s">
        <v>1643</v>
      </c>
      <c r="AB1332" t="s">
        <v>1362</v>
      </c>
      <c r="AC1332" t="s">
        <v>1644</v>
      </c>
      <c r="AD1332" t="s">
        <v>1364</v>
      </c>
      <c r="AE1332" t="s">
        <v>1379</v>
      </c>
      <c r="AF1332" t="s">
        <v>1863</v>
      </c>
      <c r="AG1332" t="s">
        <v>142</v>
      </c>
      <c r="AH1332" t="b">
        <v>0</v>
      </c>
    </row>
    <row r="1333" spans="1:34">
      <c r="A1333" t="s">
        <v>1863</v>
      </c>
      <c r="AA1333" t="s">
        <v>1645</v>
      </c>
      <c r="AB1333" t="s">
        <v>1362</v>
      </c>
      <c r="AC1333" t="s">
        <v>1646</v>
      </c>
      <c r="AD1333" t="s">
        <v>1382</v>
      </c>
      <c r="AE1333" t="s">
        <v>1490</v>
      </c>
      <c r="AF1333" t="s">
        <v>1863</v>
      </c>
      <c r="AG1333" t="s">
        <v>142</v>
      </c>
      <c r="AH1333" t="b">
        <v>0</v>
      </c>
    </row>
    <row r="1334" spans="1:34">
      <c r="A1334" t="s">
        <v>1863</v>
      </c>
      <c r="AA1334" t="s">
        <v>1647</v>
      </c>
      <c r="AB1334" t="s">
        <v>1462</v>
      </c>
      <c r="AC1334" t="s">
        <v>1648</v>
      </c>
      <c r="AD1334" t="s">
        <v>1464</v>
      </c>
      <c r="AE1334" t="s">
        <v>1649</v>
      </c>
      <c r="AF1334" t="s">
        <v>1863</v>
      </c>
      <c r="AG1334" t="s">
        <v>142</v>
      </c>
      <c r="AH1334" t="b">
        <v>0</v>
      </c>
    </row>
    <row r="1335" spans="1:34">
      <c r="A1335" t="s">
        <v>1863</v>
      </c>
      <c r="AA1335" t="s">
        <v>42</v>
      </c>
      <c r="AB1335" t="s">
        <v>1362</v>
      </c>
      <c r="AC1335" t="s">
        <v>1650</v>
      </c>
      <c r="AD1335" t="s">
        <v>1364</v>
      </c>
      <c r="AE1335" t="s">
        <v>1651</v>
      </c>
      <c r="AF1335" t="s">
        <v>1863</v>
      </c>
      <c r="AG1335" t="s">
        <v>142</v>
      </c>
      <c r="AH1335" t="b">
        <v>0</v>
      </c>
    </row>
    <row r="1336" spans="1:34">
      <c r="A1336" t="s">
        <v>1863</v>
      </c>
      <c r="AA1336" t="s">
        <v>1652</v>
      </c>
      <c r="AB1336" t="s">
        <v>1362</v>
      </c>
      <c r="AC1336" t="s">
        <v>1653</v>
      </c>
      <c r="AD1336" t="s">
        <v>1364</v>
      </c>
      <c r="AE1336" t="s">
        <v>1654</v>
      </c>
      <c r="AF1336" t="s">
        <v>1863</v>
      </c>
      <c r="AG1336" t="s">
        <v>142</v>
      </c>
      <c r="AH1336" t="b">
        <v>0</v>
      </c>
    </row>
    <row r="1337" spans="1:34">
      <c r="A1337" t="s">
        <v>1863</v>
      </c>
      <c r="AA1337" t="s">
        <v>1655</v>
      </c>
      <c r="AB1337" t="s">
        <v>1362</v>
      </c>
      <c r="AC1337" t="s">
        <v>1656</v>
      </c>
      <c r="AD1337" t="s">
        <v>1364</v>
      </c>
      <c r="AE1337" t="s">
        <v>1657</v>
      </c>
      <c r="AF1337" t="s">
        <v>1863</v>
      </c>
      <c r="AG1337" t="s">
        <v>142</v>
      </c>
      <c r="AH1337" t="b">
        <v>0</v>
      </c>
    </row>
    <row r="1338" spans="1:34">
      <c r="A1338" t="s">
        <v>1863</v>
      </c>
      <c r="AA1338" t="s">
        <v>1658</v>
      </c>
      <c r="AB1338" t="s">
        <v>1462</v>
      </c>
      <c r="AC1338" t="s">
        <v>1659</v>
      </c>
      <c r="AD1338" t="s">
        <v>1464</v>
      </c>
      <c r="AE1338" t="s">
        <v>1660</v>
      </c>
      <c r="AF1338" t="s">
        <v>1863</v>
      </c>
      <c r="AG1338" t="s">
        <v>142</v>
      </c>
      <c r="AH1338" t="b">
        <v>0</v>
      </c>
    </row>
    <row r="1339" spans="1:34">
      <c r="A1339" t="s">
        <v>1863</v>
      </c>
      <c r="AA1339" t="s">
        <v>1661</v>
      </c>
      <c r="AB1339" t="s">
        <v>1362</v>
      </c>
      <c r="AC1339" t="s">
        <v>1662</v>
      </c>
      <c r="AD1339" t="s">
        <v>1364</v>
      </c>
      <c r="AE1339" t="s">
        <v>1663</v>
      </c>
      <c r="AF1339" t="s">
        <v>1863</v>
      </c>
      <c r="AG1339" t="s">
        <v>142</v>
      </c>
      <c r="AH1339" t="b">
        <v>0</v>
      </c>
    </row>
    <row r="1340" spans="1:34">
      <c r="A1340" t="s">
        <v>1863</v>
      </c>
      <c r="AA1340" t="s">
        <v>1664</v>
      </c>
      <c r="AB1340" t="s">
        <v>1362</v>
      </c>
      <c r="AC1340" t="s">
        <v>1665</v>
      </c>
      <c r="AD1340" t="s">
        <v>1459</v>
      </c>
      <c r="AE1340" t="s">
        <v>1666</v>
      </c>
      <c r="AF1340" t="s">
        <v>1863</v>
      </c>
      <c r="AG1340" t="s">
        <v>142</v>
      </c>
      <c r="AH1340" t="b">
        <v>0</v>
      </c>
    </row>
    <row r="1341" spans="1:34">
      <c r="A1341" t="s">
        <v>1863</v>
      </c>
      <c r="AA1341" t="s">
        <v>1667</v>
      </c>
      <c r="AB1341" t="s">
        <v>1362</v>
      </c>
      <c r="AC1341" t="s">
        <v>1668</v>
      </c>
      <c r="AD1341" t="s">
        <v>1364</v>
      </c>
      <c r="AE1341" t="s">
        <v>1669</v>
      </c>
      <c r="AF1341" t="s">
        <v>1863</v>
      </c>
      <c r="AG1341" t="s">
        <v>142</v>
      </c>
      <c r="AH1341" t="b">
        <v>0</v>
      </c>
    </row>
    <row r="1342" spans="1:34">
      <c r="A1342" t="s">
        <v>1863</v>
      </c>
      <c r="AA1342" t="s">
        <v>1670</v>
      </c>
      <c r="AB1342" t="s">
        <v>1362</v>
      </c>
      <c r="AC1342" t="s">
        <v>1671</v>
      </c>
      <c r="AD1342" t="s">
        <v>1459</v>
      </c>
      <c r="AE1342" t="s">
        <v>1420</v>
      </c>
      <c r="AF1342" t="s">
        <v>1863</v>
      </c>
      <c r="AG1342" t="s">
        <v>142</v>
      </c>
      <c r="AH1342" t="b">
        <v>0</v>
      </c>
    </row>
    <row r="1343" spans="1:34">
      <c r="A1343" t="s">
        <v>1863</v>
      </c>
      <c r="AA1343" t="s">
        <v>1672</v>
      </c>
      <c r="AB1343" t="s">
        <v>1362</v>
      </c>
      <c r="AC1343" t="s">
        <v>1673</v>
      </c>
      <c r="AD1343" t="s">
        <v>1364</v>
      </c>
      <c r="AE1343" t="s">
        <v>1379</v>
      </c>
      <c r="AF1343" t="s">
        <v>1863</v>
      </c>
      <c r="AG1343" t="s">
        <v>142</v>
      </c>
      <c r="AH1343" t="b">
        <v>0</v>
      </c>
    </row>
    <row r="1344" spans="1:34">
      <c r="A1344" t="s">
        <v>1863</v>
      </c>
      <c r="AA1344" t="s">
        <v>41</v>
      </c>
      <c r="AB1344" t="s">
        <v>1362</v>
      </c>
      <c r="AC1344" t="s">
        <v>1674</v>
      </c>
      <c r="AD1344" t="s">
        <v>1459</v>
      </c>
      <c r="AE1344" t="s">
        <v>1420</v>
      </c>
      <c r="AF1344" t="s">
        <v>1863</v>
      </c>
      <c r="AG1344" t="s">
        <v>142</v>
      </c>
      <c r="AH1344" t="b">
        <v>0</v>
      </c>
    </row>
    <row r="1345" spans="1:34">
      <c r="A1345" t="s">
        <v>1863</v>
      </c>
      <c r="AA1345" t="s">
        <v>1675</v>
      </c>
      <c r="AB1345" t="s">
        <v>1362</v>
      </c>
      <c r="AC1345" t="s">
        <v>1676</v>
      </c>
      <c r="AD1345" t="s">
        <v>1364</v>
      </c>
      <c r="AE1345" t="s">
        <v>1677</v>
      </c>
      <c r="AF1345" t="s">
        <v>1863</v>
      </c>
      <c r="AG1345" t="s">
        <v>142</v>
      </c>
      <c r="AH1345" t="b">
        <v>0</v>
      </c>
    </row>
    <row r="1346" spans="1:34">
      <c r="A1346" t="s">
        <v>1863</v>
      </c>
      <c r="AA1346" t="s">
        <v>1678</v>
      </c>
      <c r="AB1346" t="s">
        <v>1462</v>
      </c>
      <c r="AC1346" t="s">
        <v>1679</v>
      </c>
      <c r="AD1346" t="s">
        <v>1464</v>
      </c>
      <c r="AE1346" t="s">
        <v>1490</v>
      </c>
      <c r="AF1346" t="s">
        <v>1863</v>
      </c>
      <c r="AG1346" t="s">
        <v>142</v>
      </c>
      <c r="AH1346" t="b">
        <v>0</v>
      </c>
    </row>
    <row r="1347" spans="1:34">
      <c r="A1347" t="s">
        <v>1863</v>
      </c>
      <c r="AA1347" t="s">
        <v>1680</v>
      </c>
      <c r="AB1347" t="s">
        <v>1362</v>
      </c>
      <c r="AC1347" t="s">
        <v>1681</v>
      </c>
      <c r="AD1347" t="s">
        <v>1364</v>
      </c>
      <c r="AE1347" t="s">
        <v>1682</v>
      </c>
      <c r="AF1347" t="s">
        <v>1863</v>
      </c>
      <c r="AG1347" t="s">
        <v>142</v>
      </c>
      <c r="AH1347" t="b">
        <v>0</v>
      </c>
    </row>
    <row r="1348" spans="1:34">
      <c r="A1348" t="s">
        <v>1863</v>
      </c>
      <c r="AA1348" t="s">
        <v>1683</v>
      </c>
      <c r="AB1348" t="s">
        <v>1362</v>
      </c>
      <c r="AC1348" t="s">
        <v>1684</v>
      </c>
      <c r="AD1348" t="s">
        <v>1484</v>
      </c>
      <c r="AE1348" t="s">
        <v>1685</v>
      </c>
      <c r="AF1348" t="s">
        <v>1863</v>
      </c>
      <c r="AG1348" t="s">
        <v>142</v>
      </c>
      <c r="AH1348" t="b">
        <v>0</v>
      </c>
    </row>
    <row r="1349" spans="1:34">
      <c r="A1349" t="s">
        <v>1863</v>
      </c>
      <c r="AA1349" t="s">
        <v>1686</v>
      </c>
      <c r="AB1349" t="s">
        <v>1362</v>
      </c>
      <c r="AC1349" t="s">
        <v>1687</v>
      </c>
      <c r="AD1349" t="s">
        <v>1364</v>
      </c>
      <c r="AE1349" t="s">
        <v>1499</v>
      </c>
      <c r="AF1349" t="s">
        <v>1863</v>
      </c>
      <c r="AG1349" t="s">
        <v>142</v>
      </c>
      <c r="AH1349" t="b">
        <v>0</v>
      </c>
    </row>
    <row r="1350" spans="1:34">
      <c r="A1350" t="s">
        <v>1863</v>
      </c>
      <c r="AA1350" t="s">
        <v>1688</v>
      </c>
      <c r="AB1350" t="s">
        <v>1362</v>
      </c>
      <c r="AC1350" t="s">
        <v>1689</v>
      </c>
      <c r="AD1350" t="s">
        <v>1364</v>
      </c>
      <c r="AE1350" t="s">
        <v>1622</v>
      </c>
      <c r="AF1350" t="s">
        <v>1863</v>
      </c>
      <c r="AG1350" t="s">
        <v>142</v>
      </c>
      <c r="AH1350" t="b">
        <v>0</v>
      </c>
    </row>
    <row r="1351" spans="1:34">
      <c r="A1351" t="s">
        <v>1863</v>
      </c>
      <c r="AA1351" t="s">
        <v>1690</v>
      </c>
      <c r="AB1351" t="s">
        <v>1362</v>
      </c>
      <c r="AC1351" t="s">
        <v>1691</v>
      </c>
      <c r="AD1351" t="s">
        <v>1364</v>
      </c>
      <c r="AE1351" t="s">
        <v>1554</v>
      </c>
      <c r="AF1351" t="s">
        <v>1863</v>
      </c>
      <c r="AG1351" t="s">
        <v>142</v>
      </c>
      <c r="AH1351" t="b">
        <v>0</v>
      </c>
    </row>
    <row r="1352" spans="1:34">
      <c r="A1352" t="s">
        <v>1863</v>
      </c>
      <c r="AA1352" t="s">
        <v>1692</v>
      </c>
      <c r="AB1352" t="s">
        <v>1362</v>
      </c>
      <c r="AC1352" t="s">
        <v>1693</v>
      </c>
      <c r="AD1352" t="s">
        <v>1364</v>
      </c>
      <c r="AE1352" t="s">
        <v>1694</v>
      </c>
      <c r="AF1352" t="s">
        <v>1863</v>
      </c>
      <c r="AG1352" t="s">
        <v>142</v>
      </c>
      <c r="AH1352" t="b">
        <v>0</v>
      </c>
    </row>
    <row r="1353" spans="1:34">
      <c r="A1353" t="s">
        <v>1863</v>
      </c>
      <c r="AA1353" t="s">
        <v>1695</v>
      </c>
      <c r="AB1353" t="s">
        <v>1362</v>
      </c>
      <c r="AC1353" t="s">
        <v>1696</v>
      </c>
      <c r="AD1353" t="s">
        <v>1407</v>
      </c>
      <c r="AE1353" t="s">
        <v>1697</v>
      </c>
      <c r="AF1353" t="s">
        <v>1863</v>
      </c>
      <c r="AG1353" t="s">
        <v>142</v>
      </c>
      <c r="AH1353" t="b">
        <v>0</v>
      </c>
    </row>
    <row r="1354" spans="1:34">
      <c r="A1354" t="s">
        <v>1863</v>
      </c>
      <c r="AA1354" t="s">
        <v>1698</v>
      </c>
      <c r="AB1354" t="s">
        <v>1362</v>
      </c>
      <c r="AC1354" t="s">
        <v>1699</v>
      </c>
      <c r="AD1354" t="s">
        <v>1605</v>
      </c>
      <c r="AE1354" t="s">
        <v>1383</v>
      </c>
      <c r="AF1354" t="s">
        <v>1863</v>
      </c>
      <c r="AG1354" t="s">
        <v>142</v>
      </c>
      <c r="AH1354" t="b">
        <v>0</v>
      </c>
    </row>
    <row r="1355" spans="1:34">
      <c r="A1355" t="s">
        <v>1863</v>
      </c>
      <c r="AA1355" t="s">
        <v>1700</v>
      </c>
      <c r="AB1355" t="s">
        <v>1362</v>
      </c>
      <c r="AC1355" t="s">
        <v>1701</v>
      </c>
      <c r="AD1355" t="s">
        <v>1364</v>
      </c>
      <c r="AE1355" t="s">
        <v>1490</v>
      </c>
      <c r="AF1355" t="s">
        <v>1863</v>
      </c>
      <c r="AG1355" t="s">
        <v>142</v>
      </c>
      <c r="AH1355" t="b">
        <v>0</v>
      </c>
    </row>
    <row r="1356" spans="1:34">
      <c r="A1356" t="s">
        <v>1863</v>
      </c>
      <c r="AA1356" t="s">
        <v>1702</v>
      </c>
      <c r="AB1356" t="s">
        <v>1362</v>
      </c>
      <c r="AC1356" t="s">
        <v>1703</v>
      </c>
      <c r="AD1356" t="s">
        <v>1364</v>
      </c>
      <c r="AE1356" t="s">
        <v>1704</v>
      </c>
      <c r="AF1356" t="s">
        <v>1863</v>
      </c>
      <c r="AG1356" t="s">
        <v>142</v>
      </c>
      <c r="AH1356" t="b">
        <v>0</v>
      </c>
    </row>
    <row r="1357" spans="1:34">
      <c r="A1357" t="s">
        <v>1863</v>
      </c>
      <c r="AA1357" t="s">
        <v>1705</v>
      </c>
      <c r="AB1357" t="s">
        <v>1362</v>
      </c>
      <c r="AC1357" t="s">
        <v>1706</v>
      </c>
      <c r="AD1357" t="s">
        <v>1364</v>
      </c>
      <c r="AE1357" t="s">
        <v>1707</v>
      </c>
      <c r="AF1357" t="s">
        <v>1863</v>
      </c>
      <c r="AG1357" t="s">
        <v>142</v>
      </c>
      <c r="AH1357" t="b">
        <v>0</v>
      </c>
    </row>
    <row r="1358" spans="1:34">
      <c r="A1358" t="s">
        <v>1863</v>
      </c>
      <c r="AA1358" t="s">
        <v>1708</v>
      </c>
      <c r="AB1358" t="s">
        <v>1362</v>
      </c>
      <c r="AC1358" t="s">
        <v>1709</v>
      </c>
      <c r="AD1358" t="s">
        <v>1364</v>
      </c>
      <c r="AE1358" t="s">
        <v>1436</v>
      </c>
      <c r="AF1358" t="s">
        <v>1863</v>
      </c>
      <c r="AG1358" t="s">
        <v>142</v>
      </c>
      <c r="AH1358" t="b">
        <v>0</v>
      </c>
    </row>
    <row r="1359" spans="1:34">
      <c r="A1359" t="s">
        <v>1863</v>
      </c>
      <c r="AA1359" t="s">
        <v>1710</v>
      </c>
      <c r="AB1359" t="s">
        <v>1362</v>
      </c>
      <c r="AC1359" t="s">
        <v>1711</v>
      </c>
      <c r="AD1359" t="s">
        <v>1605</v>
      </c>
      <c r="AE1359" t="s">
        <v>1490</v>
      </c>
      <c r="AF1359" t="s">
        <v>1863</v>
      </c>
      <c r="AG1359" t="s">
        <v>142</v>
      </c>
      <c r="AH1359" t="b">
        <v>0</v>
      </c>
    </row>
    <row r="1360" spans="1:34">
      <c r="A1360" t="s">
        <v>1863</v>
      </c>
      <c r="AA1360" t="s">
        <v>1712</v>
      </c>
      <c r="AB1360" t="s">
        <v>1362</v>
      </c>
      <c r="AC1360" t="s">
        <v>1713</v>
      </c>
      <c r="AD1360" t="s">
        <v>1364</v>
      </c>
      <c r="AE1360" t="s">
        <v>1383</v>
      </c>
      <c r="AF1360" t="s">
        <v>1863</v>
      </c>
      <c r="AG1360" t="s">
        <v>142</v>
      </c>
      <c r="AH1360" t="b">
        <v>0</v>
      </c>
    </row>
    <row r="1361" spans="1:34">
      <c r="A1361" t="s">
        <v>1863</v>
      </c>
      <c r="AA1361" t="s">
        <v>1714</v>
      </c>
      <c r="AB1361" t="s">
        <v>1362</v>
      </c>
      <c r="AC1361" t="s">
        <v>1715</v>
      </c>
      <c r="AD1361" t="s">
        <v>1364</v>
      </c>
      <c r="AE1361" t="s">
        <v>1379</v>
      </c>
      <c r="AF1361" t="s">
        <v>1863</v>
      </c>
      <c r="AG1361" t="s">
        <v>142</v>
      </c>
      <c r="AH1361" t="b">
        <v>0</v>
      </c>
    </row>
    <row r="1362" spans="1:34">
      <c r="A1362" t="s">
        <v>1863</v>
      </c>
      <c r="AA1362" t="s">
        <v>1716</v>
      </c>
      <c r="AB1362" t="s">
        <v>1362</v>
      </c>
      <c r="AC1362" t="s">
        <v>1717</v>
      </c>
      <c r="AD1362" t="s">
        <v>1459</v>
      </c>
      <c r="AE1362" t="s">
        <v>1420</v>
      </c>
      <c r="AF1362" t="s">
        <v>1863</v>
      </c>
      <c r="AG1362" t="s">
        <v>142</v>
      </c>
      <c r="AH1362" t="b">
        <v>0</v>
      </c>
    </row>
    <row r="1363" spans="1:34">
      <c r="A1363" t="s">
        <v>1863</v>
      </c>
      <c r="AA1363" t="s">
        <v>1718</v>
      </c>
      <c r="AB1363" t="s">
        <v>1362</v>
      </c>
      <c r="AC1363" t="s">
        <v>1719</v>
      </c>
      <c r="AD1363" t="s">
        <v>1364</v>
      </c>
      <c r="AE1363" t="s">
        <v>1720</v>
      </c>
      <c r="AF1363" t="s">
        <v>1863</v>
      </c>
      <c r="AG1363" t="s">
        <v>142</v>
      </c>
      <c r="AH1363" t="b">
        <v>0</v>
      </c>
    </row>
    <row r="1364" spans="1:34">
      <c r="A1364" t="s">
        <v>1863</v>
      </c>
      <c r="AA1364" t="s">
        <v>1721</v>
      </c>
      <c r="AB1364" t="s">
        <v>1362</v>
      </c>
      <c r="AC1364" t="s">
        <v>1722</v>
      </c>
      <c r="AD1364" t="s">
        <v>1364</v>
      </c>
      <c r="AE1364" t="s">
        <v>1723</v>
      </c>
      <c r="AF1364" t="s">
        <v>1863</v>
      </c>
      <c r="AG1364" t="s">
        <v>142</v>
      </c>
      <c r="AH1364" t="b">
        <v>0</v>
      </c>
    </row>
    <row r="1365" spans="1:34">
      <c r="A1365" t="s">
        <v>1863</v>
      </c>
      <c r="AA1365" t="s">
        <v>1724</v>
      </c>
      <c r="AB1365" t="s">
        <v>1362</v>
      </c>
      <c r="AC1365" t="s">
        <v>1725</v>
      </c>
      <c r="AD1365" t="s">
        <v>1364</v>
      </c>
      <c r="AE1365" t="s">
        <v>1454</v>
      </c>
      <c r="AF1365" t="s">
        <v>1863</v>
      </c>
      <c r="AG1365" t="s">
        <v>142</v>
      </c>
      <c r="AH1365" t="b">
        <v>0</v>
      </c>
    </row>
    <row r="1366" spans="1:34">
      <c r="A1366" t="s">
        <v>1863</v>
      </c>
      <c r="AA1366" t="s">
        <v>1726</v>
      </c>
      <c r="AB1366" t="s">
        <v>1362</v>
      </c>
      <c r="AC1366" t="s">
        <v>1727</v>
      </c>
      <c r="AD1366" t="s">
        <v>1382</v>
      </c>
      <c r="AE1366" t="s">
        <v>1490</v>
      </c>
      <c r="AF1366" t="s">
        <v>1863</v>
      </c>
      <c r="AG1366" t="s">
        <v>142</v>
      </c>
      <c r="AH1366" t="b">
        <v>0</v>
      </c>
    </row>
    <row r="1367" spans="1:34">
      <c r="A1367" t="s">
        <v>1863</v>
      </c>
      <c r="AA1367" t="s">
        <v>1728</v>
      </c>
      <c r="AB1367" t="s">
        <v>1362</v>
      </c>
      <c r="AC1367" t="s">
        <v>1729</v>
      </c>
      <c r="AD1367" t="s">
        <v>1605</v>
      </c>
      <c r="AE1367" t="s">
        <v>1730</v>
      </c>
      <c r="AF1367" t="s">
        <v>1863</v>
      </c>
      <c r="AG1367" t="s">
        <v>142</v>
      </c>
      <c r="AH1367" t="b">
        <v>0</v>
      </c>
    </row>
    <row r="1368" spans="1:34">
      <c r="A1368" t="s">
        <v>1863</v>
      </c>
      <c r="AA1368" t="s">
        <v>1731</v>
      </c>
      <c r="AB1368" t="s">
        <v>1362</v>
      </c>
      <c r="AC1368" t="s">
        <v>1732</v>
      </c>
      <c r="AD1368" t="s">
        <v>1382</v>
      </c>
      <c r="AE1368" t="s">
        <v>1383</v>
      </c>
      <c r="AF1368" t="s">
        <v>1863</v>
      </c>
      <c r="AG1368" t="s">
        <v>142</v>
      </c>
      <c r="AH1368" t="b">
        <v>0</v>
      </c>
    </row>
    <row r="1369" spans="1:34">
      <c r="A1369" t="s">
        <v>1863</v>
      </c>
      <c r="AA1369" t="s">
        <v>1733</v>
      </c>
      <c r="AB1369" t="s">
        <v>1462</v>
      </c>
      <c r="AC1369" t="s">
        <v>1734</v>
      </c>
      <c r="AD1369" t="s">
        <v>1464</v>
      </c>
      <c r="AE1369" t="s">
        <v>1505</v>
      </c>
      <c r="AF1369" t="s">
        <v>1863</v>
      </c>
      <c r="AG1369" t="s">
        <v>142</v>
      </c>
      <c r="AH1369" t="b">
        <v>0</v>
      </c>
    </row>
    <row r="1370" spans="1:34">
      <c r="A1370" t="s">
        <v>1863</v>
      </c>
      <c r="AA1370" t="s">
        <v>1735</v>
      </c>
      <c r="AB1370" t="s">
        <v>1362</v>
      </c>
      <c r="AC1370" t="s">
        <v>1736</v>
      </c>
      <c r="AD1370" t="s">
        <v>1364</v>
      </c>
      <c r="AF1370" t="s">
        <v>1863</v>
      </c>
      <c r="AG1370" t="s">
        <v>142</v>
      </c>
      <c r="AH1370" t="b">
        <v>0</v>
      </c>
    </row>
    <row r="1371" spans="1:34">
      <c r="A1371" t="s">
        <v>1863</v>
      </c>
      <c r="AA1371" t="s">
        <v>1737</v>
      </c>
      <c r="AB1371" t="s">
        <v>1362</v>
      </c>
      <c r="AC1371" t="s">
        <v>1738</v>
      </c>
      <c r="AD1371" t="s">
        <v>1364</v>
      </c>
      <c r="AE1371" t="s">
        <v>1370</v>
      </c>
      <c r="AF1371" t="s">
        <v>1863</v>
      </c>
      <c r="AG1371" t="s">
        <v>142</v>
      </c>
      <c r="AH1371" t="b">
        <v>0</v>
      </c>
    </row>
    <row r="1372" spans="1:34">
      <c r="A1372" t="s">
        <v>1863</v>
      </c>
      <c r="AA1372" t="s">
        <v>1739</v>
      </c>
      <c r="AB1372" t="s">
        <v>1362</v>
      </c>
      <c r="AC1372" t="s">
        <v>1740</v>
      </c>
      <c r="AD1372" t="s">
        <v>1364</v>
      </c>
      <c r="AE1372" t="s">
        <v>1379</v>
      </c>
      <c r="AF1372" t="s">
        <v>1863</v>
      </c>
      <c r="AG1372" t="s">
        <v>142</v>
      </c>
      <c r="AH1372" t="b">
        <v>0</v>
      </c>
    </row>
    <row r="1373" spans="1:34">
      <c r="A1373" t="s">
        <v>1863</v>
      </c>
      <c r="AA1373" t="s">
        <v>1741</v>
      </c>
      <c r="AB1373" t="s">
        <v>1362</v>
      </c>
      <c r="AC1373" t="s">
        <v>1742</v>
      </c>
      <c r="AD1373" t="s">
        <v>1364</v>
      </c>
      <c r="AE1373" t="s">
        <v>1383</v>
      </c>
      <c r="AF1373" t="s">
        <v>1863</v>
      </c>
      <c r="AG1373" t="s">
        <v>142</v>
      </c>
      <c r="AH1373" t="b">
        <v>0</v>
      </c>
    </row>
    <row r="1374" spans="1:34">
      <c r="A1374" t="s">
        <v>1863</v>
      </c>
      <c r="AA1374" t="s">
        <v>1743</v>
      </c>
      <c r="AB1374" t="s">
        <v>1362</v>
      </c>
      <c r="AC1374" t="s">
        <v>1744</v>
      </c>
      <c r="AD1374" t="s">
        <v>1364</v>
      </c>
      <c r="AE1374" t="s">
        <v>1383</v>
      </c>
      <c r="AF1374" t="s">
        <v>1863</v>
      </c>
      <c r="AG1374" t="s">
        <v>142</v>
      </c>
      <c r="AH1374" t="b">
        <v>0</v>
      </c>
    </row>
    <row r="1375" spans="1:34">
      <c r="A1375" t="s">
        <v>1863</v>
      </c>
      <c r="AA1375" t="s">
        <v>1745</v>
      </c>
      <c r="AB1375" t="s">
        <v>1362</v>
      </c>
      <c r="AC1375" t="s">
        <v>1746</v>
      </c>
      <c r="AD1375" t="s">
        <v>1382</v>
      </c>
      <c r="AE1375" t="s">
        <v>1490</v>
      </c>
      <c r="AF1375" t="s">
        <v>1863</v>
      </c>
      <c r="AG1375" t="s">
        <v>142</v>
      </c>
      <c r="AH1375" t="b">
        <v>0</v>
      </c>
    </row>
    <row r="1376" spans="1:34">
      <c r="A1376" t="s">
        <v>1863</v>
      </c>
      <c r="AA1376" t="s">
        <v>1747</v>
      </c>
      <c r="AB1376" t="s">
        <v>1362</v>
      </c>
      <c r="AC1376" t="s">
        <v>1748</v>
      </c>
      <c r="AD1376" t="s">
        <v>1364</v>
      </c>
      <c r="AE1376" t="s">
        <v>1383</v>
      </c>
      <c r="AF1376" t="s">
        <v>1863</v>
      </c>
      <c r="AG1376" t="s">
        <v>142</v>
      </c>
      <c r="AH1376" t="b">
        <v>0</v>
      </c>
    </row>
    <row r="1377" spans="1:34">
      <c r="A1377" t="s">
        <v>1863</v>
      </c>
      <c r="AA1377" t="s">
        <v>1749</v>
      </c>
      <c r="AB1377" t="s">
        <v>1362</v>
      </c>
      <c r="AC1377" t="s">
        <v>1750</v>
      </c>
      <c r="AD1377" t="s">
        <v>1364</v>
      </c>
      <c r="AE1377" t="s">
        <v>1751</v>
      </c>
      <c r="AF1377" t="s">
        <v>1863</v>
      </c>
      <c r="AG1377" t="s">
        <v>142</v>
      </c>
      <c r="AH1377" t="b">
        <v>0</v>
      </c>
    </row>
    <row r="1378" spans="1:34">
      <c r="A1378" t="s">
        <v>1863</v>
      </c>
      <c r="AA1378" t="s">
        <v>1752</v>
      </c>
      <c r="AB1378" t="s">
        <v>1362</v>
      </c>
      <c r="AC1378" t="s">
        <v>1753</v>
      </c>
      <c r="AD1378" t="s">
        <v>1364</v>
      </c>
      <c r="AE1378" t="s">
        <v>1562</v>
      </c>
      <c r="AF1378" t="s">
        <v>1863</v>
      </c>
      <c r="AG1378" t="s">
        <v>142</v>
      </c>
      <c r="AH1378" t="b">
        <v>0</v>
      </c>
    </row>
    <row r="1379" spans="1:34">
      <c r="A1379" t="s">
        <v>1863</v>
      </c>
      <c r="AA1379" t="s">
        <v>1754</v>
      </c>
      <c r="AB1379" t="s">
        <v>1362</v>
      </c>
      <c r="AC1379" t="s">
        <v>1755</v>
      </c>
      <c r="AD1379" t="s">
        <v>1364</v>
      </c>
      <c r="AE1379" t="s">
        <v>1756</v>
      </c>
      <c r="AF1379" t="s">
        <v>1863</v>
      </c>
      <c r="AG1379" t="s">
        <v>142</v>
      </c>
      <c r="AH1379" t="b">
        <v>0</v>
      </c>
    </row>
    <row r="1380" spans="1:34">
      <c r="A1380" t="s">
        <v>1863</v>
      </c>
      <c r="AA1380" t="s">
        <v>1757</v>
      </c>
      <c r="AB1380" t="s">
        <v>1362</v>
      </c>
      <c r="AC1380" t="s">
        <v>1758</v>
      </c>
      <c r="AD1380" t="s">
        <v>1382</v>
      </c>
      <c r="AE1380" t="s">
        <v>1423</v>
      </c>
      <c r="AF1380" t="s">
        <v>1863</v>
      </c>
      <c r="AG1380" t="s">
        <v>142</v>
      </c>
      <c r="AH1380" t="b">
        <v>0</v>
      </c>
    </row>
    <row r="1381" spans="1:34">
      <c r="A1381" t="s">
        <v>1863</v>
      </c>
      <c r="AA1381" t="s">
        <v>1759</v>
      </c>
      <c r="AB1381" t="s">
        <v>1362</v>
      </c>
      <c r="AC1381" t="s">
        <v>1760</v>
      </c>
      <c r="AD1381" t="s">
        <v>1382</v>
      </c>
      <c r="AE1381" t="s">
        <v>1490</v>
      </c>
      <c r="AF1381" t="s">
        <v>1863</v>
      </c>
      <c r="AG1381" t="s">
        <v>142</v>
      </c>
      <c r="AH1381" t="b">
        <v>0</v>
      </c>
    </row>
    <row r="1382" spans="1:34">
      <c r="A1382" t="s">
        <v>1863</v>
      </c>
      <c r="AA1382" t="s">
        <v>1761</v>
      </c>
      <c r="AB1382" t="s">
        <v>1362</v>
      </c>
      <c r="AC1382" t="s">
        <v>1762</v>
      </c>
      <c r="AD1382" t="s">
        <v>1364</v>
      </c>
      <c r="AE1382" t="s">
        <v>1763</v>
      </c>
      <c r="AF1382" t="s">
        <v>1863</v>
      </c>
      <c r="AG1382" t="s">
        <v>142</v>
      </c>
      <c r="AH1382" t="b">
        <v>0</v>
      </c>
    </row>
    <row r="1383" spans="1:34">
      <c r="A1383" t="s">
        <v>1863</v>
      </c>
      <c r="AA1383" t="s">
        <v>1764</v>
      </c>
      <c r="AB1383" t="s">
        <v>1362</v>
      </c>
      <c r="AC1383" t="s">
        <v>1765</v>
      </c>
      <c r="AD1383" t="s">
        <v>1364</v>
      </c>
      <c r="AE1383" t="s">
        <v>1766</v>
      </c>
      <c r="AF1383" t="s">
        <v>1863</v>
      </c>
      <c r="AG1383" t="s">
        <v>142</v>
      </c>
      <c r="AH1383" t="b">
        <v>0</v>
      </c>
    </row>
    <row r="1384" spans="1:34">
      <c r="A1384" t="s">
        <v>1863</v>
      </c>
      <c r="AA1384" t="s">
        <v>1767</v>
      </c>
      <c r="AB1384" t="s">
        <v>1462</v>
      </c>
      <c r="AC1384" t="s">
        <v>1768</v>
      </c>
      <c r="AD1384" t="s">
        <v>1464</v>
      </c>
      <c r="AE1384" t="s">
        <v>1379</v>
      </c>
      <c r="AF1384" t="s">
        <v>1863</v>
      </c>
      <c r="AG1384" t="s">
        <v>142</v>
      </c>
      <c r="AH1384" t="b">
        <v>0</v>
      </c>
    </row>
    <row r="1385" spans="1:34">
      <c r="A1385" t="s">
        <v>1863</v>
      </c>
      <c r="AA1385" t="s">
        <v>1769</v>
      </c>
      <c r="AB1385" t="s">
        <v>1362</v>
      </c>
      <c r="AC1385" t="s">
        <v>1770</v>
      </c>
      <c r="AD1385" t="s">
        <v>1364</v>
      </c>
      <c r="AE1385" t="s">
        <v>1588</v>
      </c>
      <c r="AF1385" t="s">
        <v>1863</v>
      </c>
      <c r="AG1385" t="s">
        <v>142</v>
      </c>
      <c r="AH1385" t="b">
        <v>0</v>
      </c>
    </row>
    <row r="1386" spans="1:34">
      <c r="A1386" t="s">
        <v>1863</v>
      </c>
      <c r="AA1386" t="s">
        <v>1771</v>
      </c>
      <c r="AB1386" t="s">
        <v>1362</v>
      </c>
      <c r="AC1386" t="s">
        <v>1772</v>
      </c>
      <c r="AD1386" t="s">
        <v>1364</v>
      </c>
      <c r="AE1386" t="s">
        <v>1694</v>
      </c>
      <c r="AF1386" t="s">
        <v>1863</v>
      </c>
      <c r="AG1386" t="s">
        <v>142</v>
      </c>
      <c r="AH1386" t="b">
        <v>0</v>
      </c>
    </row>
    <row r="1387" spans="1:34">
      <c r="A1387" t="s">
        <v>1863</v>
      </c>
      <c r="AA1387" t="s">
        <v>1773</v>
      </c>
      <c r="AB1387" t="s">
        <v>1462</v>
      </c>
      <c r="AC1387" t="s">
        <v>1774</v>
      </c>
      <c r="AD1387" t="s">
        <v>1464</v>
      </c>
      <c r="AE1387" t="s">
        <v>1591</v>
      </c>
      <c r="AF1387" t="s">
        <v>1863</v>
      </c>
      <c r="AG1387" t="s">
        <v>142</v>
      </c>
      <c r="AH1387" t="b">
        <v>0</v>
      </c>
    </row>
    <row r="1388" spans="1:34">
      <c r="A1388" t="s">
        <v>1863</v>
      </c>
      <c r="AA1388" t="s">
        <v>1775</v>
      </c>
      <c r="AB1388" t="s">
        <v>1362</v>
      </c>
      <c r="AC1388" t="s">
        <v>1776</v>
      </c>
      <c r="AD1388" t="s">
        <v>1382</v>
      </c>
      <c r="AE1388" t="s">
        <v>1657</v>
      </c>
      <c r="AF1388" t="s">
        <v>1863</v>
      </c>
      <c r="AG1388" t="s">
        <v>142</v>
      </c>
      <c r="AH1388" t="b">
        <v>0</v>
      </c>
    </row>
    <row r="1389" spans="1:34">
      <c r="A1389" t="s">
        <v>1863</v>
      </c>
      <c r="AA1389" t="s">
        <v>1777</v>
      </c>
      <c r="AB1389" t="s">
        <v>1362</v>
      </c>
      <c r="AC1389" t="s">
        <v>1778</v>
      </c>
      <c r="AD1389" t="s">
        <v>1364</v>
      </c>
      <c r="AE1389" t="s">
        <v>1379</v>
      </c>
      <c r="AF1389" t="s">
        <v>1863</v>
      </c>
      <c r="AG1389" t="s">
        <v>142</v>
      </c>
      <c r="AH1389" t="b">
        <v>0</v>
      </c>
    </row>
    <row r="1390" spans="1:34">
      <c r="A1390" t="s">
        <v>1863</v>
      </c>
      <c r="AA1390" t="s">
        <v>1779</v>
      </c>
      <c r="AB1390" t="s">
        <v>1362</v>
      </c>
      <c r="AC1390" t="s">
        <v>1780</v>
      </c>
      <c r="AD1390" t="s">
        <v>1364</v>
      </c>
      <c r="AE1390" t="s">
        <v>1426</v>
      </c>
      <c r="AF1390" t="s">
        <v>1863</v>
      </c>
      <c r="AG1390" t="s">
        <v>142</v>
      </c>
      <c r="AH1390" t="b">
        <v>0</v>
      </c>
    </row>
    <row r="1391" spans="1:34">
      <c r="A1391" t="s">
        <v>1863</v>
      </c>
      <c r="AA1391" t="s">
        <v>1781</v>
      </c>
      <c r="AB1391" t="s">
        <v>1362</v>
      </c>
      <c r="AC1391" t="s">
        <v>1782</v>
      </c>
      <c r="AD1391" t="s">
        <v>1364</v>
      </c>
      <c r="AE1391" t="s">
        <v>1783</v>
      </c>
      <c r="AF1391" t="s">
        <v>1863</v>
      </c>
      <c r="AG1391" t="s">
        <v>142</v>
      </c>
      <c r="AH1391" t="b">
        <v>0</v>
      </c>
    </row>
    <row r="1392" spans="1:34">
      <c r="A1392" t="s">
        <v>1863</v>
      </c>
      <c r="AA1392" t="s">
        <v>1784</v>
      </c>
      <c r="AB1392" t="s">
        <v>1462</v>
      </c>
      <c r="AC1392" t="s">
        <v>1785</v>
      </c>
      <c r="AD1392" t="s">
        <v>1464</v>
      </c>
      <c r="AE1392" t="s">
        <v>1786</v>
      </c>
      <c r="AF1392" t="s">
        <v>1863</v>
      </c>
      <c r="AG1392" t="s">
        <v>142</v>
      </c>
      <c r="AH1392" t="b">
        <v>0</v>
      </c>
    </row>
    <row r="1393" spans="1:34">
      <c r="A1393" t="s">
        <v>1863</v>
      </c>
      <c r="AA1393" t="s">
        <v>1787</v>
      </c>
      <c r="AB1393" t="s">
        <v>1362</v>
      </c>
      <c r="AC1393" t="s">
        <v>1788</v>
      </c>
      <c r="AD1393" t="s">
        <v>1364</v>
      </c>
      <c r="AE1393" t="s">
        <v>1499</v>
      </c>
      <c r="AF1393" t="s">
        <v>1863</v>
      </c>
      <c r="AG1393" t="s">
        <v>142</v>
      </c>
      <c r="AH1393" t="b">
        <v>0</v>
      </c>
    </row>
    <row r="1394" spans="1:34">
      <c r="A1394" t="s">
        <v>1863</v>
      </c>
      <c r="AA1394" t="s">
        <v>1789</v>
      </c>
      <c r="AB1394" t="s">
        <v>1362</v>
      </c>
      <c r="AC1394" t="s">
        <v>1790</v>
      </c>
      <c r="AD1394" t="s">
        <v>1364</v>
      </c>
      <c r="AE1394" t="s">
        <v>1630</v>
      </c>
      <c r="AF1394" t="s">
        <v>1863</v>
      </c>
      <c r="AG1394" t="s">
        <v>142</v>
      </c>
      <c r="AH1394" t="b">
        <v>0</v>
      </c>
    </row>
    <row r="1395" spans="1:34">
      <c r="A1395" t="s">
        <v>1863</v>
      </c>
      <c r="AA1395" t="s">
        <v>1791</v>
      </c>
      <c r="AB1395" t="s">
        <v>1362</v>
      </c>
      <c r="AC1395" t="s">
        <v>1792</v>
      </c>
      <c r="AD1395" t="s">
        <v>1364</v>
      </c>
      <c r="AE1395" t="s">
        <v>1793</v>
      </c>
      <c r="AF1395" t="s">
        <v>1863</v>
      </c>
      <c r="AG1395" t="s">
        <v>142</v>
      </c>
      <c r="AH1395" t="b">
        <v>0</v>
      </c>
    </row>
    <row r="1396" spans="1:34">
      <c r="A1396" t="s">
        <v>1863</v>
      </c>
      <c r="AA1396" t="s">
        <v>1794</v>
      </c>
      <c r="AB1396" t="s">
        <v>1362</v>
      </c>
      <c r="AC1396" t="s">
        <v>1795</v>
      </c>
      <c r="AD1396" t="s">
        <v>1364</v>
      </c>
      <c r="AE1396" t="s">
        <v>1796</v>
      </c>
      <c r="AF1396" t="s">
        <v>1863</v>
      </c>
      <c r="AG1396" t="s">
        <v>142</v>
      </c>
      <c r="AH1396" t="b">
        <v>0</v>
      </c>
    </row>
    <row r="1397" spans="1:34">
      <c r="A1397" t="s">
        <v>1863</v>
      </c>
      <c r="AA1397" t="s">
        <v>1797</v>
      </c>
      <c r="AB1397" t="s">
        <v>1362</v>
      </c>
      <c r="AC1397" t="s">
        <v>1798</v>
      </c>
      <c r="AD1397" t="s">
        <v>1382</v>
      </c>
      <c r="AE1397" t="s">
        <v>1383</v>
      </c>
      <c r="AF1397" t="s">
        <v>1863</v>
      </c>
      <c r="AG1397" t="s">
        <v>142</v>
      </c>
      <c r="AH1397" t="b">
        <v>0</v>
      </c>
    </row>
    <row r="1398" spans="1:34">
      <c r="A1398" t="s">
        <v>1863</v>
      </c>
      <c r="AA1398" t="s">
        <v>1799</v>
      </c>
      <c r="AB1398" t="s">
        <v>1362</v>
      </c>
      <c r="AC1398" t="s">
        <v>1800</v>
      </c>
      <c r="AD1398" t="s">
        <v>1364</v>
      </c>
      <c r="AE1398" t="s">
        <v>1373</v>
      </c>
      <c r="AF1398" t="s">
        <v>1863</v>
      </c>
      <c r="AG1398" t="s">
        <v>142</v>
      </c>
      <c r="AH1398" t="b">
        <v>0</v>
      </c>
    </row>
    <row r="1399" spans="1:34">
      <c r="A1399" t="s">
        <v>1863</v>
      </c>
      <c r="AA1399" t="s">
        <v>1801</v>
      </c>
      <c r="AB1399" t="s">
        <v>1362</v>
      </c>
      <c r="AC1399" t="s">
        <v>1802</v>
      </c>
      <c r="AD1399" t="s">
        <v>1364</v>
      </c>
      <c r="AE1399" t="s">
        <v>1694</v>
      </c>
      <c r="AF1399" t="s">
        <v>1863</v>
      </c>
      <c r="AG1399" t="s">
        <v>142</v>
      </c>
      <c r="AH1399" t="b">
        <v>0</v>
      </c>
    </row>
    <row r="1400" spans="1:34">
      <c r="A1400" t="s">
        <v>1863</v>
      </c>
      <c r="AA1400" t="s">
        <v>1803</v>
      </c>
      <c r="AB1400" t="s">
        <v>1362</v>
      </c>
      <c r="AC1400" t="s">
        <v>1804</v>
      </c>
      <c r="AD1400" t="s">
        <v>1382</v>
      </c>
      <c r="AE1400" t="s">
        <v>1454</v>
      </c>
      <c r="AF1400" t="s">
        <v>1863</v>
      </c>
      <c r="AG1400" t="s">
        <v>142</v>
      </c>
      <c r="AH1400" t="b">
        <v>0</v>
      </c>
    </row>
    <row r="1401" spans="1:34">
      <c r="A1401" t="s">
        <v>1863</v>
      </c>
      <c r="AA1401" t="s">
        <v>1805</v>
      </c>
      <c r="AB1401" t="s">
        <v>1362</v>
      </c>
      <c r="AC1401" t="s">
        <v>1806</v>
      </c>
      <c r="AD1401" t="s">
        <v>1459</v>
      </c>
      <c r="AE1401" t="s">
        <v>1666</v>
      </c>
      <c r="AF1401" t="s">
        <v>1863</v>
      </c>
      <c r="AG1401" t="s">
        <v>142</v>
      </c>
      <c r="AH1401" t="b">
        <v>0</v>
      </c>
    </row>
    <row r="1402" spans="1:34">
      <c r="A1402" t="s">
        <v>1863</v>
      </c>
      <c r="AA1402" t="s">
        <v>1807</v>
      </c>
      <c r="AB1402" t="s">
        <v>1362</v>
      </c>
      <c r="AC1402" t="s">
        <v>1808</v>
      </c>
      <c r="AE1402" t="s">
        <v>1809</v>
      </c>
      <c r="AF1402" t="s">
        <v>1863</v>
      </c>
      <c r="AG1402" t="s">
        <v>142</v>
      </c>
      <c r="AH1402" t="b">
        <v>0</v>
      </c>
    </row>
    <row r="1403" spans="1:34">
      <c r="A1403" t="s">
        <v>1863</v>
      </c>
      <c r="AA1403" t="s">
        <v>1810</v>
      </c>
      <c r="AB1403" t="s">
        <v>1462</v>
      </c>
      <c r="AC1403" t="s">
        <v>1811</v>
      </c>
      <c r="AD1403" t="s">
        <v>1464</v>
      </c>
      <c r="AE1403" t="s">
        <v>1812</v>
      </c>
      <c r="AF1403" t="s">
        <v>1863</v>
      </c>
      <c r="AG1403" t="s">
        <v>142</v>
      </c>
      <c r="AH1403" t="b">
        <v>0</v>
      </c>
    </row>
    <row r="1404" spans="1:34">
      <c r="A1404" t="s">
        <v>1863</v>
      </c>
      <c r="AA1404" t="s">
        <v>1813</v>
      </c>
      <c r="AB1404" t="s">
        <v>1362</v>
      </c>
      <c r="AC1404" t="s">
        <v>1814</v>
      </c>
      <c r="AD1404" t="s">
        <v>1364</v>
      </c>
      <c r="AE1404" t="s">
        <v>1815</v>
      </c>
      <c r="AF1404" t="s">
        <v>1863</v>
      </c>
      <c r="AG1404" t="s">
        <v>142</v>
      </c>
      <c r="AH1404" t="b">
        <v>0</v>
      </c>
    </row>
    <row r="1405" spans="1:34">
      <c r="A1405" t="s">
        <v>1863</v>
      </c>
      <c r="AA1405" t="s">
        <v>1816</v>
      </c>
      <c r="AB1405" t="s">
        <v>1362</v>
      </c>
      <c r="AC1405" t="s">
        <v>1817</v>
      </c>
      <c r="AD1405" t="s">
        <v>1382</v>
      </c>
      <c r="AE1405" t="s">
        <v>1383</v>
      </c>
      <c r="AF1405" t="s">
        <v>1863</v>
      </c>
      <c r="AG1405" t="s">
        <v>142</v>
      </c>
      <c r="AH1405" t="b">
        <v>0</v>
      </c>
    </row>
    <row r="1406" spans="1:34">
      <c r="A1406" t="s">
        <v>1863</v>
      </c>
      <c r="AA1406" t="s">
        <v>1818</v>
      </c>
      <c r="AB1406" t="s">
        <v>1367</v>
      </c>
      <c r="AC1406" t="s">
        <v>1819</v>
      </c>
      <c r="AD1406" t="s">
        <v>1369</v>
      </c>
      <c r="AE1406" t="s">
        <v>1630</v>
      </c>
      <c r="AF1406" t="s">
        <v>1863</v>
      </c>
      <c r="AG1406" t="s">
        <v>142</v>
      </c>
      <c r="AH1406" t="b">
        <v>0</v>
      </c>
    </row>
    <row r="1407" spans="1:34">
      <c r="A1407" t="s">
        <v>1863</v>
      </c>
      <c r="AA1407" t="s">
        <v>1820</v>
      </c>
      <c r="AB1407" t="s">
        <v>1362</v>
      </c>
      <c r="AC1407" t="s">
        <v>1821</v>
      </c>
      <c r="AF1407" t="s">
        <v>1863</v>
      </c>
      <c r="AG1407" t="s">
        <v>142</v>
      </c>
      <c r="AH1407" t="b">
        <v>0</v>
      </c>
    </row>
    <row r="1408" spans="1:34">
      <c r="A1408" t="s">
        <v>1863</v>
      </c>
      <c r="AA1408" t="s">
        <v>1822</v>
      </c>
      <c r="AB1408" t="s">
        <v>1362</v>
      </c>
      <c r="AC1408" t="s">
        <v>1823</v>
      </c>
      <c r="AD1408" t="s">
        <v>1364</v>
      </c>
      <c r="AE1408" t="s">
        <v>1824</v>
      </c>
      <c r="AF1408" t="s">
        <v>1863</v>
      </c>
      <c r="AG1408" t="s">
        <v>142</v>
      </c>
      <c r="AH1408" t="b">
        <v>0</v>
      </c>
    </row>
    <row r="1409" spans="1:34">
      <c r="A1409" t="s">
        <v>1863</v>
      </c>
      <c r="AA1409" t="s">
        <v>1825</v>
      </c>
      <c r="AB1409" t="s">
        <v>1362</v>
      </c>
      <c r="AC1409" t="s">
        <v>1826</v>
      </c>
      <c r="AD1409" t="s">
        <v>1382</v>
      </c>
      <c r="AE1409" t="s">
        <v>1827</v>
      </c>
      <c r="AF1409" t="s">
        <v>1863</v>
      </c>
      <c r="AG1409" t="s">
        <v>142</v>
      </c>
      <c r="AH1409" t="b">
        <v>0</v>
      </c>
    </row>
    <row r="1410" spans="1:34">
      <c r="A1410" t="s">
        <v>1863</v>
      </c>
      <c r="AA1410" t="s">
        <v>1828</v>
      </c>
      <c r="AB1410" t="s">
        <v>1362</v>
      </c>
      <c r="AC1410" t="s">
        <v>1829</v>
      </c>
      <c r="AD1410" t="s">
        <v>1382</v>
      </c>
      <c r="AE1410" t="s">
        <v>1830</v>
      </c>
      <c r="AF1410" t="s">
        <v>1863</v>
      </c>
      <c r="AG1410" t="s">
        <v>142</v>
      </c>
      <c r="AH1410" t="b">
        <v>0</v>
      </c>
    </row>
    <row r="1411" spans="1:34">
      <c r="A1411" t="s">
        <v>1863</v>
      </c>
      <c r="AA1411" t="s">
        <v>1831</v>
      </c>
      <c r="AB1411" t="s">
        <v>1362</v>
      </c>
      <c r="AC1411" t="s">
        <v>1832</v>
      </c>
      <c r="AD1411" t="s">
        <v>1407</v>
      </c>
      <c r="AE1411" t="s">
        <v>1554</v>
      </c>
      <c r="AF1411" t="s">
        <v>1863</v>
      </c>
      <c r="AG1411" t="s">
        <v>142</v>
      </c>
      <c r="AH1411" t="b">
        <v>0</v>
      </c>
    </row>
    <row r="1412" spans="1:34">
      <c r="A1412" t="s">
        <v>1863</v>
      </c>
      <c r="AA1412" t="s">
        <v>1833</v>
      </c>
      <c r="AB1412" t="s">
        <v>1362</v>
      </c>
      <c r="AC1412" t="s">
        <v>1834</v>
      </c>
      <c r="AD1412" t="s">
        <v>1364</v>
      </c>
      <c r="AE1412" t="s">
        <v>1835</v>
      </c>
      <c r="AF1412" t="s">
        <v>1863</v>
      </c>
      <c r="AG1412" t="s">
        <v>142</v>
      </c>
      <c r="AH1412" t="b">
        <v>0</v>
      </c>
    </row>
    <row r="1413" spans="1:34">
      <c r="A1413" t="s">
        <v>1863</v>
      </c>
      <c r="AA1413" t="s">
        <v>1836</v>
      </c>
      <c r="AB1413" t="s">
        <v>1362</v>
      </c>
      <c r="AC1413" t="s">
        <v>1837</v>
      </c>
      <c r="AD1413" t="s">
        <v>1364</v>
      </c>
      <c r="AE1413" t="s">
        <v>1677</v>
      </c>
      <c r="AF1413" t="s">
        <v>1863</v>
      </c>
      <c r="AG1413" t="s">
        <v>142</v>
      </c>
      <c r="AH1413" t="b">
        <v>0</v>
      </c>
    </row>
    <row r="1414" spans="1:34">
      <c r="A1414" t="s">
        <v>1863</v>
      </c>
      <c r="AA1414" t="s">
        <v>1838</v>
      </c>
      <c r="AB1414" t="s">
        <v>1362</v>
      </c>
      <c r="AC1414" t="s">
        <v>1839</v>
      </c>
      <c r="AD1414" t="s">
        <v>1364</v>
      </c>
      <c r="AE1414" t="s">
        <v>1454</v>
      </c>
      <c r="AF1414" t="s">
        <v>1863</v>
      </c>
      <c r="AG1414" t="s">
        <v>142</v>
      </c>
      <c r="AH1414" t="b">
        <v>0</v>
      </c>
    </row>
    <row r="1415" spans="1:34">
      <c r="A1415" t="s">
        <v>1863</v>
      </c>
      <c r="AA1415" t="s">
        <v>1840</v>
      </c>
      <c r="AB1415" t="s">
        <v>1362</v>
      </c>
      <c r="AC1415" t="s">
        <v>1841</v>
      </c>
      <c r="AD1415" t="s">
        <v>1382</v>
      </c>
      <c r="AE1415" t="s">
        <v>1383</v>
      </c>
      <c r="AF1415" t="s">
        <v>1863</v>
      </c>
      <c r="AG1415" t="s">
        <v>142</v>
      </c>
      <c r="AH1415" t="b">
        <v>0</v>
      </c>
    </row>
    <row r="1416" spans="1:34">
      <c r="A1416" t="s">
        <v>1863</v>
      </c>
      <c r="AA1416" t="s">
        <v>1842</v>
      </c>
      <c r="AB1416" t="s">
        <v>1362</v>
      </c>
      <c r="AC1416" t="s">
        <v>1843</v>
      </c>
      <c r="AD1416" t="s">
        <v>1364</v>
      </c>
      <c r="AE1416" t="s">
        <v>1454</v>
      </c>
      <c r="AF1416" t="s">
        <v>1863</v>
      </c>
      <c r="AG1416" t="s">
        <v>142</v>
      </c>
      <c r="AH1416" t="b">
        <v>0</v>
      </c>
    </row>
    <row r="1417" spans="1:34">
      <c r="A1417" t="s">
        <v>1863</v>
      </c>
      <c r="AA1417" t="s">
        <v>1844</v>
      </c>
      <c r="AB1417" t="s">
        <v>1362</v>
      </c>
      <c r="AC1417" t="s">
        <v>1845</v>
      </c>
      <c r="AD1417" t="s">
        <v>1364</v>
      </c>
      <c r="AE1417" t="s">
        <v>1423</v>
      </c>
      <c r="AF1417" t="s">
        <v>1863</v>
      </c>
      <c r="AG1417" t="s">
        <v>142</v>
      </c>
      <c r="AH1417" t="b">
        <v>0</v>
      </c>
    </row>
    <row r="1418" spans="1:34">
      <c r="A1418" t="s">
        <v>1863</v>
      </c>
      <c r="AA1418" t="s">
        <v>1846</v>
      </c>
      <c r="AB1418" t="s">
        <v>1362</v>
      </c>
      <c r="AC1418" t="s">
        <v>1847</v>
      </c>
      <c r="AD1418" t="s">
        <v>1848</v>
      </c>
      <c r="AE1418" t="s">
        <v>1401</v>
      </c>
      <c r="AF1418" t="s">
        <v>1863</v>
      </c>
      <c r="AG1418" t="s">
        <v>142</v>
      </c>
      <c r="AH1418" t="b">
        <v>0</v>
      </c>
    </row>
    <row r="1419" spans="1:34">
      <c r="A1419" t="s">
        <v>1864</v>
      </c>
      <c r="AA1419" t="s">
        <v>1680</v>
      </c>
      <c r="AB1419" t="s">
        <v>1362</v>
      </c>
      <c r="AC1419" t="s">
        <v>1681</v>
      </c>
      <c r="AD1419" t="s">
        <v>1364</v>
      </c>
      <c r="AE1419" t="s">
        <v>1682</v>
      </c>
      <c r="AF1419" t="s">
        <v>1864</v>
      </c>
      <c r="AG1419" t="s">
        <v>142</v>
      </c>
      <c r="AH1419" t="b">
        <v>0</v>
      </c>
    </row>
    <row r="1420" spans="1:34">
      <c r="A1420" t="s">
        <v>1864</v>
      </c>
      <c r="AA1420" t="s">
        <v>1421</v>
      </c>
      <c r="AB1420" t="s">
        <v>1362</v>
      </c>
      <c r="AC1420" t="s">
        <v>1422</v>
      </c>
      <c r="AD1420" t="s">
        <v>1382</v>
      </c>
      <c r="AE1420" t="s">
        <v>1423</v>
      </c>
      <c r="AF1420" t="s">
        <v>1864</v>
      </c>
      <c r="AG1420" t="s">
        <v>142</v>
      </c>
      <c r="AH1420" t="b">
        <v>0</v>
      </c>
    </row>
    <row r="1421" spans="1:34">
      <c r="A1421" t="s">
        <v>1864</v>
      </c>
      <c r="AA1421" t="s">
        <v>1757</v>
      </c>
      <c r="AB1421" t="s">
        <v>1362</v>
      </c>
      <c r="AC1421" t="s">
        <v>1758</v>
      </c>
      <c r="AD1421" t="s">
        <v>1382</v>
      </c>
      <c r="AE1421" t="s">
        <v>1423</v>
      </c>
      <c r="AF1421" t="s">
        <v>1864</v>
      </c>
      <c r="AG1421" t="s">
        <v>142</v>
      </c>
      <c r="AH1421" t="b">
        <v>0</v>
      </c>
    </row>
    <row r="1422" spans="1:34">
      <c r="A1422" t="s">
        <v>1864</v>
      </c>
      <c r="AA1422" t="s">
        <v>1833</v>
      </c>
      <c r="AB1422" t="s">
        <v>1362</v>
      </c>
      <c r="AC1422" t="s">
        <v>1834</v>
      </c>
      <c r="AD1422" t="s">
        <v>1364</v>
      </c>
      <c r="AE1422" t="s">
        <v>1835</v>
      </c>
      <c r="AF1422" t="s">
        <v>1864</v>
      </c>
      <c r="AG1422" t="s">
        <v>142</v>
      </c>
      <c r="AH1422" t="b">
        <v>0</v>
      </c>
    </row>
    <row r="1423" spans="1:34">
      <c r="A1423" t="s">
        <v>1864</v>
      </c>
      <c r="AA1423" t="s">
        <v>1844</v>
      </c>
      <c r="AB1423" t="s">
        <v>1362</v>
      </c>
      <c r="AC1423" t="s">
        <v>1845</v>
      </c>
      <c r="AD1423" t="s">
        <v>1364</v>
      </c>
      <c r="AE1423" t="s">
        <v>1423</v>
      </c>
      <c r="AF1423" t="s">
        <v>1864</v>
      </c>
      <c r="AG1423" t="s">
        <v>142</v>
      </c>
      <c r="AH1423" t="b">
        <v>0</v>
      </c>
    </row>
    <row r="1424" spans="1:34">
      <c r="A1424" t="s">
        <v>1864</v>
      </c>
      <c r="AA1424" t="s">
        <v>1452</v>
      </c>
      <c r="AB1424" t="s">
        <v>1362</v>
      </c>
      <c r="AC1424" t="s">
        <v>1453</v>
      </c>
      <c r="AD1424" t="s">
        <v>1364</v>
      </c>
      <c r="AE1424" t="s">
        <v>1454</v>
      </c>
      <c r="AF1424" t="s">
        <v>1864</v>
      </c>
      <c r="AG1424" t="s">
        <v>142</v>
      </c>
      <c r="AH1424" t="b">
        <v>0</v>
      </c>
    </row>
    <row r="1425" spans="1:34">
      <c r="A1425" t="s">
        <v>1864</v>
      </c>
      <c r="AA1425" t="s">
        <v>1538</v>
      </c>
      <c r="AB1425" t="s">
        <v>1462</v>
      </c>
      <c r="AC1425" t="s">
        <v>1539</v>
      </c>
      <c r="AD1425" t="s">
        <v>1464</v>
      </c>
      <c r="AE1425" t="s">
        <v>1454</v>
      </c>
      <c r="AF1425" t="s">
        <v>1864</v>
      </c>
      <c r="AG1425" t="s">
        <v>142</v>
      </c>
      <c r="AH1425" t="b">
        <v>0</v>
      </c>
    </row>
    <row r="1426" spans="1:34">
      <c r="A1426" t="s">
        <v>1864</v>
      </c>
      <c r="AA1426" t="s">
        <v>1724</v>
      </c>
      <c r="AB1426" t="s">
        <v>1362</v>
      </c>
      <c r="AC1426" t="s">
        <v>1725</v>
      </c>
      <c r="AD1426" t="s">
        <v>1364</v>
      </c>
      <c r="AE1426" t="s">
        <v>1454</v>
      </c>
      <c r="AF1426" t="s">
        <v>1864</v>
      </c>
      <c r="AG1426" t="s">
        <v>142</v>
      </c>
      <c r="AH1426" t="b">
        <v>0</v>
      </c>
    </row>
    <row r="1427" spans="1:34">
      <c r="A1427" t="s">
        <v>1864</v>
      </c>
      <c r="AA1427" t="s">
        <v>1803</v>
      </c>
      <c r="AB1427" t="s">
        <v>1362</v>
      </c>
      <c r="AC1427" t="s">
        <v>1804</v>
      </c>
      <c r="AD1427" t="s">
        <v>1382</v>
      </c>
      <c r="AE1427" t="s">
        <v>1454</v>
      </c>
      <c r="AF1427" t="s">
        <v>1864</v>
      </c>
      <c r="AG1427" t="s">
        <v>142</v>
      </c>
      <c r="AH1427" t="b">
        <v>0</v>
      </c>
    </row>
    <row r="1428" spans="1:34">
      <c r="A1428" t="s">
        <v>1864</v>
      </c>
      <c r="AA1428" t="s">
        <v>1838</v>
      </c>
      <c r="AB1428" t="s">
        <v>1362</v>
      </c>
      <c r="AC1428" t="s">
        <v>1839</v>
      </c>
      <c r="AD1428" t="s">
        <v>1364</v>
      </c>
      <c r="AE1428" t="s">
        <v>1454</v>
      </c>
      <c r="AF1428" t="s">
        <v>1864</v>
      </c>
      <c r="AG1428" t="s">
        <v>142</v>
      </c>
      <c r="AH1428" t="b">
        <v>0</v>
      </c>
    </row>
    <row r="1429" spans="1:34">
      <c r="A1429" t="s">
        <v>1864</v>
      </c>
      <c r="AA1429" t="s">
        <v>1842</v>
      </c>
      <c r="AB1429" t="s">
        <v>1362</v>
      </c>
      <c r="AC1429" t="s">
        <v>1843</v>
      </c>
      <c r="AD1429" t="s">
        <v>1364</v>
      </c>
      <c r="AE1429" t="s">
        <v>1454</v>
      </c>
      <c r="AF1429" t="s">
        <v>1864</v>
      </c>
      <c r="AG1429" t="s">
        <v>142</v>
      </c>
      <c r="AH1429" t="b">
        <v>0</v>
      </c>
    </row>
    <row r="1430" spans="1:34">
      <c r="A1430" t="s">
        <v>1864</v>
      </c>
      <c r="AA1430" t="s">
        <v>1620</v>
      </c>
      <c r="AB1430" t="s">
        <v>1362</v>
      </c>
      <c r="AC1430" t="s">
        <v>1621</v>
      </c>
      <c r="AD1430" t="s">
        <v>1364</v>
      </c>
      <c r="AE1430" t="s">
        <v>1622</v>
      </c>
      <c r="AF1430" t="s">
        <v>1864</v>
      </c>
      <c r="AG1430" t="s">
        <v>142</v>
      </c>
      <c r="AH1430" t="b">
        <v>0</v>
      </c>
    </row>
    <row r="1431" spans="1:34">
      <c r="A1431" t="s">
        <v>1864</v>
      </c>
      <c r="AA1431" t="s">
        <v>1688</v>
      </c>
      <c r="AB1431" t="s">
        <v>1362</v>
      </c>
      <c r="AC1431" t="s">
        <v>1689</v>
      </c>
      <c r="AD1431" t="s">
        <v>1364</v>
      </c>
      <c r="AE1431" t="s">
        <v>1622</v>
      </c>
      <c r="AF1431" t="s">
        <v>1864</v>
      </c>
      <c r="AG1431" t="s">
        <v>142</v>
      </c>
      <c r="AH1431" t="b">
        <v>0</v>
      </c>
    </row>
    <row r="1432" spans="1:34">
      <c r="A1432" t="s">
        <v>1864</v>
      </c>
      <c r="AA1432" t="s">
        <v>1500</v>
      </c>
      <c r="AB1432" t="s">
        <v>1362</v>
      </c>
      <c r="AC1432" t="s">
        <v>1501</v>
      </c>
      <c r="AD1432" t="s">
        <v>1364</v>
      </c>
      <c r="AE1432" t="s">
        <v>1502</v>
      </c>
      <c r="AF1432" t="s">
        <v>1864</v>
      </c>
      <c r="AG1432" t="s">
        <v>142</v>
      </c>
      <c r="AH1432" t="b">
        <v>0</v>
      </c>
    </row>
    <row r="1433" spans="1:34">
      <c r="A1433" t="s">
        <v>1864</v>
      </c>
      <c r="AA1433" t="s">
        <v>42</v>
      </c>
      <c r="AB1433" t="s">
        <v>1362</v>
      </c>
      <c r="AC1433" t="s">
        <v>1650</v>
      </c>
      <c r="AD1433" t="s">
        <v>1364</v>
      </c>
      <c r="AE1433" t="s">
        <v>1651</v>
      </c>
      <c r="AF1433" t="s">
        <v>1864</v>
      </c>
      <c r="AG1433" t="s">
        <v>142</v>
      </c>
      <c r="AH1433" t="b">
        <v>0</v>
      </c>
    </row>
    <row r="1434" spans="1:34">
      <c r="A1434" t="s">
        <v>1864</v>
      </c>
      <c r="AA1434" t="s">
        <v>1749</v>
      </c>
      <c r="AB1434" t="s">
        <v>1362</v>
      </c>
      <c r="AC1434" t="s">
        <v>1750</v>
      </c>
      <c r="AD1434" t="s">
        <v>1364</v>
      </c>
      <c r="AE1434" t="s">
        <v>1751</v>
      </c>
      <c r="AF1434" t="s">
        <v>1864</v>
      </c>
      <c r="AG1434" t="s">
        <v>142</v>
      </c>
      <c r="AH1434" t="b">
        <v>0</v>
      </c>
    </row>
    <row r="1435" spans="1:34">
      <c r="A1435" t="s">
        <v>1864</v>
      </c>
      <c r="AA1435" t="s">
        <v>1444</v>
      </c>
      <c r="AB1435" t="s">
        <v>1362</v>
      </c>
      <c r="AC1435" t="s">
        <v>1445</v>
      </c>
      <c r="AD1435" t="s">
        <v>1382</v>
      </c>
      <c r="AE1435" t="s">
        <v>1446</v>
      </c>
      <c r="AF1435" t="s">
        <v>1864</v>
      </c>
      <c r="AG1435" t="s">
        <v>142</v>
      </c>
      <c r="AH1435" t="b">
        <v>0</v>
      </c>
    </row>
    <row r="1436" spans="1:34">
      <c r="A1436" t="s">
        <v>1864</v>
      </c>
      <c r="AA1436" t="s">
        <v>1514</v>
      </c>
      <c r="AB1436" t="s">
        <v>1362</v>
      </c>
      <c r="AC1436" t="s">
        <v>1515</v>
      </c>
      <c r="AD1436" t="s">
        <v>1382</v>
      </c>
      <c r="AE1436" t="s">
        <v>1392</v>
      </c>
      <c r="AF1436" t="s">
        <v>1864</v>
      </c>
      <c r="AG1436" t="s">
        <v>142</v>
      </c>
      <c r="AH1436" t="b">
        <v>0</v>
      </c>
    </row>
    <row r="1437" spans="1:34">
      <c r="A1437" t="s">
        <v>1865</v>
      </c>
      <c r="AA1437" t="s">
        <v>1805</v>
      </c>
      <c r="AB1437" t="s">
        <v>1362</v>
      </c>
      <c r="AC1437" t="s">
        <v>1806</v>
      </c>
      <c r="AD1437" t="s">
        <v>1459</v>
      </c>
      <c r="AE1437" t="s">
        <v>1666</v>
      </c>
      <c r="AF1437" t="s">
        <v>1865</v>
      </c>
      <c r="AG1437" t="s">
        <v>142</v>
      </c>
      <c r="AH1437" t="b">
        <v>0</v>
      </c>
    </row>
    <row r="1438" spans="1:34">
      <c r="A1438" t="s">
        <v>1865</v>
      </c>
      <c r="AA1438" t="s">
        <v>1417</v>
      </c>
      <c r="AB1438" t="s">
        <v>1362</v>
      </c>
      <c r="AC1438" t="s">
        <v>1418</v>
      </c>
      <c r="AD1438" t="s">
        <v>1419</v>
      </c>
      <c r="AE1438" t="s">
        <v>1420</v>
      </c>
      <c r="AF1438" t="s">
        <v>1865</v>
      </c>
      <c r="AG1438" t="s">
        <v>142</v>
      </c>
      <c r="AH1438" t="b">
        <v>0</v>
      </c>
    </row>
    <row r="1439" spans="1:34">
      <c r="A1439" t="s">
        <v>1865</v>
      </c>
      <c r="AA1439" t="s">
        <v>1442</v>
      </c>
      <c r="AB1439" t="s">
        <v>1362</v>
      </c>
      <c r="AC1439" t="s">
        <v>1443</v>
      </c>
      <c r="AD1439" t="s">
        <v>1419</v>
      </c>
      <c r="AE1439" t="s">
        <v>1420</v>
      </c>
      <c r="AF1439" t="s">
        <v>1865</v>
      </c>
      <c r="AG1439" t="s">
        <v>142</v>
      </c>
      <c r="AH1439" t="b">
        <v>0</v>
      </c>
    </row>
    <row r="1440" spans="1:34">
      <c r="A1440" t="s">
        <v>1865</v>
      </c>
      <c r="AA1440" t="s">
        <v>1609</v>
      </c>
      <c r="AB1440" t="s">
        <v>1362</v>
      </c>
      <c r="AC1440" t="s">
        <v>1610</v>
      </c>
      <c r="AD1440" t="s">
        <v>1459</v>
      </c>
      <c r="AE1440" t="s">
        <v>1420</v>
      </c>
      <c r="AF1440" t="s">
        <v>1865</v>
      </c>
      <c r="AG1440" t="s">
        <v>142</v>
      </c>
      <c r="AH1440" t="b">
        <v>0</v>
      </c>
    </row>
    <row r="1441" spans="1:34">
      <c r="A1441" t="s">
        <v>1865</v>
      </c>
      <c r="AA1441" t="s">
        <v>41</v>
      </c>
      <c r="AB1441" t="s">
        <v>1362</v>
      </c>
      <c r="AC1441" t="s">
        <v>1674</v>
      </c>
      <c r="AD1441" t="s">
        <v>1459</v>
      </c>
      <c r="AE1441" t="s">
        <v>1420</v>
      </c>
      <c r="AF1441" t="s">
        <v>1865</v>
      </c>
      <c r="AG1441" t="s">
        <v>142</v>
      </c>
      <c r="AH1441" t="b">
        <v>0</v>
      </c>
    </row>
    <row r="1442" spans="1:34">
      <c r="A1442" t="s">
        <v>1865</v>
      </c>
      <c r="AA1442" t="s">
        <v>1716</v>
      </c>
      <c r="AB1442" t="s">
        <v>1362</v>
      </c>
      <c r="AC1442" t="s">
        <v>1717</v>
      </c>
      <c r="AD1442" t="s">
        <v>1459</v>
      </c>
      <c r="AE1442" t="s">
        <v>1420</v>
      </c>
      <c r="AF1442" t="s">
        <v>1865</v>
      </c>
      <c r="AG1442" t="s">
        <v>142</v>
      </c>
      <c r="AH1442" t="b">
        <v>0</v>
      </c>
    </row>
    <row r="1443" spans="1:34">
      <c r="A1443" t="s">
        <v>1865</v>
      </c>
      <c r="AA1443" t="s">
        <v>1516</v>
      </c>
      <c r="AB1443" t="s">
        <v>1462</v>
      </c>
      <c r="AC1443" t="s">
        <v>1517</v>
      </c>
      <c r="AD1443" t="s">
        <v>1464</v>
      </c>
      <c r="AE1443" t="s">
        <v>1518</v>
      </c>
      <c r="AF1443" t="s">
        <v>1865</v>
      </c>
      <c r="AG1443" t="s">
        <v>142</v>
      </c>
      <c r="AH1443" t="b">
        <v>0</v>
      </c>
    </row>
    <row r="1444" spans="1:34">
      <c r="A1444" t="s">
        <v>1865</v>
      </c>
      <c r="AA1444" t="s">
        <v>17</v>
      </c>
      <c r="AB1444" t="s">
        <v>1362</v>
      </c>
      <c r="AC1444" t="s">
        <v>1458</v>
      </c>
      <c r="AD1444" t="s">
        <v>1459</v>
      </c>
      <c r="AE1444" t="s">
        <v>1460</v>
      </c>
      <c r="AF1444" t="s">
        <v>1865</v>
      </c>
      <c r="AG1444" t="s">
        <v>142</v>
      </c>
      <c r="AH1444" t="b">
        <v>0</v>
      </c>
    </row>
    <row r="1445" spans="1:34">
      <c r="A1445" t="s">
        <v>1865</v>
      </c>
      <c r="AA1445" t="s">
        <v>1647</v>
      </c>
      <c r="AB1445" t="s">
        <v>1462</v>
      </c>
      <c r="AC1445" t="s">
        <v>1648</v>
      </c>
      <c r="AD1445" t="s">
        <v>1464</v>
      </c>
      <c r="AE1445" t="s">
        <v>1649</v>
      </c>
      <c r="AF1445" t="s">
        <v>1865</v>
      </c>
      <c r="AG1445" t="s">
        <v>142</v>
      </c>
      <c r="AH1445" t="b">
        <v>0</v>
      </c>
    </row>
    <row r="1446" spans="1:34">
      <c r="A1446" t="s">
        <v>1865</v>
      </c>
      <c r="AA1446" t="s">
        <v>1473</v>
      </c>
      <c r="AB1446" t="s">
        <v>1362</v>
      </c>
      <c r="AC1446" t="s">
        <v>1474</v>
      </c>
      <c r="AD1446" t="s">
        <v>1364</v>
      </c>
      <c r="AE1446" t="s">
        <v>1475</v>
      </c>
      <c r="AF1446" t="s">
        <v>1865</v>
      </c>
      <c r="AG1446" t="s">
        <v>142</v>
      </c>
      <c r="AH1446" t="b">
        <v>0</v>
      </c>
    </row>
    <row r="1447" spans="1:34">
      <c r="A1447" t="s">
        <v>1865</v>
      </c>
      <c r="AA1447" t="s">
        <v>1611</v>
      </c>
      <c r="AB1447" t="s">
        <v>1362</v>
      </c>
      <c r="AC1447" t="s">
        <v>1612</v>
      </c>
      <c r="AD1447" t="s">
        <v>1364</v>
      </c>
      <c r="AE1447" t="s">
        <v>1613</v>
      </c>
      <c r="AF1447" t="s">
        <v>1865</v>
      </c>
      <c r="AG1447" t="s">
        <v>142</v>
      </c>
      <c r="AH1447" t="b">
        <v>0</v>
      </c>
    </row>
    <row r="1448" spans="1:34">
      <c r="A1448" t="s">
        <v>1865</v>
      </c>
      <c r="AA1448" t="s">
        <v>1444</v>
      </c>
      <c r="AB1448" t="s">
        <v>1362</v>
      </c>
      <c r="AC1448" t="s">
        <v>1445</v>
      </c>
      <c r="AD1448" t="s">
        <v>1382</v>
      </c>
      <c r="AE1448" t="s">
        <v>1446</v>
      </c>
      <c r="AF1448" t="s">
        <v>1865</v>
      </c>
      <c r="AG1448" t="s">
        <v>142</v>
      </c>
      <c r="AH1448" t="b">
        <v>0</v>
      </c>
    </row>
    <row r="1449" spans="1:34">
      <c r="A1449" t="s">
        <v>1866</v>
      </c>
      <c r="AF1449" t="s">
        <v>1866</v>
      </c>
      <c r="AG1449" t="s">
        <v>142</v>
      </c>
      <c r="AH1449" t="b">
        <v>0</v>
      </c>
    </row>
    <row r="1450" spans="1:34">
      <c r="A1450" t="s">
        <v>1866</v>
      </c>
      <c r="AF1450" t="s">
        <v>1866</v>
      </c>
      <c r="AG1450" t="s">
        <v>142</v>
      </c>
      <c r="AH1450" t="b">
        <v>0</v>
      </c>
    </row>
    <row r="1451" spans="1:34">
      <c r="A1451" t="s">
        <v>1867</v>
      </c>
      <c r="AA1451" t="s">
        <v>1805</v>
      </c>
      <c r="AB1451" t="s">
        <v>1362</v>
      </c>
      <c r="AD1451" t="s">
        <v>1459</v>
      </c>
      <c r="AE1451" t="s">
        <v>1666</v>
      </c>
      <c r="AF1451" t="s">
        <v>1867</v>
      </c>
      <c r="AG1451" t="s">
        <v>142</v>
      </c>
      <c r="AH1451" t="b">
        <v>0</v>
      </c>
    </row>
    <row r="1452" spans="1:34">
      <c r="A1452" t="s">
        <v>1867</v>
      </c>
      <c r="AA1452" t="s">
        <v>1417</v>
      </c>
      <c r="AB1452" t="s">
        <v>1362</v>
      </c>
      <c r="AD1452" t="s">
        <v>1419</v>
      </c>
      <c r="AE1452" t="s">
        <v>1420</v>
      </c>
      <c r="AF1452" t="s">
        <v>1867</v>
      </c>
      <c r="AG1452" t="s">
        <v>142</v>
      </c>
      <c r="AH1452" t="b">
        <v>0</v>
      </c>
    </row>
    <row r="1453" spans="1:34">
      <c r="A1453" t="s">
        <v>1867</v>
      </c>
      <c r="AA1453" t="s">
        <v>1442</v>
      </c>
      <c r="AB1453" t="s">
        <v>1362</v>
      </c>
      <c r="AD1453" t="s">
        <v>1419</v>
      </c>
      <c r="AE1453" t="s">
        <v>1420</v>
      </c>
      <c r="AF1453" t="s">
        <v>1867</v>
      </c>
      <c r="AG1453" t="s">
        <v>142</v>
      </c>
      <c r="AH1453" t="b">
        <v>0</v>
      </c>
    </row>
    <row r="1454" spans="1:34">
      <c r="A1454" t="s">
        <v>1867</v>
      </c>
      <c r="AA1454" t="s">
        <v>1609</v>
      </c>
      <c r="AB1454" t="s">
        <v>1362</v>
      </c>
      <c r="AD1454" t="s">
        <v>1459</v>
      </c>
      <c r="AE1454" t="s">
        <v>1420</v>
      </c>
      <c r="AF1454" t="s">
        <v>1867</v>
      </c>
      <c r="AG1454" t="s">
        <v>142</v>
      </c>
      <c r="AH1454" t="b">
        <v>0</v>
      </c>
    </row>
    <row r="1455" spans="1:34">
      <c r="A1455" t="s">
        <v>1867</v>
      </c>
      <c r="AA1455" t="s">
        <v>41</v>
      </c>
      <c r="AB1455" t="s">
        <v>1362</v>
      </c>
      <c r="AD1455" t="s">
        <v>1459</v>
      </c>
      <c r="AE1455" t="s">
        <v>1420</v>
      </c>
      <c r="AF1455" t="s">
        <v>1867</v>
      </c>
      <c r="AG1455" t="s">
        <v>142</v>
      </c>
      <c r="AH1455" t="b">
        <v>0</v>
      </c>
    </row>
    <row r="1456" spans="1:34">
      <c r="A1456" t="s">
        <v>1867</v>
      </c>
      <c r="AA1456" t="s">
        <v>1716</v>
      </c>
      <c r="AB1456" t="s">
        <v>1362</v>
      </c>
      <c r="AD1456" t="s">
        <v>1459</v>
      </c>
      <c r="AE1456" t="s">
        <v>1420</v>
      </c>
      <c r="AF1456" t="s">
        <v>1867</v>
      </c>
      <c r="AG1456" t="s">
        <v>142</v>
      </c>
      <c r="AH1456" t="b">
        <v>0</v>
      </c>
    </row>
    <row r="1457" spans="1:34">
      <c r="A1457" t="s">
        <v>1867</v>
      </c>
      <c r="AA1457" t="s">
        <v>1516</v>
      </c>
      <c r="AB1457" t="s">
        <v>1462</v>
      </c>
      <c r="AD1457" t="s">
        <v>1464</v>
      </c>
      <c r="AE1457" t="s">
        <v>1518</v>
      </c>
      <c r="AF1457" t="s">
        <v>1867</v>
      </c>
      <c r="AG1457" t="s">
        <v>142</v>
      </c>
      <c r="AH1457" t="b">
        <v>0</v>
      </c>
    </row>
    <row r="1458" spans="1:34">
      <c r="A1458" t="s">
        <v>1867</v>
      </c>
      <c r="AA1458" t="s">
        <v>17</v>
      </c>
      <c r="AB1458" t="s">
        <v>1362</v>
      </c>
      <c r="AD1458" t="s">
        <v>1459</v>
      </c>
      <c r="AE1458" t="s">
        <v>1460</v>
      </c>
      <c r="AF1458" t="s">
        <v>1867</v>
      </c>
      <c r="AG1458" t="s">
        <v>142</v>
      </c>
      <c r="AH1458" t="b">
        <v>0</v>
      </c>
    </row>
    <row r="1459" spans="1:34">
      <c r="A1459" t="s">
        <v>1867</v>
      </c>
      <c r="AA1459" t="s">
        <v>1647</v>
      </c>
      <c r="AB1459" t="s">
        <v>1462</v>
      </c>
      <c r="AD1459" t="s">
        <v>1464</v>
      </c>
      <c r="AE1459" t="s">
        <v>1649</v>
      </c>
      <c r="AF1459" t="s">
        <v>1867</v>
      </c>
      <c r="AG1459" t="s">
        <v>142</v>
      </c>
      <c r="AH1459" t="b">
        <v>0</v>
      </c>
    </row>
    <row r="1460" spans="1:34">
      <c r="A1460" t="s">
        <v>1867</v>
      </c>
      <c r="AA1460" t="s">
        <v>1473</v>
      </c>
      <c r="AB1460" t="s">
        <v>1362</v>
      </c>
      <c r="AD1460" t="s">
        <v>1364</v>
      </c>
      <c r="AE1460" t="s">
        <v>1475</v>
      </c>
      <c r="AF1460" t="s">
        <v>1867</v>
      </c>
      <c r="AG1460" t="s">
        <v>142</v>
      </c>
      <c r="AH1460" t="b">
        <v>0</v>
      </c>
    </row>
    <row r="1461" spans="1:34">
      <c r="A1461" t="s">
        <v>1867</v>
      </c>
      <c r="AA1461" t="s">
        <v>1611</v>
      </c>
      <c r="AB1461" t="s">
        <v>1362</v>
      </c>
      <c r="AD1461" t="s">
        <v>1364</v>
      </c>
      <c r="AE1461" t="s">
        <v>1613</v>
      </c>
      <c r="AF1461" t="s">
        <v>1867</v>
      </c>
      <c r="AG1461" t="s">
        <v>142</v>
      </c>
      <c r="AH1461" t="b">
        <v>0</v>
      </c>
    </row>
    <row r="1462" spans="1:34">
      <c r="A1462" t="s">
        <v>1867</v>
      </c>
      <c r="AA1462" t="s">
        <v>1444</v>
      </c>
      <c r="AB1462" t="s">
        <v>1362</v>
      </c>
      <c r="AD1462" t="s">
        <v>1382</v>
      </c>
      <c r="AE1462" t="s">
        <v>1446</v>
      </c>
      <c r="AF1462" t="s">
        <v>1867</v>
      </c>
      <c r="AG1462" t="s">
        <v>142</v>
      </c>
      <c r="AH1462" t="b">
        <v>0</v>
      </c>
    </row>
    <row r="1463" spans="1:34">
      <c r="A1463" t="s">
        <v>1868</v>
      </c>
      <c r="AF1463" t="s">
        <v>1868</v>
      </c>
      <c r="AG1463" t="s">
        <v>142</v>
      </c>
      <c r="AH1463" t="b">
        <v>0</v>
      </c>
    </row>
    <row r="1464" spans="1:34">
      <c r="A1464" t="s">
        <v>1868</v>
      </c>
      <c r="AF1464" t="s">
        <v>1868</v>
      </c>
      <c r="AG1464" t="s">
        <v>142</v>
      </c>
      <c r="AH1464" t="b">
        <v>0</v>
      </c>
    </row>
    <row r="1465" spans="1:34">
      <c r="A1465" t="s">
        <v>1868</v>
      </c>
      <c r="AF1465" t="s">
        <v>1868</v>
      </c>
      <c r="AG1465" t="s">
        <v>142</v>
      </c>
      <c r="AH1465" t="b">
        <v>0</v>
      </c>
    </row>
    <row r="1466" spans="1:34">
      <c r="A1466" t="s">
        <v>1868</v>
      </c>
      <c r="AF1466" t="s">
        <v>1868</v>
      </c>
      <c r="AG1466" t="s">
        <v>142</v>
      </c>
      <c r="AH1466" t="b">
        <v>0</v>
      </c>
    </row>
    <row r="1467" spans="1:34">
      <c r="A1467" t="s">
        <v>1869</v>
      </c>
      <c r="AA1467" t="s">
        <v>1680</v>
      </c>
      <c r="AB1467" t="s">
        <v>1362</v>
      </c>
      <c r="AD1467" t="s">
        <v>1364</v>
      </c>
      <c r="AE1467" t="s">
        <v>1682</v>
      </c>
      <c r="AF1467" t="s">
        <v>1869</v>
      </c>
      <c r="AG1467" t="s">
        <v>142</v>
      </c>
      <c r="AH1467" t="b">
        <v>0</v>
      </c>
    </row>
    <row r="1468" spans="1:34">
      <c r="A1468" t="s">
        <v>1869</v>
      </c>
      <c r="AA1468" t="s">
        <v>1421</v>
      </c>
      <c r="AB1468" t="s">
        <v>1362</v>
      </c>
      <c r="AD1468" t="s">
        <v>1382</v>
      </c>
      <c r="AE1468" t="s">
        <v>1423</v>
      </c>
      <c r="AF1468" t="s">
        <v>1869</v>
      </c>
      <c r="AG1468" t="s">
        <v>142</v>
      </c>
      <c r="AH1468" t="b">
        <v>0</v>
      </c>
    </row>
    <row r="1469" spans="1:34">
      <c r="A1469" t="s">
        <v>1869</v>
      </c>
      <c r="AA1469" t="s">
        <v>1757</v>
      </c>
      <c r="AB1469" t="s">
        <v>1362</v>
      </c>
      <c r="AD1469" t="s">
        <v>1382</v>
      </c>
      <c r="AE1469" t="s">
        <v>1423</v>
      </c>
      <c r="AF1469" t="s">
        <v>1869</v>
      </c>
      <c r="AG1469" t="s">
        <v>142</v>
      </c>
      <c r="AH1469" t="b">
        <v>0</v>
      </c>
    </row>
    <row r="1470" spans="1:34">
      <c r="A1470" t="s">
        <v>1869</v>
      </c>
      <c r="AA1470" t="s">
        <v>1833</v>
      </c>
      <c r="AB1470" t="s">
        <v>1362</v>
      </c>
      <c r="AD1470" t="s">
        <v>1364</v>
      </c>
      <c r="AE1470" t="s">
        <v>1835</v>
      </c>
      <c r="AF1470" t="s">
        <v>1869</v>
      </c>
      <c r="AG1470" t="s">
        <v>142</v>
      </c>
      <c r="AH1470" t="b">
        <v>0</v>
      </c>
    </row>
    <row r="1471" spans="1:34">
      <c r="A1471" t="s">
        <v>1869</v>
      </c>
      <c r="AA1471" t="s">
        <v>1844</v>
      </c>
      <c r="AB1471" t="s">
        <v>1362</v>
      </c>
      <c r="AD1471" t="s">
        <v>1364</v>
      </c>
      <c r="AE1471" t="s">
        <v>1423</v>
      </c>
      <c r="AF1471" t="s">
        <v>1869</v>
      </c>
      <c r="AG1471" t="s">
        <v>142</v>
      </c>
      <c r="AH1471" t="b">
        <v>0</v>
      </c>
    </row>
    <row r="1472" spans="1:34">
      <c r="A1472" t="s">
        <v>1869</v>
      </c>
      <c r="AA1472" t="s">
        <v>1452</v>
      </c>
      <c r="AB1472" t="s">
        <v>1362</v>
      </c>
      <c r="AD1472" t="s">
        <v>1364</v>
      </c>
      <c r="AE1472" t="s">
        <v>1454</v>
      </c>
      <c r="AF1472" t="s">
        <v>1869</v>
      </c>
      <c r="AG1472" t="s">
        <v>142</v>
      </c>
      <c r="AH1472" t="b">
        <v>0</v>
      </c>
    </row>
    <row r="1473" spans="1:34">
      <c r="A1473" t="s">
        <v>1869</v>
      </c>
      <c r="AA1473" t="s">
        <v>1538</v>
      </c>
      <c r="AB1473" t="s">
        <v>1462</v>
      </c>
      <c r="AD1473" t="s">
        <v>1464</v>
      </c>
      <c r="AE1473" t="s">
        <v>1454</v>
      </c>
      <c r="AF1473" t="s">
        <v>1869</v>
      </c>
      <c r="AG1473" t="s">
        <v>142</v>
      </c>
      <c r="AH1473" t="b">
        <v>0</v>
      </c>
    </row>
    <row r="1474" spans="1:34">
      <c r="A1474" t="s">
        <v>1869</v>
      </c>
      <c r="AA1474" t="s">
        <v>1724</v>
      </c>
      <c r="AB1474" t="s">
        <v>1362</v>
      </c>
      <c r="AD1474" t="s">
        <v>1364</v>
      </c>
      <c r="AE1474" t="s">
        <v>1454</v>
      </c>
      <c r="AF1474" t="s">
        <v>1869</v>
      </c>
      <c r="AG1474" t="s">
        <v>142</v>
      </c>
      <c r="AH1474" t="b">
        <v>0</v>
      </c>
    </row>
    <row r="1475" spans="1:34">
      <c r="A1475" t="s">
        <v>1869</v>
      </c>
      <c r="AA1475" t="s">
        <v>1803</v>
      </c>
      <c r="AB1475" t="s">
        <v>1362</v>
      </c>
      <c r="AD1475" t="s">
        <v>1382</v>
      </c>
      <c r="AE1475" t="s">
        <v>1454</v>
      </c>
      <c r="AF1475" t="s">
        <v>1869</v>
      </c>
      <c r="AG1475" t="s">
        <v>142</v>
      </c>
      <c r="AH1475" t="b">
        <v>0</v>
      </c>
    </row>
    <row r="1476" spans="1:34">
      <c r="A1476" t="s">
        <v>1869</v>
      </c>
      <c r="AA1476" t="s">
        <v>1838</v>
      </c>
      <c r="AB1476" t="s">
        <v>1362</v>
      </c>
      <c r="AD1476" t="s">
        <v>1364</v>
      </c>
      <c r="AE1476" t="s">
        <v>1454</v>
      </c>
      <c r="AF1476" t="s">
        <v>1869</v>
      </c>
      <c r="AG1476" t="s">
        <v>142</v>
      </c>
      <c r="AH1476" t="b">
        <v>0</v>
      </c>
    </row>
    <row r="1477" spans="1:34">
      <c r="A1477" t="s">
        <v>1869</v>
      </c>
      <c r="AA1477" t="s">
        <v>1842</v>
      </c>
      <c r="AB1477" t="s">
        <v>1362</v>
      </c>
      <c r="AD1477" t="s">
        <v>1364</v>
      </c>
      <c r="AE1477" t="s">
        <v>1454</v>
      </c>
      <c r="AF1477" t="s">
        <v>1869</v>
      </c>
      <c r="AG1477" t="s">
        <v>142</v>
      </c>
      <c r="AH1477" t="b">
        <v>0</v>
      </c>
    </row>
    <row r="1478" spans="1:34">
      <c r="A1478" t="s">
        <v>1869</v>
      </c>
      <c r="AA1478" t="s">
        <v>1620</v>
      </c>
      <c r="AB1478" t="s">
        <v>1362</v>
      </c>
      <c r="AD1478" t="s">
        <v>1364</v>
      </c>
      <c r="AE1478" t="s">
        <v>1622</v>
      </c>
      <c r="AF1478" t="s">
        <v>1869</v>
      </c>
      <c r="AG1478" t="s">
        <v>142</v>
      </c>
      <c r="AH1478" t="b">
        <v>0</v>
      </c>
    </row>
    <row r="1479" spans="1:34">
      <c r="A1479" t="s">
        <v>1869</v>
      </c>
      <c r="AA1479" t="s">
        <v>1688</v>
      </c>
      <c r="AB1479" t="s">
        <v>1362</v>
      </c>
      <c r="AD1479" t="s">
        <v>1364</v>
      </c>
      <c r="AE1479" t="s">
        <v>1622</v>
      </c>
      <c r="AF1479" t="s">
        <v>1869</v>
      </c>
      <c r="AG1479" t="s">
        <v>142</v>
      </c>
      <c r="AH1479" t="b">
        <v>0</v>
      </c>
    </row>
    <row r="1480" spans="1:34">
      <c r="A1480" t="s">
        <v>1869</v>
      </c>
      <c r="AA1480" t="s">
        <v>1500</v>
      </c>
      <c r="AB1480" t="s">
        <v>1362</v>
      </c>
      <c r="AD1480" t="s">
        <v>1364</v>
      </c>
      <c r="AE1480" t="s">
        <v>1502</v>
      </c>
      <c r="AF1480" t="s">
        <v>1869</v>
      </c>
      <c r="AG1480" t="s">
        <v>142</v>
      </c>
      <c r="AH1480" t="b">
        <v>0</v>
      </c>
    </row>
    <row r="1481" spans="1:34">
      <c r="A1481" t="s">
        <v>1869</v>
      </c>
      <c r="AA1481" t="s">
        <v>42</v>
      </c>
      <c r="AB1481" t="s">
        <v>1362</v>
      </c>
      <c r="AD1481" t="s">
        <v>1364</v>
      </c>
      <c r="AE1481" t="s">
        <v>1651</v>
      </c>
      <c r="AF1481" t="s">
        <v>1869</v>
      </c>
      <c r="AG1481" t="s">
        <v>142</v>
      </c>
      <c r="AH1481" t="b">
        <v>0</v>
      </c>
    </row>
    <row r="1482" spans="1:34">
      <c r="A1482" t="s">
        <v>1869</v>
      </c>
      <c r="AA1482" t="s">
        <v>1749</v>
      </c>
      <c r="AB1482" t="s">
        <v>1362</v>
      </c>
      <c r="AD1482" t="s">
        <v>1364</v>
      </c>
      <c r="AE1482" t="s">
        <v>1751</v>
      </c>
      <c r="AF1482" t="s">
        <v>1869</v>
      </c>
      <c r="AG1482" t="s">
        <v>142</v>
      </c>
      <c r="AH1482" t="b">
        <v>0</v>
      </c>
    </row>
    <row r="1483" spans="1:34">
      <c r="A1483" t="s">
        <v>1869</v>
      </c>
      <c r="AA1483" t="s">
        <v>1444</v>
      </c>
      <c r="AB1483" t="s">
        <v>1362</v>
      </c>
      <c r="AD1483" t="s">
        <v>1382</v>
      </c>
      <c r="AE1483" t="s">
        <v>1446</v>
      </c>
      <c r="AF1483" t="s">
        <v>1869</v>
      </c>
      <c r="AG1483" t="s">
        <v>142</v>
      </c>
      <c r="AH1483" t="b">
        <v>0</v>
      </c>
    </row>
    <row r="1484" spans="1:34">
      <c r="A1484" t="s">
        <v>1869</v>
      </c>
      <c r="AA1484" t="s">
        <v>1514</v>
      </c>
      <c r="AB1484" t="s">
        <v>1362</v>
      </c>
      <c r="AD1484" t="s">
        <v>1382</v>
      </c>
      <c r="AE1484" t="s">
        <v>1392</v>
      </c>
      <c r="AF1484" t="s">
        <v>1869</v>
      </c>
      <c r="AG1484" t="s">
        <v>142</v>
      </c>
      <c r="AH1484" t="b">
        <v>0</v>
      </c>
    </row>
    <row r="1485" spans="1:34">
      <c r="A1485" t="s">
        <v>1870</v>
      </c>
      <c r="AA1485" t="s">
        <v>1361</v>
      </c>
      <c r="AB1485" t="s">
        <v>1362</v>
      </c>
      <c r="AC1485" t="s">
        <v>1363</v>
      </c>
      <c r="AD1485" t="s">
        <v>1364</v>
      </c>
      <c r="AE1485" t="s">
        <v>1365</v>
      </c>
      <c r="AF1485" t="s">
        <v>1870</v>
      </c>
      <c r="AG1485" t="s">
        <v>142</v>
      </c>
      <c r="AH1485" t="b">
        <v>0</v>
      </c>
    </row>
    <row r="1486" spans="1:34">
      <c r="A1486" t="s">
        <v>1870</v>
      </c>
      <c r="AA1486" t="s">
        <v>1366</v>
      </c>
      <c r="AB1486" t="s">
        <v>1367</v>
      </c>
      <c r="AC1486" t="s">
        <v>1368</v>
      </c>
      <c r="AD1486" t="s">
        <v>1369</v>
      </c>
      <c r="AE1486" t="s">
        <v>1370</v>
      </c>
      <c r="AF1486" t="s">
        <v>1870</v>
      </c>
      <c r="AG1486" t="s">
        <v>142</v>
      </c>
      <c r="AH1486" t="b">
        <v>0</v>
      </c>
    </row>
    <row r="1487" spans="1:34">
      <c r="A1487" t="s">
        <v>1870</v>
      </c>
      <c r="AA1487" t="s">
        <v>1371</v>
      </c>
      <c r="AB1487" t="s">
        <v>1362</v>
      </c>
      <c r="AC1487" t="s">
        <v>1372</v>
      </c>
      <c r="AD1487" t="s">
        <v>1364</v>
      </c>
      <c r="AE1487" t="s">
        <v>1373</v>
      </c>
      <c r="AF1487" t="s">
        <v>1870</v>
      </c>
      <c r="AG1487" t="s">
        <v>142</v>
      </c>
      <c r="AH1487" t="b">
        <v>0</v>
      </c>
    </row>
    <row r="1488" spans="1:34">
      <c r="A1488" t="s">
        <v>1870</v>
      </c>
      <c r="AA1488" t="s">
        <v>1374</v>
      </c>
      <c r="AB1488" t="s">
        <v>1362</v>
      </c>
      <c r="AC1488" t="s">
        <v>1375</v>
      </c>
      <c r="AD1488" t="s">
        <v>1364</v>
      </c>
      <c r="AE1488" t="s">
        <v>1376</v>
      </c>
      <c r="AF1488" t="s">
        <v>1870</v>
      </c>
      <c r="AG1488" t="s">
        <v>142</v>
      </c>
      <c r="AH1488" t="b">
        <v>0</v>
      </c>
    </row>
    <row r="1489" spans="1:34">
      <c r="A1489" t="s">
        <v>1870</v>
      </c>
      <c r="AA1489" t="s">
        <v>1377</v>
      </c>
      <c r="AB1489" t="s">
        <v>1367</v>
      </c>
      <c r="AC1489" t="s">
        <v>1378</v>
      </c>
      <c r="AD1489" t="s">
        <v>1369</v>
      </c>
      <c r="AE1489" t="s">
        <v>1379</v>
      </c>
      <c r="AF1489" t="s">
        <v>1870</v>
      </c>
      <c r="AG1489" t="s">
        <v>142</v>
      </c>
      <c r="AH1489" t="b">
        <v>0</v>
      </c>
    </row>
    <row r="1490" spans="1:34">
      <c r="A1490" t="s">
        <v>1870</v>
      </c>
      <c r="AA1490" t="s">
        <v>1380</v>
      </c>
      <c r="AB1490" t="s">
        <v>1362</v>
      </c>
      <c r="AC1490" t="s">
        <v>1381</v>
      </c>
      <c r="AD1490" t="s">
        <v>1382</v>
      </c>
      <c r="AE1490" t="s">
        <v>1383</v>
      </c>
      <c r="AF1490" t="s">
        <v>1870</v>
      </c>
      <c r="AG1490" t="s">
        <v>142</v>
      </c>
      <c r="AH1490" t="b">
        <v>0</v>
      </c>
    </row>
    <row r="1491" spans="1:34">
      <c r="A1491" t="s">
        <v>1870</v>
      </c>
      <c r="AA1491" t="s">
        <v>1384</v>
      </c>
      <c r="AB1491" t="s">
        <v>1362</v>
      </c>
      <c r="AC1491" t="s">
        <v>1385</v>
      </c>
      <c r="AD1491" t="s">
        <v>1364</v>
      </c>
      <c r="AE1491" t="s">
        <v>1386</v>
      </c>
      <c r="AF1491" t="s">
        <v>1870</v>
      </c>
      <c r="AG1491" t="s">
        <v>142</v>
      </c>
      <c r="AH1491" t="b">
        <v>0</v>
      </c>
    </row>
    <row r="1492" spans="1:34">
      <c r="A1492" t="s">
        <v>1870</v>
      </c>
      <c r="AA1492" t="s">
        <v>1387</v>
      </c>
      <c r="AB1492" t="s">
        <v>1362</v>
      </c>
      <c r="AC1492" t="s">
        <v>1388</v>
      </c>
      <c r="AD1492" t="s">
        <v>1364</v>
      </c>
      <c r="AE1492" t="s">
        <v>1389</v>
      </c>
      <c r="AF1492" t="s">
        <v>1870</v>
      </c>
      <c r="AG1492" t="s">
        <v>142</v>
      </c>
      <c r="AH1492" t="b">
        <v>0</v>
      </c>
    </row>
    <row r="1493" spans="1:34">
      <c r="A1493" t="s">
        <v>1870</v>
      </c>
      <c r="AA1493" t="s">
        <v>1390</v>
      </c>
      <c r="AB1493" t="s">
        <v>1362</v>
      </c>
      <c r="AC1493" t="s">
        <v>1391</v>
      </c>
      <c r="AD1493" t="s">
        <v>1364</v>
      </c>
      <c r="AE1493" t="s">
        <v>1392</v>
      </c>
      <c r="AF1493" t="s">
        <v>1870</v>
      </c>
      <c r="AG1493" t="s">
        <v>142</v>
      </c>
      <c r="AH1493" t="b">
        <v>0</v>
      </c>
    </row>
    <row r="1494" spans="1:34">
      <c r="A1494" t="s">
        <v>1870</v>
      </c>
      <c r="AA1494" t="s">
        <v>1393</v>
      </c>
      <c r="AB1494" t="s">
        <v>1362</v>
      </c>
      <c r="AC1494" t="s">
        <v>1394</v>
      </c>
      <c r="AD1494" t="s">
        <v>1364</v>
      </c>
      <c r="AE1494" t="s">
        <v>1395</v>
      </c>
      <c r="AF1494" t="s">
        <v>1870</v>
      </c>
      <c r="AG1494" t="s">
        <v>142</v>
      </c>
      <c r="AH1494" t="b">
        <v>0</v>
      </c>
    </row>
    <row r="1495" spans="1:34">
      <c r="A1495" t="s">
        <v>1870</v>
      </c>
      <c r="AA1495" t="s">
        <v>1396</v>
      </c>
      <c r="AB1495" t="s">
        <v>1362</v>
      </c>
      <c r="AC1495" t="s">
        <v>1397</v>
      </c>
      <c r="AD1495" t="s">
        <v>1364</v>
      </c>
      <c r="AE1495" t="s">
        <v>1398</v>
      </c>
      <c r="AF1495" t="s">
        <v>1870</v>
      </c>
      <c r="AG1495" t="s">
        <v>142</v>
      </c>
      <c r="AH1495" t="b">
        <v>0</v>
      </c>
    </row>
    <row r="1496" spans="1:34">
      <c r="A1496" t="s">
        <v>1870</v>
      </c>
      <c r="AA1496" t="s">
        <v>1399</v>
      </c>
      <c r="AB1496" t="s">
        <v>1362</v>
      </c>
      <c r="AC1496" t="s">
        <v>1400</v>
      </c>
      <c r="AD1496" t="s">
        <v>1364</v>
      </c>
      <c r="AE1496" t="s">
        <v>1401</v>
      </c>
      <c r="AF1496" t="s">
        <v>1870</v>
      </c>
      <c r="AG1496" t="s">
        <v>142</v>
      </c>
      <c r="AH1496" t="b">
        <v>0</v>
      </c>
    </row>
    <row r="1497" spans="1:34">
      <c r="A1497" t="s">
        <v>1870</v>
      </c>
      <c r="AA1497" t="s">
        <v>1402</v>
      </c>
      <c r="AB1497" t="s">
        <v>1362</v>
      </c>
      <c r="AC1497" t="s">
        <v>1403</v>
      </c>
      <c r="AD1497" t="s">
        <v>1364</v>
      </c>
      <c r="AE1497" t="s">
        <v>1404</v>
      </c>
      <c r="AF1497" t="s">
        <v>1870</v>
      </c>
      <c r="AG1497" t="s">
        <v>142</v>
      </c>
      <c r="AH1497" t="b">
        <v>0</v>
      </c>
    </row>
    <row r="1498" spans="1:34">
      <c r="A1498" t="s">
        <v>1870</v>
      </c>
      <c r="AA1498" t="s">
        <v>1405</v>
      </c>
      <c r="AB1498" t="s">
        <v>1362</v>
      </c>
      <c r="AC1498" t="s">
        <v>1406</v>
      </c>
      <c r="AD1498" t="s">
        <v>1407</v>
      </c>
      <c r="AE1498" t="s">
        <v>1404</v>
      </c>
      <c r="AF1498" t="s">
        <v>1870</v>
      </c>
      <c r="AG1498" t="s">
        <v>142</v>
      </c>
      <c r="AH1498" t="b">
        <v>0</v>
      </c>
    </row>
    <row r="1499" spans="1:34">
      <c r="A1499" t="s">
        <v>1870</v>
      </c>
      <c r="AA1499" t="s">
        <v>1408</v>
      </c>
      <c r="AB1499" t="s">
        <v>1362</v>
      </c>
      <c r="AC1499" t="s">
        <v>1409</v>
      </c>
      <c r="AD1499" t="s">
        <v>1364</v>
      </c>
      <c r="AE1499" t="s">
        <v>1410</v>
      </c>
      <c r="AF1499" t="s">
        <v>1870</v>
      </c>
      <c r="AG1499" t="s">
        <v>142</v>
      </c>
      <c r="AH1499" t="b">
        <v>0</v>
      </c>
    </row>
    <row r="1500" spans="1:34">
      <c r="A1500" t="s">
        <v>1870</v>
      </c>
      <c r="AA1500" t="s">
        <v>1411</v>
      </c>
      <c r="AB1500" t="s">
        <v>1362</v>
      </c>
      <c r="AC1500" t="s">
        <v>1412</v>
      </c>
      <c r="AD1500" t="s">
        <v>1364</v>
      </c>
      <c r="AE1500" t="s">
        <v>1413</v>
      </c>
      <c r="AF1500" t="s">
        <v>1870</v>
      </c>
      <c r="AG1500" t="s">
        <v>142</v>
      </c>
      <c r="AH1500" t="b">
        <v>0</v>
      </c>
    </row>
    <row r="1501" spans="1:34">
      <c r="A1501" t="s">
        <v>1870</v>
      </c>
      <c r="AA1501" t="s">
        <v>1414</v>
      </c>
      <c r="AB1501" t="s">
        <v>1362</v>
      </c>
      <c r="AC1501" t="s">
        <v>1415</v>
      </c>
      <c r="AD1501" t="s">
        <v>1364</v>
      </c>
      <c r="AE1501" t="s">
        <v>1416</v>
      </c>
      <c r="AF1501" t="s">
        <v>1870</v>
      </c>
      <c r="AG1501" t="s">
        <v>142</v>
      </c>
      <c r="AH1501" t="b">
        <v>0</v>
      </c>
    </row>
    <row r="1502" spans="1:34">
      <c r="A1502" t="s">
        <v>1870</v>
      </c>
      <c r="AA1502" t="s">
        <v>1417</v>
      </c>
      <c r="AB1502" t="s">
        <v>1362</v>
      </c>
      <c r="AC1502" t="s">
        <v>1418</v>
      </c>
      <c r="AD1502" t="s">
        <v>1419</v>
      </c>
      <c r="AE1502" t="s">
        <v>1420</v>
      </c>
      <c r="AF1502" t="s">
        <v>1870</v>
      </c>
      <c r="AG1502" t="s">
        <v>142</v>
      </c>
      <c r="AH1502" t="b">
        <v>0</v>
      </c>
    </row>
    <row r="1503" spans="1:34">
      <c r="A1503" t="s">
        <v>1870</v>
      </c>
      <c r="AA1503" t="s">
        <v>1421</v>
      </c>
      <c r="AB1503" t="s">
        <v>1362</v>
      </c>
      <c r="AC1503" t="s">
        <v>1422</v>
      </c>
      <c r="AD1503" t="s">
        <v>1382</v>
      </c>
      <c r="AE1503" t="s">
        <v>1423</v>
      </c>
      <c r="AF1503" t="s">
        <v>1870</v>
      </c>
      <c r="AG1503" t="s">
        <v>142</v>
      </c>
      <c r="AH1503" t="b">
        <v>0</v>
      </c>
    </row>
    <row r="1504" spans="1:34">
      <c r="A1504" t="s">
        <v>1870</v>
      </c>
      <c r="AA1504" t="s">
        <v>1424</v>
      </c>
      <c r="AB1504" t="s">
        <v>1362</v>
      </c>
      <c r="AC1504" t="s">
        <v>1425</v>
      </c>
      <c r="AD1504" t="s">
        <v>1382</v>
      </c>
      <c r="AE1504" t="s">
        <v>1426</v>
      </c>
      <c r="AF1504" t="s">
        <v>1870</v>
      </c>
      <c r="AG1504" t="s">
        <v>142</v>
      </c>
      <c r="AH1504" t="b">
        <v>0</v>
      </c>
    </row>
    <row r="1505" spans="1:34">
      <c r="A1505" t="s">
        <v>1870</v>
      </c>
      <c r="AA1505" t="s">
        <v>1427</v>
      </c>
      <c r="AB1505" t="s">
        <v>1362</v>
      </c>
      <c r="AC1505" t="s">
        <v>1428</v>
      </c>
      <c r="AD1505" t="s">
        <v>1364</v>
      </c>
      <c r="AE1505" t="s">
        <v>1383</v>
      </c>
      <c r="AF1505" t="s">
        <v>1870</v>
      </c>
      <c r="AG1505" t="s">
        <v>142</v>
      </c>
      <c r="AH1505" t="b">
        <v>0</v>
      </c>
    </row>
    <row r="1506" spans="1:34">
      <c r="A1506" t="s">
        <v>1870</v>
      </c>
      <c r="AA1506" t="s">
        <v>1429</v>
      </c>
      <c r="AB1506" t="s">
        <v>1362</v>
      </c>
      <c r="AC1506" t="s">
        <v>1430</v>
      </c>
      <c r="AD1506" t="s">
        <v>1364</v>
      </c>
      <c r="AE1506" t="s">
        <v>1431</v>
      </c>
      <c r="AF1506" t="s">
        <v>1870</v>
      </c>
      <c r="AG1506" t="s">
        <v>142</v>
      </c>
      <c r="AH1506" t="b">
        <v>0</v>
      </c>
    </row>
    <row r="1507" spans="1:34">
      <c r="A1507" t="s">
        <v>1870</v>
      </c>
      <c r="AA1507" t="s">
        <v>1432</v>
      </c>
      <c r="AB1507" t="s">
        <v>1362</v>
      </c>
      <c r="AC1507" t="s">
        <v>1433</v>
      </c>
      <c r="AD1507" t="s">
        <v>1364</v>
      </c>
      <c r="AE1507" t="s">
        <v>1416</v>
      </c>
      <c r="AF1507" t="s">
        <v>1870</v>
      </c>
      <c r="AG1507" t="s">
        <v>142</v>
      </c>
      <c r="AH1507" t="b">
        <v>0</v>
      </c>
    </row>
    <row r="1508" spans="1:34">
      <c r="A1508" t="s">
        <v>1870</v>
      </c>
      <c r="AA1508" t="s">
        <v>1434</v>
      </c>
      <c r="AB1508" t="s">
        <v>1362</v>
      </c>
      <c r="AC1508" t="s">
        <v>1435</v>
      </c>
      <c r="AD1508" t="s">
        <v>1364</v>
      </c>
      <c r="AE1508" t="s">
        <v>1436</v>
      </c>
      <c r="AF1508" t="s">
        <v>1870</v>
      </c>
      <c r="AG1508" t="s">
        <v>142</v>
      </c>
      <c r="AH1508" t="b">
        <v>0</v>
      </c>
    </row>
    <row r="1509" spans="1:34">
      <c r="A1509" t="s">
        <v>1870</v>
      </c>
      <c r="AA1509" t="s">
        <v>1437</v>
      </c>
      <c r="AB1509" t="s">
        <v>1362</v>
      </c>
      <c r="AC1509" t="s">
        <v>1438</v>
      </c>
      <c r="AD1509" t="s">
        <v>1364</v>
      </c>
      <c r="AF1509" t="s">
        <v>1870</v>
      </c>
      <c r="AG1509" t="s">
        <v>142</v>
      </c>
      <c r="AH1509" t="b">
        <v>0</v>
      </c>
    </row>
    <row r="1510" spans="1:34">
      <c r="A1510" t="s">
        <v>1870</v>
      </c>
      <c r="AA1510" t="s">
        <v>1439</v>
      </c>
      <c r="AB1510" t="s">
        <v>1362</v>
      </c>
      <c r="AC1510" t="s">
        <v>1440</v>
      </c>
      <c r="AD1510" t="s">
        <v>1364</v>
      </c>
      <c r="AE1510" t="s">
        <v>1441</v>
      </c>
      <c r="AF1510" t="s">
        <v>1870</v>
      </c>
      <c r="AG1510" t="s">
        <v>142</v>
      </c>
      <c r="AH1510" t="b">
        <v>0</v>
      </c>
    </row>
    <row r="1511" spans="1:34">
      <c r="A1511" t="s">
        <v>1870</v>
      </c>
      <c r="AA1511" t="s">
        <v>1442</v>
      </c>
      <c r="AB1511" t="s">
        <v>1362</v>
      </c>
      <c r="AC1511" t="s">
        <v>1443</v>
      </c>
      <c r="AD1511" t="s">
        <v>1419</v>
      </c>
      <c r="AE1511" t="s">
        <v>1420</v>
      </c>
      <c r="AF1511" t="s">
        <v>1870</v>
      </c>
      <c r="AG1511" t="s">
        <v>142</v>
      </c>
      <c r="AH1511" t="b">
        <v>0</v>
      </c>
    </row>
    <row r="1512" spans="1:34">
      <c r="A1512" t="s">
        <v>1870</v>
      </c>
      <c r="AA1512" t="s">
        <v>1444</v>
      </c>
      <c r="AB1512" t="s">
        <v>1362</v>
      </c>
      <c r="AC1512" t="s">
        <v>1445</v>
      </c>
      <c r="AD1512" t="s">
        <v>1382</v>
      </c>
      <c r="AE1512" t="s">
        <v>1446</v>
      </c>
      <c r="AF1512" t="s">
        <v>1870</v>
      </c>
      <c r="AG1512" t="s">
        <v>142</v>
      </c>
      <c r="AH1512" t="b">
        <v>0</v>
      </c>
    </row>
    <row r="1513" spans="1:34">
      <c r="A1513" t="s">
        <v>1870</v>
      </c>
      <c r="AA1513" t="s">
        <v>1447</v>
      </c>
      <c r="AB1513" t="s">
        <v>1362</v>
      </c>
      <c r="AC1513" t="s">
        <v>1448</v>
      </c>
      <c r="AD1513" t="s">
        <v>1364</v>
      </c>
      <c r="AE1513" t="s">
        <v>1383</v>
      </c>
      <c r="AF1513" t="s">
        <v>1870</v>
      </c>
      <c r="AG1513" t="s">
        <v>142</v>
      </c>
      <c r="AH1513" t="b">
        <v>0</v>
      </c>
    </row>
    <row r="1514" spans="1:34">
      <c r="A1514" t="s">
        <v>1870</v>
      </c>
      <c r="AA1514" t="s">
        <v>1449</v>
      </c>
      <c r="AB1514" t="s">
        <v>1362</v>
      </c>
      <c r="AC1514" t="s">
        <v>1450</v>
      </c>
      <c r="AE1514" t="s">
        <v>1451</v>
      </c>
      <c r="AF1514" t="s">
        <v>1870</v>
      </c>
      <c r="AG1514" t="s">
        <v>142</v>
      </c>
      <c r="AH1514" t="b">
        <v>0</v>
      </c>
    </row>
    <row r="1515" spans="1:34">
      <c r="A1515" t="s">
        <v>1870</v>
      </c>
      <c r="AA1515" t="s">
        <v>1452</v>
      </c>
      <c r="AB1515" t="s">
        <v>1362</v>
      </c>
      <c r="AC1515" t="s">
        <v>1453</v>
      </c>
      <c r="AD1515" t="s">
        <v>1364</v>
      </c>
      <c r="AE1515" t="s">
        <v>1454</v>
      </c>
      <c r="AF1515" t="s">
        <v>1870</v>
      </c>
      <c r="AG1515" t="s">
        <v>142</v>
      </c>
      <c r="AH1515" t="b">
        <v>0</v>
      </c>
    </row>
    <row r="1516" spans="1:34">
      <c r="A1516" t="s">
        <v>1870</v>
      </c>
      <c r="AA1516" t="s">
        <v>1455</v>
      </c>
      <c r="AB1516" t="s">
        <v>1362</v>
      </c>
      <c r="AC1516" t="s">
        <v>1456</v>
      </c>
      <c r="AD1516" t="s">
        <v>1364</v>
      </c>
      <c r="AE1516" t="s">
        <v>1457</v>
      </c>
      <c r="AF1516" t="s">
        <v>1870</v>
      </c>
      <c r="AG1516" t="s">
        <v>142</v>
      </c>
      <c r="AH1516" t="b">
        <v>0</v>
      </c>
    </row>
    <row r="1517" spans="1:34">
      <c r="A1517" t="s">
        <v>1870</v>
      </c>
      <c r="AA1517" t="s">
        <v>17</v>
      </c>
      <c r="AB1517" t="s">
        <v>1362</v>
      </c>
      <c r="AC1517" t="s">
        <v>1458</v>
      </c>
      <c r="AD1517" t="s">
        <v>1459</v>
      </c>
      <c r="AE1517" t="s">
        <v>1460</v>
      </c>
      <c r="AF1517" t="s">
        <v>1870</v>
      </c>
      <c r="AG1517" t="s">
        <v>142</v>
      </c>
      <c r="AH1517" t="b">
        <v>0</v>
      </c>
    </row>
    <row r="1518" spans="1:34">
      <c r="A1518" t="s">
        <v>1870</v>
      </c>
      <c r="AA1518" t="s">
        <v>1461</v>
      </c>
      <c r="AB1518" t="s">
        <v>1462</v>
      </c>
      <c r="AC1518" t="s">
        <v>1463</v>
      </c>
      <c r="AD1518" t="s">
        <v>1464</v>
      </c>
      <c r="AF1518" t="s">
        <v>1870</v>
      </c>
      <c r="AG1518" t="s">
        <v>142</v>
      </c>
      <c r="AH1518" t="b">
        <v>0</v>
      </c>
    </row>
    <row r="1519" spans="1:34">
      <c r="A1519" t="s">
        <v>1870</v>
      </c>
      <c r="AA1519" t="s">
        <v>1465</v>
      </c>
      <c r="AB1519" t="s">
        <v>1362</v>
      </c>
      <c r="AC1519" t="s">
        <v>1466</v>
      </c>
      <c r="AE1519" t="s">
        <v>1467</v>
      </c>
      <c r="AF1519" t="s">
        <v>1870</v>
      </c>
      <c r="AG1519" t="s">
        <v>142</v>
      </c>
      <c r="AH1519" t="b">
        <v>0</v>
      </c>
    </row>
    <row r="1520" spans="1:34">
      <c r="A1520" t="s">
        <v>1870</v>
      </c>
      <c r="AA1520" t="s">
        <v>1468</v>
      </c>
      <c r="AB1520" t="s">
        <v>1462</v>
      </c>
      <c r="AC1520" t="s">
        <v>1469</v>
      </c>
      <c r="AD1520" t="s">
        <v>1464</v>
      </c>
      <c r="AE1520" t="s">
        <v>1470</v>
      </c>
      <c r="AF1520" t="s">
        <v>1870</v>
      </c>
      <c r="AG1520" t="s">
        <v>142</v>
      </c>
      <c r="AH1520" t="b">
        <v>0</v>
      </c>
    </row>
    <row r="1521" spans="1:34">
      <c r="A1521" t="s">
        <v>1870</v>
      </c>
      <c r="AA1521" t="s">
        <v>1471</v>
      </c>
      <c r="AB1521" t="s">
        <v>1362</v>
      </c>
      <c r="AC1521" t="s">
        <v>1472</v>
      </c>
      <c r="AD1521" t="s">
        <v>1364</v>
      </c>
      <c r="AE1521" t="s">
        <v>1451</v>
      </c>
      <c r="AF1521" t="s">
        <v>1870</v>
      </c>
      <c r="AG1521" t="s">
        <v>142</v>
      </c>
      <c r="AH1521" t="b">
        <v>0</v>
      </c>
    </row>
    <row r="1522" spans="1:34">
      <c r="A1522" t="s">
        <v>1870</v>
      </c>
      <c r="AA1522" t="s">
        <v>1473</v>
      </c>
      <c r="AB1522" t="s">
        <v>1362</v>
      </c>
      <c r="AC1522" t="s">
        <v>1474</v>
      </c>
      <c r="AD1522" t="s">
        <v>1364</v>
      </c>
      <c r="AE1522" t="s">
        <v>1475</v>
      </c>
      <c r="AF1522" t="s">
        <v>1870</v>
      </c>
      <c r="AG1522" t="s">
        <v>142</v>
      </c>
      <c r="AH1522" t="b">
        <v>0</v>
      </c>
    </row>
    <row r="1523" spans="1:34">
      <c r="A1523" t="s">
        <v>1870</v>
      </c>
      <c r="AA1523" t="s">
        <v>1476</v>
      </c>
      <c r="AB1523" t="s">
        <v>1362</v>
      </c>
      <c r="AC1523" t="s">
        <v>1477</v>
      </c>
      <c r="AD1523" t="s">
        <v>1364</v>
      </c>
      <c r="AE1523" t="s">
        <v>1478</v>
      </c>
      <c r="AF1523" t="s">
        <v>1870</v>
      </c>
      <c r="AG1523" t="s">
        <v>142</v>
      </c>
      <c r="AH1523" t="b">
        <v>0</v>
      </c>
    </row>
    <row r="1524" spans="1:34">
      <c r="A1524" t="s">
        <v>1870</v>
      </c>
      <c r="AA1524" t="s">
        <v>1479</v>
      </c>
      <c r="AB1524" t="s">
        <v>1362</v>
      </c>
      <c r="AC1524" t="s">
        <v>1480</v>
      </c>
      <c r="AD1524" t="s">
        <v>1364</v>
      </c>
      <c r="AE1524" t="s">
        <v>1481</v>
      </c>
      <c r="AF1524" t="s">
        <v>1870</v>
      </c>
      <c r="AG1524" t="s">
        <v>142</v>
      </c>
      <c r="AH1524" t="b">
        <v>0</v>
      </c>
    </row>
    <row r="1525" spans="1:34">
      <c r="A1525" t="s">
        <v>1870</v>
      </c>
      <c r="AA1525" t="s">
        <v>1482</v>
      </c>
      <c r="AB1525" t="s">
        <v>1362</v>
      </c>
      <c r="AC1525" t="s">
        <v>1483</v>
      </c>
      <c r="AD1525" t="s">
        <v>1484</v>
      </c>
      <c r="AE1525" t="s">
        <v>1370</v>
      </c>
      <c r="AF1525" t="s">
        <v>1870</v>
      </c>
      <c r="AG1525" t="s">
        <v>142</v>
      </c>
      <c r="AH1525" t="b">
        <v>0</v>
      </c>
    </row>
    <row r="1526" spans="1:34">
      <c r="A1526" t="s">
        <v>1870</v>
      </c>
      <c r="AA1526" t="s">
        <v>1485</v>
      </c>
      <c r="AB1526" t="s">
        <v>1362</v>
      </c>
      <c r="AC1526" t="s">
        <v>1486</v>
      </c>
      <c r="AD1526" t="s">
        <v>1364</v>
      </c>
      <c r="AE1526" t="s">
        <v>1487</v>
      </c>
      <c r="AF1526" t="s">
        <v>1870</v>
      </c>
      <c r="AG1526" t="s">
        <v>142</v>
      </c>
      <c r="AH1526" t="b">
        <v>0</v>
      </c>
    </row>
    <row r="1527" spans="1:34">
      <c r="A1527" t="s">
        <v>1870</v>
      </c>
      <c r="AA1527" t="s">
        <v>1488</v>
      </c>
      <c r="AB1527" t="s">
        <v>1362</v>
      </c>
      <c r="AC1527" t="s">
        <v>1489</v>
      </c>
      <c r="AD1527" t="s">
        <v>1382</v>
      </c>
      <c r="AE1527" t="s">
        <v>1490</v>
      </c>
      <c r="AF1527" t="s">
        <v>1870</v>
      </c>
      <c r="AG1527" t="s">
        <v>142</v>
      </c>
      <c r="AH1527" t="b">
        <v>0</v>
      </c>
    </row>
    <row r="1528" spans="1:34">
      <c r="A1528" t="s">
        <v>1870</v>
      </c>
      <c r="AA1528" t="s">
        <v>1491</v>
      </c>
      <c r="AB1528" t="s">
        <v>1362</v>
      </c>
      <c r="AC1528" t="s">
        <v>1492</v>
      </c>
      <c r="AD1528" t="s">
        <v>1364</v>
      </c>
      <c r="AE1528" t="s">
        <v>1493</v>
      </c>
      <c r="AF1528" t="s">
        <v>1870</v>
      </c>
      <c r="AG1528" t="s">
        <v>142</v>
      </c>
      <c r="AH1528" t="b">
        <v>0</v>
      </c>
    </row>
    <row r="1529" spans="1:34">
      <c r="A1529" t="s">
        <v>1870</v>
      </c>
      <c r="AA1529" t="s">
        <v>1494</v>
      </c>
      <c r="AB1529" t="s">
        <v>1362</v>
      </c>
      <c r="AC1529" t="s">
        <v>1495</v>
      </c>
      <c r="AD1529" t="s">
        <v>1364</v>
      </c>
      <c r="AE1529" t="s">
        <v>1496</v>
      </c>
      <c r="AF1529" t="s">
        <v>1870</v>
      </c>
      <c r="AG1529" t="s">
        <v>142</v>
      </c>
      <c r="AH1529" t="b">
        <v>0</v>
      </c>
    </row>
    <row r="1530" spans="1:34">
      <c r="A1530" t="s">
        <v>1870</v>
      </c>
      <c r="AA1530" t="s">
        <v>1497</v>
      </c>
      <c r="AB1530" t="s">
        <v>1362</v>
      </c>
      <c r="AC1530" t="s">
        <v>1498</v>
      </c>
      <c r="AD1530" t="s">
        <v>1364</v>
      </c>
      <c r="AE1530" t="s">
        <v>1499</v>
      </c>
      <c r="AF1530" t="s">
        <v>1870</v>
      </c>
      <c r="AG1530" t="s">
        <v>142</v>
      </c>
      <c r="AH1530" t="b">
        <v>0</v>
      </c>
    </row>
    <row r="1531" spans="1:34">
      <c r="A1531" t="s">
        <v>1870</v>
      </c>
      <c r="AA1531" t="s">
        <v>1500</v>
      </c>
      <c r="AB1531" t="s">
        <v>1362</v>
      </c>
      <c r="AC1531" t="s">
        <v>1501</v>
      </c>
      <c r="AD1531" t="s">
        <v>1364</v>
      </c>
      <c r="AE1531" t="s">
        <v>1502</v>
      </c>
      <c r="AF1531" t="s">
        <v>1870</v>
      </c>
      <c r="AG1531" t="s">
        <v>142</v>
      </c>
      <c r="AH1531" t="b">
        <v>0</v>
      </c>
    </row>
    <row r="1532" spans="1:34">
      <c r="A1532" t="s">
        <v>1870</v>
      </c>
      <c r="AA1532" t="s">
        <v>1503</v>
      </c>
      <c r="AB1532" t="s">
        <v>1362</v>
      </c>
      <c r="AC1532" t="s">
        <v>1504</v>
      </c>
      <c r="AD1532" t="s">
        <v>1364</v>
      </c>
      <c r="AE1532" t="s">
        <v>1505</v>
      </c>
      <c r="AF1532" t="s">
        <v>1870</v>
      </c>
      <c r="AG1532" t="s">
        <v>142</v>
      </c>
      <c r="AH1532" t="b">
        <v>0</v>
      </c>
    </row>
    <row r="1533" spans="1:34">
      <c r="A1533" t="s">
        <v>1870</v>
      </c>
      <c r="AA1533" t="s">
        <v>1506</v>
      </c>
      <c r="AB1533" t="s">
        <v>1462</v>
      </c>
      <c r="AC1533" t="s">
        <v>1507</v>
      </c>
      <c r="AD1533" t="s">
        <v>1464</v>
      </c>
      <c r="AE1533" t="s">
        <v>1395</v>
      </c>
      <c r="AF1533" t="s">
        <v>1870</v>
      </c>
      <c r="AG1533" t="s">
        <v>142</v>
      </c>
      <c r="AH1533" t="b">
        <v>0</v>
      </c>
    </row>
    <row r="1534" spans="1:34">
      <c r="A1534" t="s">
        <v>1870</v>
      </c>
      <c r="AA1534" t="s">
        <v>1508</v>
      </c>
      <c r="AB1534" t="s">
        <v>1362</v>
      </c>
      <c r="AC1534" t="s">
        <v>1509</v>
      </c>
      <c r="AD1534" t="s">
        <v>1364</v>
      </c>
      <c r="AE1534" t="s">
        <v>1510</v>
      </c>
      <c r="AF1534" t="s">
        <v>1870</v>
      </c>
      <c r="AG1534" t="s">
        <v>142</v>
      </c>
      <c r="AH1534" t="b">
        <v>0</v>
      </c>
    </row>
    <row r="1535" spans="1:34">
      <c r="A1535" t="s">
        <v>1870</v>
      </c>
      <c r="AA1535" t="s">
        <v>1511</v>
      </c>
      <c r="AB1535" t="s">
        <v>1362</v>
      </c>
      <c r="AC1535" t="s">
        <v>1512</v>
      </c>
      <c r="AD1535" t="s">
        <v>1364</v>
      </c>
      <c r="AE1535" t="s">
        <v>1513</v>
      </c>
      <c r="AF1535" t="s">
        <v>1870</v>
      </c>
      <c r="AG1535" t="s">
        <v>142</v>
      </c>
      <c r="AH1535" t="b">
        <v>0</v>
      </c>
    </row>
    <row r="1536" spans="1:34">
      <c r="A1536" t="s">
        <v>1870</v>
      </c>
      <c r="AA1536" t="s">
        <v>1514</v>
      </c>
      <c r="AB1536" t="s">
        <v>1362</v>
      </c>
      <c r="AC1536" t="s">
        <v>1515</v>
      </c>
      <c r="AD1536" t="s">
        <v>1382</v>
      </c>
      <c r="AE1536" t="s">
        <v>1392</v>
      </c>
      <c r="AF1536" t="s">
        <v>1870</v>
      </c>
      <c r="AG1536" t="s">
        <v>142</v>
      </c>
      <c r="AH1536" t="b">
        <v>0</v>
      </c>
    </row>
    <row r="1537" spans="1:34">
      <c r="A1537" t="s">
        <v>1870</v>
      </c>
      <c r="AA1537" t="s">
        <v>1516</v>
      </c>
      <c r="AB1537" t="s">
        <v>1462</v>
      </c>
      <c r="AC1537" t="s">
        <v>1517</v>
      </c>
      <c r="AD1537" t="s">
        <v>1464</v>
      </c>
      <c r="AE1537" t="s">
        <v>1518</v>
      </c>
      <c r="AF1537" t="s">
        <v>1870</v>
      </c>
      <c r="AG1537" t="s">
        <v>142</v>
      </c>
      <c r="AH1537" t="b">
        <v>0</v>
      </c>
    </row>
    <row r="1538" spans="1:34">
      <c r="A1538" t="s">
        <v>1870</v>
      </c>
      <c r="AA1538" t="s">
        <v>1519</v>
      </c>
      <c r="AB1538" t="s">
        <v>1362</v>
      </c>
      <c r="AC1538" t="s">
        <v>1520</v>
      </c>
      <c r="AD1538" t="s">
        <v>1364</v>
      </c>
      <c r="AE1538" t="s">
        <v>1521</v>
      </c>
      <c r="AF1538" t="s">
        <v>1870</v>
      </c>
      <c r="AG1538" t="s">
        <v>142</v>
      </c>
      <c r="AH1538" t="b">
        <v>0</v>
      </c>
    </row>
    <row r="1539" spans="1:34">
      <c r="A1539" t="s">
        <v>1870</v>
      </c>
      <c r="AA1539" t="s">
        <v>1522</v>
      </c>
      <c r="AB1539" t="s">
        <v>1462</v>
      </c>
      <c r="AC1539" t="s">
        <v>1523</v>
      </c>
      <c r="AD1539" t="s">
        <v>1464</v>
      </c>
      <c r="AE1539" t="s">
        <v>1389</v>
      </c>
      <c r="AF1539" t="s">
        <v>1870</v>
      </c>
      <c r="AG1539" t="s">
        <v>142</v>
      </c>
      <c r="AH1539" t="b">
        <v>0</v>
      </c>
    </row>
    <row r="1540" spans="1:34">
      <c r="A1540" t="s">
        <v>1870</v>
      </c>
      <c r="AA1540" t="s">
        <v>1524</v>
      </c>
      <c r="AB1540" t="s">
        <v>1362</v>
      </c>
      <c r="AC1540" t="s">
        <v>1525</v>
      </c>
      <c r="AD1540" t="s">
        <v>1382</v>
      </c>
      <c r="AE1540" t="s">
        <v>1383</v>
      </c>
      <c r="AF1540" t="s">
        <v>1870</v>
      </c>
      <c r="AG1540" t="s">
        <v>142</v>
      </c>
      <c r="AH1540" t="b">
        <v>0</v>
      </c>
    </row>
    <row r="1541" spans="1:34">
      <c r="A1541" t="s">
        <v>1870</v>
      </c>
      <c r="AA1541" t="s">
        <v>1526</v>
      </c>
      <c r="AB1541" t="s">
        <v>1362</v>
      </c>
      <c r="AC1541" t="s">
        <v>1527</v>
      </c>
      <c r="AD1541" t="s">
        <v>1364</v>
      </c>
      <c r="AE1541" t="s">
        <v>1383</v>
      </c>
      <c r="AF1541" t="s">
        <v>1870</v>
      </c>
      <c r="AG1541" t="s">
        <v>142</v>
      </c>
      <c r="AH1541" t="b">
        <v>0</v>
      </c>
    </row>
    <row r="1542" spans="1:34">
      <c r="A1542" t="s">
        <v>1870</v>
      </c>
      <c r="AA1542" t="s">
        <v>1528</v>
      </c>
      <c r="AB1542" t="s">
        <v>1362</v>
      </c>
      <c r="AC1542" t="s">
        <v>1529</v>
      </c>
      <c r="AD1542" t="s">
        <v>1364</v>
      </c>
      <c r="AE1542" t="s">
        <v>1373</v>
      </c>
      <c r="AF1542" t="s">
        <v>1870</v>
      </c>
      <c r="AG1542" t="s">
        <v>142</v>
      </c>
      <c r="AH1542" t="b">
        <v>0</v>
      </c>
    </row>
    <row r="1543" spans="1:34">
      <c r="A1543" t="s">
        <v>1870</v>
      </c>
      <c r="AA1543" t="s">
        <v>1530</v>
      </c>
      <c r="AB1543" t="s">
        <v>1362</v>
      </c>
      <c r="AC1543" t="s">
        <v>1531</v>
      </c>
      <c r="AD1543" t="s">
        <v>1407</v>
      </c>
      <c r="AE1543" t="s">
        <v>1532</v>
      </c>
      <c r="AF1543" t="s">
        <v>1870</v>
      </c>
      <c r="AG1543" t="s">
        <v>142</v>
      </c>
      <c r="AH1543" t="b">
        <v>0</v>
      </c>
    </row>
    <row r="1544" spans="1:34">
      <c r="A1544" t="s">
        <v>1870</v>
      </c>
      <c r="AA1544" t="s">
        <v>1533</v>
      </c>
      <c r="AB1544" t="s">
        <v>1362</v>
      </c>
      <c r="AC1544" t="s">
        <v>1534</v>
      </c>
      <c r="AD1544" t="s">
        <v>1484</v>
      </c>
      <c r="AE1544" t="s">
        <v>1379</v>
      </c>
      <c r="AF1544" t="s">
        <v>1870</v>
      </c>
      <c r="AG1544" t="s">
        <v>142</v>
      </c>
      <c r="AH1544" t="b">
        <v>0</v>
      </c>
    </row>
    <row r="1545" spans="1:34">
      <c r="A1545" t="s">
        <v>1870</v>
      </c>
      <c r="AA1545" t="s">
        <v>1535</v>
      </c>
      <c r="AB1545" t="s">
        <v>1462</v>
      </c>
      <c r="AC1545" t="s">
        <v>1536</v>
      </c>
      <c r="AD1545" t="s">
        <v>1464</v>
      </c>
      <c r="AE1545" t="s">
        <v>1537</v>
      </c>
      <c r="AF1545" t="s">
        <v>1870</v>
      </c>
      <c r="AG1545" t="s">
        <v>142</v>
      </c>
      <c r="AH1545" t="b">
        <v>0</v>
      </c>
    </row>
    <row r="1546" spans="1:34">
      <c r="A1546" t="s">
        <v>1870</v>
      </c>
      <c r="AA1546" t="s">
        <v>1538</v>
      </c>
      <c r="AB1546" t="s">
        <v>1462</v>
      </c>
      <c r="AC1546" t="s">
        <v>1539</v>
      </c>
      <c r="AD1546" t="s">
        <v>1464</v>
      </c>
      <c r="AE1546" t="s">
        <v>1454</v>
      </c>
      <c r="AF1546" t="s">
        <v>1870</v>
      </c>
      <c r="AG1546" t="s">
        <v>142</v>
      </c>
      <c r="AH1546" t="b">
        <v>0</v>
      </c>
    </row>
    <row r="1547" spans="1:34">
      <c r="A1547" t="s">
        <v>1870</v>
      </c>
      <c r="AA1547" t="s">
        <v>1540</v>
      </c>
      <c r="AB1547" t="s">
        <v>1362</v>
      </c>
      <c r="AC1547" t="s">
        <v>1541</v>
      </c>
      <c r="AD1547" t="s">
        <v>1364</v>
      </c>
      <c r="AE1547" t="s">
        <v>1542</v>
      </c>
      <c r="AF1547" t="s">
        <v>1870</v>
      </c>
      <c r="AG1547" t="s">
        <v>142</v>
      </c>
      <c r="AH1547" t="b">
        <v>0</v>
      </c>
    </row>
    <row r="1548" spans="1:34">
      <c r="A1548" t="s">
        <v>1870</v>
      </c>
      <c r="AA1548" t="s">
        <v>1543</v>
      </c>
      <c r="AB1548" t="s">
        <v>1462</v>
      </c>
      <c r="AC1548" t="s">
        <v>1544</v>
      </c>
      <c r="AD1548" t="s">
        <v>1464</v>
      </c>
      <c r="AE1548" t="s">
        <v>1379</v>
      </c>
      <c r="AF1548" t="s">
        <v>1870</v>
      </c>
      <c r="AG1548" t="s">
        <v>142</v>
      </c>
      <c r="AH1548" t="b">
        <v>0</v>
      </c>
    </row>
    <row r="1549" spans="1:34">
      <c r="A1549" t="s">
        <v>1870</v>
      </c>
      <c r="AA1549" t="s">
        <v>1545</v>
      </c>
      <c r="AB1549" t="s">
        <v>1362</v>
      </c>
      <c r="AC1549" t="s">
        <v>1546</v>
      </c>
      <c r="AD1549" t="s">
        <v>1364</v>
      </c>
      <c r="AE1549" t="s">
        <v>1547</v>
      </c>
      <c r="AF1549" t="s">
        <v>1870</v>
      </c>
      <c r="AG1549" t="s">
        <v>142</v>
      </c>
      <c r="AH1549" t="b">
        <v>0</v>
      </c>
    </row>
    <row r="1550" spans="1:34">
      <c r="A1550" t="s">
        <v>1870</v>
      </c>
      <c r="AA1550" t="s">
        <v>1548</v>
      </c>
      <c r="AB1550" t="s">
        <v>1362</v>
      </c>
      <c r="AC1550" t="s">
        <v>1549</v>
      </c>
      <c r="AD1550" t="s">
        <v>1407</v>
      </c>
      <c r="AE1550" t="s">
        <v>1404</v>
      </c>
      <c r="AF1550" t="s">
        <v>1870</v>
      </c>
      <c r="AG1550" t="s">
        <v>142</v>
      </c>
      <c r="AH1550" t="b">
        <v>0</v>
      </c>
    </row>
    <row r="1551" spans="1:34">
      <c r="A1551" t="s">
        <v>1870</v>
      </c>
      <c r="AA1551" t="s">
        <v>1550</v>
      </c>
      <c r="AB1551" t="s">
        <v>1362</v>
      </c>
      <c r="AC1551" t="s">
        <v>1551</v>
      </c>
      <c r="AD1551" t="s">
        <v>1364</v>
      </c>
      <c r="AE1551" t="s">
        <v>1416</v>
      </c>
      <c r="AF1551" t="s">
        <v>1870</v>
      </c>
      <c r="AG1551" t="s">
        <v>142</v>
      </c>
      <c r="AH1551" t="b">
        <v>0</v>
      </c>
    </row>
    <row r="1552" spans="1:34">
      <c r="A1552" t="s">
        <v>1870</v>
      </c>
      <c r="AA1552" t="s">
        <v>1552</v>
      </c>
      <c r="AB1552" t="s">
        <v>1362</v>
      </c>
      <c r="AC1552" t="s">
        <v>1553</v>
      </c>
      <c r="AD1552" t="s">
        <v>1407</v>
      </c>
      <c r="AE1552" t="s">
        <v>1554</v>
      </c>
      <c r="AF1552" t="s">
        <v>1870</v>
      </c>
      <c r="AG1552" t="s">
        <v>142</v>
      </c>
      <c r="AH1552" t="b">
        <v>0</v>
      </c>
    </row>
    <row r="1553" spans="1:34">
      <c r="A1553" t="s">
        <v>1870</v>
      </c>
      <c r="AA1553" t="s">
        <v>1555</v>
      </c>
      <c r="AB1553" t="s">
        <v>1362</v>
      </c>
      <c r="AC1553" t="s">
        <v>1556</v>
      </c>
      <c r="AD1553" t="s">
        <v>1364</v>
      </c>
      <c r="AE1553" t="s">
        <v>1395</v>
      </c>
      <c r="AF1553" t="s">
        <v>1870</v>
      </c>
      <c r="AG1553" t="s">
        <v>142</v>
      </c>
      <c r="AH1553" t="b">
        <v>0</v>
      </c>
    </row>
    <row r="1554" spans="1:34">
      <c r="A1554" t="s">
        <v>1870</v>
      </c>
      <c r="AA1554" t="s">
        <v>1557</v>
      </c>
      <c r="AB1554" t="s">
        <v>1362</v>
      </c>
      <c r="AC1554" t="s">
        <v>1558</v>
      </c>
      <c r="AD1554" t="s">
        <v>1407</v>
      </c>
      <c r="AE1554" t="s">
        <v>1559</v>
      </c>
      <c r="AF1554" t="s">
        <v>1870</v>
      </c>
      <c r="AG1554" t="s">
        <v>142</v>
      </c>
      <c r="AH1554" t="b">
        <v>0</v>
      </c>
    </row>
    <row r="1555" spans="1:34">
      <c r="A1555" t="s">
        <v>1870</v>
      </c>
      <c r="AA1555" t="s">
        <v>1560</v>
      </c>
      <c r="AB1555" t="s">
        <v>1462</v>
      </c>
      <c r="AC1555" t="s">
        <v>1561</v>
      </c>
      <c r="AD1555" t="s">
        <v>1464</v>
      </c>
      <c r="AE1555" t="s">
        <v>1562</v>
      </c>
      <c r="AF1555" t="s">
        <v>1870</v>
      </c>
      <c r="AG1555" t="s">
        <v>142</v>
      </c>
      <c r="AH1555" t="b">
        <v>0</v>
      </c>
    </row>
    <row r="1556" spans="1:34">
      <c r="A1556" t="s">
        <v>1870</v>
      </c>
      <c r="AA1556" t="s">
        <v>1563</v>
      </c>
      <c r="AB1556" t="s">
        <v>1362</v>
      </c>
      <c r="AC1556" t="s">
        <v>1564</v>
      </c>
      <c r="AD1556" t="s">
        <v>1382</v>
      </c>
      <c r="AE1556" t="s">
        <v>1565</v>
      </c>
      <c r="AF1556" t="s">
        <v>1870</v>
      </c>
      <c r="AG1556" t="s">
        <v>142</v>
      </c>
      <c r="AH1556" t="b">
        <v>0</v>
      </c>
    </row>
    <row r="1557" spans="1:34">
      <c r="A1557" t="s">
        <v>1870</v>
      </c>
      <c r="AA1557" t="s">
        <v>1566</v>
      </c>
      <c r="AB1557" t="s">
        <v>1362</v>
      </c>
      <c r="AC1557" t="s">
        <v>1567</v>
      </c>
      <c r="AD1557" t="s">
        <v>1407</v>
      </c>
      <c r="AE1557" t="s">
        <v>1568</v>
      </c>
      <c r="AF1557" t="s">
        <v>1870</v>
      </c>
      <c r="AG1557" t="s">
        <v>142</v>
      </c>
      <c r="AH1557" t="b">
        <v>0</v>
      </c>
    </row>
    <row r="1558" spans="1:34">
      <c r="A1558" t="s">
        <v>1870</v>
      </c>
      <c r="AA1558" t="s">
        <v>1569</v>
      </c>
      <c r="AB1558" t="s">
        <v>1362</v>
      </c>
      <c r="AC1558" t="s">
        <v>1570</v>
      </c>
      <c r="AD1558" t="s">
        <v>1364</v>
      </c>
      <c r="AE1558" t="s">
        <v>1383</v>
      </c>
      <c r="AF1558" t="s">
        <v>1870</v>
      </c>
      <c r="AG1558" t="s">
        <v>142</v>
      </c>
      <c r="AH1558" t="b">
        <v>0</v>
      </c>
    </row>
    <row r="1559" spans="1:34">
      <c r="A1559" t="s">
        <v>1870</v>
      </c>
      <c r="AA1559" t="s">
        <v>1571</v>
      </c>
      <c r="AB1559" t="s">
        <v>1362</v>
      </c>
      <c r="AC1559" t="s">
        <v>1572</v>
      </c>
      <c r="AD1559" t="s">
        <v>1364</v>
      </c>
      <c r="AE1559" t="s">
        <v>1573</v>
      </c>
      <c r="AF1559" t="s">
        <v>1870</v>
      </c>
      <c r="AG1559" t="s">
        <v>142</v>
      </c>
      <c r="AH1559" t="b">
        <v>0</v>
      </c>
    </row>
    <row r="1560" spans="1:34">
      <c r="A1560" t="s">
        <v>1870</v>
      </c>
      <c r="AA1560" t="s">
        <v>1574</v>
      </c>
      <c r="AB1560" t="s">
        <v>1362</v>
      </c>
      <c r="AC1560" t="s">
        <v>1575</v>
      </c>
      <c r="AD1560" t="s">
        <v>1364</v>
      </c>
      <c r="AE1560" t="s">
        <v>1487</v>
      </c>
      <c r="AF1560" t="s">
        <v>1870</v>
      </c>
      <c r="AG1560" t="s">
        <v>142</v>
      </c>
      <c r="AH1560" t="b">
        <v>0</v>
      </c>
    </row>
    <row r="1561" spans="1:34">
      <c r="A1561" t="s">
        <v>1870</v>
      </c>
      <c r="AA1561" t="s">
        <v>1576</v>
      </c>
      <c r="AB1561" t="s">
        <v>1462</v>
      </c>
      <c r="AC1561" t="s">
        <v>1577</v>
      </c>
      <c r="AD1561" t="s">
        <v>1464</v>
      </c>
      <c r="AE1561" t="s">
        <v>1457</v>
      </c>
      <c r="AF1561" t="s">
        <v>1870</v>
      </c>
      <c r="AG1561" t="s">
        <v>142</v>
      </c>
      <c r="AH1561" t="b">
        <v>0</v>
      </c>
    </row>
    <row r="1562" spans="1:34">
      <c r="A1562" t="s">
        <v>1870</v>
      </c>
      <c r="AA1562" t="s">
        <v>1578</v>
      </c>
      <c r="AB1562" t="s">
        <v>1362</v>
      </c>
      <c r="AC1562" t="s">
        <v>1579</v>
      </c>
      <c r="AD1562" t="s">
        <v>1364</v>
      </c>
      <c r="AE1562" t="s">
        <v>1383</v>
      </c>
      <c r="AF1562" t="s">
        <v>1870</v>
      </c>
      <c r="AG1562" t="s">
        <v>142</v>
      </c>
      <c r="AH1562" t="b">
        <v>0</v>
      </c>
    </row>
    <row r="1563" spans="1:34">
      <c r="A1563" t="s">
        <v>1870</v>
      </c>
      <c r="AA1563" t="s">
        <v>1580</v>
      </c>
      <c r="AB1563" t="s">
        <v>1362</v>
      </c>
      <c r="AC1563" t="s">
        <v>1581</v>
      </c>
      <c r="AD1563" t="s">
        <v>1364</v>
      </c>
      <c r="AE1563" t="s">
        <v>1582</v>
      </c>
      <c r="AF1563" t="s">
        <v>1870</v>
      </c>
      <c r="AG1563" t="s">
        <v>142</v>
      </c>
      <c r="AH1563" t="b">
        <v>0</v>
      </c>
    </row>
    <row r="1564" spans="1:34">
      <c r="A1564" t="s">
        <v>1870</v>
      </c>
      <c r="AA1564" t="s">
        <v>1583</v>
      </c>
      <c r="AB1564" t="s">
        <v>1362</v>
      </c>
      <c r="AC1564" t="s">
        <v>1584</v>
      </c>
      <c r="AD1564" t="s">
        <v>1382</v>
      </c>
      <c r="AE1564" t="s">
        <v>1585</v>
      </c>
      <c r="AF1564" t="s">
        <v>1870</v>
      </c>
      <c r="AG1564" t="s">
        <v>142</v>
      </c>
      <c r="AH1564" t="b">
        <v>0</v>
      </c>
    </row>
    <row r="1565" spans="1:34">
      <c r="A1565" t="s">
        <v>1870</v>
      </c>
      <c r="AA1565" t="s">
        <v>1586</v>
      </c>
      <c r="AB1565" t="s">
        <v>1362</v>
      </c>
      <c r="AC1565" t="s">
        <v>1587</v>
      </c>
      <c r="AD1565" t="s">
        <v>1364</v>
      </c>
      <c r="AE1565" t="s">
        <v>1588</v>
      </c>
      <c r="AF1565" t="s">
        <v>1870</v>
      </c>
      <c r="AG1565" t="s">
        <v>142</v>
      </c>
      <c r="AH1565" t="b">
        <v>0</v>
      </c>
    </row>
    <row r="1566" spans="1:34">
      <c r="A1566" t="s">
        <v>1870</v>
      </c>
      <c r="AA1566" t="s">
        <v>1589</v>
      </c>
      <c r="AB1566" t="s">
        <v>1362</v>
      </c>
      <c r="AC1566" t="s">
        <v>1590</v>
      </c>
      <c r="AD1566" t="s">
        <v>1364</v>
      </c>
      <c r="AE1566" t="s">
        <v>1591</v>
      </c>
      <c r="AF1566" t="s">
        <v>1870</v>
      </c>
      <c r="AG1566" t="s">
        <v>142</v>
      </c>
      <c r="AH1566" t="b">
        <v>0</v>
      </c>
    </row>
    <row r="1567" spans="1:34">
      <c r="A1567" t="s">
        <v>1870</v>
      </c>
      <c r="AA1567" t="s">
        <v>1592</v>
      </c>
      <c r="AB1567" t="s">
        <v>1362</v>
      </c>
      <c r="AC1567" t="s">
        <v>1593</v>
      </c>
      <c r="AD1567" t="s">
        <v>1364</v>
      </c>
      <c r="AE1567" t="s">
        <v>1594</v>
      </c>
      <c r="AF1567" t="s">
        <v>1870</v>
      </c>
      <c r="AG1567" t="s">
        <v>142</v>
      </c>
      <c r="AH1567" t="b">
        <v>0</v>
      </c>
    </row>
    <row r="1568" spans="1:34">
      <c r="A1568" t="s">
        <v>1870</v>
      </c>
      <c r="AA1568" t="s">
        <v>1595</v>
      </c>
      <c r="AB1568" t="s">
        <v>1362</v>
      </c>
      <c r="AC1568" t="s">
        <v>1596</v>
      </c>
      <c r="AD1568" t="s">
        <v>1382</v>
      </c>
      <c r="AE1568" t="s">
        <v>1597</v>
      </c>
      <c r="AF1568" t="s">
        <v>1870</v>
      </c>
      <c r="AG1568" t="s">
        <v>142</v>
      </c>
      <c r="AH1568" t="b">
        <v>0</v>
      </c>
    </row>
    <row r="1569" spans="1:34">
      <c r="A1569" t="s">
        <v>1870</v>
      </c>
      <c r="AA1569" t="s">
        <v>1598</v>
      </c>
      <c r="AB1569" t="s">
        <v>1362</v>
      </c>
      <c r="AC1569" t="s">
        <v>1599</v>
      </c>
      <c r="AD1569" t="s">
        <v>1364</v>
      </c>
      <c r="AE1569" t="s">
        <v>1600</v>
      </c>
      <c r="AF1569" t="s">
        <v>1870</v>
      </c>
      <c r="AG1569" t="s">
        <v>142</v>
      </c>
      <c r="AH1569" t="b">
        <v>0</v>
      </c>
    </row>
    <row r="1570" spans="1:34">
      <c r="A1570" t="s">
        <v>1870</v>
      </c>
      <c r="AA1570" t="s">
        <v>1601</v>
      </c>
      <c r="AB1570" t="s">
        <v>1362</v>
      </c>
      <c r="AC1570" t="s">
        <v>1602</v>
      </c>
      <c r="AD1570" t="s">
        <v>1382</v>
      </c>
      <c r="AE1570" t="s">
        <v>1597</v>
      </c>
      <c r="AF1570" t="s">
        <v>1870</v>
      </c>
      <c r="AG1570" t="s">
        <v>142</v>
      </c>
      <c r="AH1570" t="b">
        <v>0</v>
      </c>
    </row>
    <row r="1571" spans="1:34">
      <c r="A1571" t="s">
        <v>1870</v>
      </c>
      <c r="AA1571" t="s">
        <v>1603</v>
      </c>
      <c r="AB1571" t="s">
        <v>1362</v>
      </c>
      <c r="AC1571" t="s">
        <v>1604</v>
      </c>
      <c r="AD1571" t="s">
        <v>1605</v>
      </c>
      <c r="AE1571" t="s">
        <v>1383</v>
      </c>
      <c r="AF1571" t="s">
        <v>1870</v>
      </c>
      <c r="AG1571" t="s">
        <v>142</v>
      </c>
      <c r="AH1571" t="b">
        <v>0</v>
      </c>
    </row>
    <row r="1572" spans="1:34">
      <c r="A1572" t="s">
        <v>1870</v>
      </c>
      <c r="AA1572" t="s">
        <v>1606</v>
      </c>
      <c r="AB1572" t="s">
        <v>1462</v>
      </c>
      <c r="AC1572" t="s">
        <v>1607</v>
      </c>
      <c r="AD1572" t="s">
        <v>1464</v>
      </c>
      <c r="AE1572" t="s">
        <v>1608</v>
      </c>
      <c r="AF1572" t="s">
        <v>1870</v>
      </c>
      <c r="AG1572" t="s">
        <v>142</v>
      </c>
      <c r="AH1572" t="b">
        <v>0</v>
      </c>
    </row>
    <row r="1573" spans="1:34">
      <c r="A1573" t="s">
        <v>1870</v>
      </c>
      <c r="AA1573" t="s">
        <v>1609</v>
      </c>
      <c r="AB1573" t="s">
        <v>1362</v>
      </c>
      <c r="AC1573" t="s">
        <v>1610</v>
      </c>
      <c r="AD1573" t="s">
        <v>1459</v>
      </c>
      <c r="AE1573" t="s">
        <v>1420</v>
      </c>
      <c r="AF1573" t="s">
        <v>1870</v>
      </c>
      <c r="AG1573" t="s">
        <v>142</v>
      </c>
      <c r="AH1573" t="b">
        <v>0</v>
      </c>
    </row>
    <row r="1574" spans="1:34">
      <c r="A1574" t="s">
        <v>1870</v>
      </c>
      <c r="AA1574" t="s">
        <v>1611</v>
      </c>
      <c r="AB1574" t="s">
        <v>1362</v>
      </c>
      <c r="AC1574" t="s">
        <v>1612</v>
      </c>
      <c r="AD1574" t="s">
        <v>1364</v>
      </c>
      <c r="AE1574" t="s">
        <v>1613</v>
      </c>
      <c r="AF1574" t="s">
        <v>1870</v>
      </c>
      <c r="AG1574" t="s">
        <v>142</v>
      </c>
      <c r="AH1574" t="b">
        <v>0</v>
      </c>
    </row>
    <row r="1575" spans="1:34">
      <c r="A1575" t="s">
        <v>1870</v>
      </c>
      <c r="AA1575" t="s">
        <v>1614</v>
      </c>
      <c r="AB1575" t="s">
        <v>1462</v>
      </c>
      <c r="AC1575" t="s">
        <v>1615</v>
      </c>
      <c r="AD1575" t="s">
        <v>1464</v>
      </c>
      <c r="AE1575" t="s">
        <v>1467</v>
      </c>
      <c r="AF1575" t="s">
        <v>1870</v>
      </c>
      <c r="AG1575" t="s">
        <v>142</v>
      </c>
      <c r="AH1575" t="b">
        <v>0</v>
      </c>
    </row>
    <row r="1576" spans="1:34">
      <c r="A1576" t="s">
        <v>1870</v>
      </c>
      <c r="AA1576" t="s">
        <v>1616</v>
      </c>
      <c r="AB1576" t="s">
        <v>1362</v>
      </c>
      <c r="AC1576" t="s">
        <v>1617</v>
      </c>
      <c r="AD1576" t="s">
        <v>1364</v>
      </c>
      <c r="AE1576" t="s">
        <v>1562</v>
      </c>
      <c r="AF1576" t="s">
        <v>1870</v>
      </c>
      <c r="AG1576" t="s">
        <v>142</v>
      </c>
      <c r="AH1576" t="b">
        <v>0</v>
      </c>
    </row>
    <row r="1577" spans="1:34">
      <c r="A1577" t="s">
        <v>1870</v>
      </c>
      <c r="AA1577" t="s">
        <v>1618</v>
      </c>
      <c r="AB1577" t="s">
        <v>1362</v>
      </c>
      <c r="AC1577" t="s">
        <v>1619</v>
      </c>
      <c r="AD1577" t="s">
        <v>1364</v>
      </c>
      <c r="AE1577" t="s">
        <v>1490</v>
      </c>
      <c r="AF1577" t="s">
        <v>1870</v>
      </c>
      <c r="AG1577" t="s">
        <v>142</v>
      </c>
      <c r="AH1577" t="b">
        <v>0</v>
      </c>
    </row>
    <row r="1578" spans="1:34">
      <c r="A1578" t="s">
        <v>1870</v>
      </c>
      <c r="AA1578" t="s">
        <v>1620</v>
      </c>
      <c r="AB1578" t="s">
        <v>1362</v>
      </c>
      <c r="AC1578" t="s">
        <v>1621</v>
      </c>
      <c r="AD1578" t="s">
        <v>1364</v>
      </c>
      <c r="AE1578" t="s">
        <v>1622</v>
      </c>
      <c r="AF1578" t="s">
        <v>1870</v>
      </c>
      <c r="AG1578" t="s">
        <v>142</v>
      </c>
      <c r="AH1578" t="b">
        <v>0</v>
      </c>
    </row>
    <row r="1579" spans="1:34">
      <c r="A1579" t="s">
        <v>1870</v>
      </c>
      <c r="AA1579" t="s">
        <v>1623</v>
      </c>
      <c r="AB1579" t="s">
        <v>1362</v>
      </c>
      <c r="AC1579" t="s">
        <v>1624</v>
      </c>
      <c r="AD1579" t="s">
        <v>1364</v>
      </c>
      <c r="AE1579" t="s">
        <v>1625</v>
      </c>
      <c r="AF1579" t="s">
        <v>1870</v>
      </c>
      <c r="AG1579" t="s">
        <v>142</v>
      </c>
      <c r="AH1579" t="b">
        <v>0</v>
      </c>
    </row>
    <row r="1580" spans="1:34">
      <c r="A1580" t="s">
        <v>1870</v>
      </c>
      <c r="AA1580" t="s">
        <v>1626</v>
      </c>
      <c r="AB1580" t="s">
        <v>1362</v>
      </c>
      <c r="AC1580" t="s">
        <v>1627</v>
      </c>
      <c r="AD1580" t="s">
        <v>1484</v>
      </c>
      <c r="AE1580" t="s">
        <v>1379</v>
      </c>
      <c r="AF1580" t="s">
        <v>1870</v>
      </c>
      <c r="AG1580" t="s">
        <v>142</v>
      </c>
      <c r="AH1580" t="b">
        <v>0</v>
      </c>
    </row>
    <row r="1581" spans="1:34">
      <c r="A1581" t="s">
        <v>1870</v>
      </c>
      <c r="AA1581" t="s">
        <v>1628</v>
      </c>
      <c r="AB1581" t="s">
        <v>1362</v>
      </c>
      <c r="AC1581" t="s">
        <v>1629</v>
      </c>
      <c r="AD1581" t="s">
        <v>1364</v>
      </c>
      <c r="AE1581" t="s">
        <v>1630</v>
      </c>
      <c r="AF1581" t="s">
        <v>1870</v>
      </c>
      <c r="AG1581" t="s">
        <v>142</v>
      </c>
      <c r="AH1581" t="b">
        <v>0</v>
      </c>
    </row>
    <row r="1582" spans="1:34">
      <c r="A1582" t="s">
        <v>1870</v>
      </c>
      <c r="AA1582" t="s">
        <v>1631</v>
      </c>
      <c r="AB1582" t="s">
        <v>1362</v>
      </c>
      <c r="AC1582" t="s">
        <v>1632</v>
      </c>
      <c r="AD1582" t="s">
        <v>1364</v>
      </c>
      <c r="AE1582" t="s">
        <v>1630</v>
      </c>
      <c r="AF1582" t="s">
        <v>1870</v>
      </c>
      <c r="AG1582" t="s">
        <v>142</v>
      </c>
      <c r="AH1582" t="b">
        <v>0</v>
      </c>
    </row>
    <row r="1583" spans="1:34">
      <c r="A1583" t="s">
        <v>1870</v>
      </c>
      <c r="AA1583" t="s">
        <v>1633</v>
      </c>
      <c r="AB1583" t="s">
        <v>1362</v>
      </c>
      <c r="AC1583" t="s">
        <v>1634</v>
      </c>
      <c r="AD1583" t="s">
        <v>1364</v>
      </c>
      <c r="AE1583" t="s">
        <v>1600</v>
      </c>
      <c r="AF1583" t="s">
        <v>1870</v>
      </c>
      <c r="AG1583" t="s">
        <v>142</v>
      </c>
      <c r="AH1583" t="b">
        <v>0</v>
      </c>
    </row>
    <row r="1584" spans="1:34">
      <c r="A1584" t="s">
        <v>1870</v>
      </c>
      <c r="AA1584" t="s">
        <v>1635</v>
      </c>
      <c r="AB1584" t="s">
        <v>1362</v>
      </c>
      <c r="AC1584" t="s">
        <v>1636</v>
      </c>
      <c r="AD1584" t="s">
        <v>1605</v>
      </c>
      <c r="AE1584" t="s">
        <v>1383</v>
      </c>
      <c r="AF1584" t="s">
        <v>1870</v>
      </c>
      <c r="AG1584" t="s">
        <v>142</v>
      </c>
      <c r="AH1584" t="b">
        <v>0</v>
      </c>
    </row>
    <row r="1585" spans="1:34">
      <c r="A1585" t="s">
        <v>1870</v>
      </c>
      <c r="AA1585" t="s">
        <v>1637</v>
      </c>
      <c r="AB1585" t="s">
        <v>1362</v>
      </c>
      <c r="AC1585" t="s">
        <v>1638</v>
      </c>
      <c r="AD1585" t="s">
        <v>1364</v>
      </c>
      <c r="AE1585" t="s">
        <v>1639</v>
      </c>
      <c r="AF1585" t="s">
        <v>1870</v>
      </c>
      <c r="AG1585" t="s">
        <v>142</v>
      </c>
      <c r="AH1585" t="b">
        <v>0</v>
      </c>
    </row>
    <row r="1586" spans="1:34">
      <c r="A1586" t="s">
        <v>1870</v>
      </c>
      <c r="AA1586" t="s">
        <v>1640</v>
      </c>
      <c r="AB1586" t="s">
        <v>1362</v>
      </c>
      <c r="AC1586" t="s">
        <v>1641</v>
      </c>
      <c r="AD1586" t="s">
        <v>1382</v>
      </c>
      <c r="AE1586" t="s">
        <v>1642</v>
      </c>
      <c r="AF1586" t="s">
        <v>1870</v>
      </c>
      <c r="AG1586" t="s">
        <v>142</v>
      </c>
      <c r="AH1586" t="b">
        <v>0</v>
      </c>
    </row>
    <row r="1587" spans="1:34">
      <c r="A1587" t="s">
        <v>1870</v>
      </c>
      <c r="AA1587" t="s">
        <v>1643</v>
      </c>
      <c r="AB1587" t="s">
        <v>1362</v>
      </c>
      <c r="AC1587" t="s">
        <v>1644</v>
      </c>
      <c r="AD1587" t="s">
        <v>1364</v>
      </c>
      <c r="AE1587" t="s">
        <v>1379</v>
      </c>
      <c r="AF1587" t="s">
        <v>1870</v>
      </c>
      <c r="AG1587" t="s">
        <v>142</v>
      </c>
      <c r="AH1587" t="b">
        <v>0</v>
      </c>
    </row>
    <row r="1588" spans="1:34">
      <c r="A1588" t="s">
        <v>1870</v>
      </c>
      <c r="AA1588" t="s">
        <v>1645</v>
      </c>
      <c r="AB1588" t="s">
        <v>1362</v>
      </c>
      <c r="AC1588" t="s">
        <v>1646</v>
      </c>
      <c r="AD1588" t="s">
        <v>1382</v>
      </c>
      <c r="AE1588" t="s">
        <v>1490</v>
      </c>
      <c r="AF1588" t="s">
        <v>1870</v>
      </c>
      <c r="AG1588" t="s">
        <v>142</v>
      </c>
      <c r="AH1588" t="b">
        <v>0</v>
      </c>
    </row>
    <row r="1589" spans="1:34">
      <c r="A1589" t="s">
        <v>1870</v>
      </c>
      <c r="AA1589" t="s">
        <v>1647</v>
      </c>
      <c r="AB1589" t="s">
        <v>1462</v>
      </c>
      <c r="AC1589" t="s">
        <v>1648</v>
      </c>
      <c r="AD1589" t="s">
        <v>1464</v>
      </c>
      <c r="AE1589" t="s">
        <v>1649</v>
      </c>
      <c r="AF1589" t="s">
        <v>1870</v>
      </c>
      <c r="AG1589" t="s">
        <v>142</v>
      </c>
      <c r="AH1589" t="b">
        <v>0</v>
      </c>
    </row>
    <row r="1590" spans="1:34">
      <c r="A1590" t="s">
        <v>1870</v>
      </c>
      <c r="AA1590" t="s">
        <v>42</v>
      </c>
      <c r="AB1590" t="s">
        <v>1362</v>
      </c>
      <c r="AC1590" t="s">
        <v>1650</v>
      </c>
      <c r="AD1590" t="s">
        <v>1364</v>
      </c>
      <c r="AE1590" t="s">
        <v>1651</v>
      </c>
      <c r="AF1590" t="s">
        <v>1870</v>
      </c>
      <c r="AG1590" t="s">
        <v>142</v>
      </c>
      <c r="AH1590" t="b">
        <v>0</v>
      </c>
    </row>
    <row r="1591" spans="1:34">
      <c r="A1591" t="s">
        <v>1870</v>
      </c>
      <c r="AA1591" t="s">
        <v>1652</v>
      </c>
      <c r="AB1591" t="s">
        <v>1362</v>
      </c>
      <c r="AC1591" t="s">
        <v>1653</v>
      </c>
      <c r="AD1591" t="s">
        <v>1364</v>
      </c>
      <c r="AE1591" t="s">
        <v>1654</v>
      </c>
      <c r="AF1591" t="s">
        <v>1870</v>
      </c>
      <c r="AG1591" t="s">
        <v>142</v>
      </c>
      <c r="AH1591" t="b">
        <v>0</v>
      </c>
    </row>
    <row r="1592" spans="1:34">
      <c r="A1592" t="s">
        <v>1870</v>
      </c>
      <c r="AA1592" t="s">
        <v>1655</v>
      </c>
      <c r="AB1592" t="s">
        <v>1362</v>
      </c>
      <c r="AC1592" t="s">
        <v>1656</v>
      </c>
      <c r="AD1592" t="s">
        <v>1364</v>
      </c>
      <c r="AE1592" t="s">
        <v>1657</v>
      </c>
      <c r="AF1592" t="s">
        <v>1870</v>
      </c>
      <c r="AG1592" t="s">
        <v>142</v>
      </c>
      <c r="AH1592" t="b">
        <v>0</v>
      </c>
    </row>
    <row r="1593" spans="1:34">
      <c r="A1593" t="s">
        <v>1870</v>
      </c>
      <c r="AA1593" t="s">
        <v>1658</v>
      </c>
      <c r="AB1593" t="s">
        <v>1462</v>
      </c>
      <c r="AC1593" t="s">
        <v>1659</v>
      </c>
      <c r="AD1593" t="s">
        <v>1464</v>
      </c>
      <c r="AE1593" t="s">
        <v>1660</v>
      </c>
      <c r="AF1593" t="s">
        <v>1870</v>
      </c>
      <c r="AG1593" t="s">
        <v>142</v>
      </c>
      <c r="AH1593" t="b">
        <v>0</v>
      </c>
    </row>
    <row r="1594" spans="1:34">
      <c r="A1594" t="s">
        <v>1870</v>
      </c>
      <c r="AA1594" t="s">
        <v>1661</v>
      </c>
      <c r="AB1594" t="s">
        <v>1362</v>
      </c>
      <c r="AC1594" t="s">
        <v>1662</v>
      </c>
      <c r="AD1594" t="s">
        <v>1364</v>
      </c>
      <c r="AE1594" t="s">
        <v>1663</v>
      </c>
      <c r="AF1594" t="s">
        <v>1870</v>
      </c>
      <c r="AG1594" t="s">
        <v>142</v>
      </c>
      <c r="AH1594" t="b">
        <v>0</v>
      </c>
    </row>
    <row r="1595" spans="1:34">
      <c r="A1595" t="s">
        <v>1870</v>
      </c>
      <c r="AA1595" t="s">
        <v>1664</v>
      </c>
      <c r="AB1595" t="s">
        <v>1362</v>
      </c>
      <c r="AC1595" t="s">
        <v>1665</v>
      </c>
      <c r="AD1595" t="s">
        <v>1459</v>
      </c>
      <c r="AE1595" t="s">
        <v>1666</v>
      </c>
      <c r="AF1595" t="s">
        <v>1870</v>
      </c>
      <c r="AG1595" t="s">
        <v>142</v>
      </c>
      <c r="AH1595" t="b">
        <v>0</v>
      </c>
    </row>
    <row r="1596" spans="1:34">
      <c r="A1596" t="s">
        <v>1870</v>
      </c>
      <c r="AA1596" t="s">
        <v>1667</v>
      </c>
      <c r="AB1596" t="s">
        <v>1362</v>
      </c>
      <c r="AC1596" t="s">
        <v>1668</v>
      </c>
      <c r="AD1596" t="s">
        <v>1364</v>
      </c>
      <c r="AE1596" t="s">
        <v>1669</v>
      </c>
      <c r="AF1596" t="s">
        <v>1870</v>
      </c>
      <c r="AG1596" t="s">
        <v>142</v>
      </c>
      <c r="AH1596" t="b">
        <v>0</v>
      </c>
    </row>
    <row r="1597" spans="1:34">
      <c r="A1597" t="s">
        <v>1870</v>
      </c>
      <c r="AA1597" t="s">
        <v>1670</v>
      </c>
      <c r="AB1597" t="s">
        <v>1362</v>
      </c>
      <c r="AC1597" t="s">
        <v>1671</v>
      </c>
      <c r="AD1597" t="s">
        <v>1459</v>
      </c>
      <c r="AE1597" t="s">
        <v>1420</v>
      </c>
      <c r="AF1597" t="s">
        <v>1870</v>
      </c>
      <c r="AG1597" t="s">
        <v>142</v>
      </c>
      <c r="AH1597" t="b">
        <v>0</v>
      </c>
    </row>
    <row r="1598" spans="1:34">
      <c r="A1598" t="s">
        <v>1870</v>
      </c>
      <c r="AA1598" t="s">
        <v>1672</v>
      </c>
      <c r="AB1598" t="s">
        <v>1362</v>
      </c>
      <c r="AC1598" t="s">
        <v>1673</v>
      </c>
      <c r="AD1598" t="s">
        <v>1364</v>
      </c>
      <c r="AE1598" t="s">
        <v>1379</v>
      </c>
      <c r="AF1598" t="s">
        <v>1870</v>
      </c>
      <c r="AG1598" t="s">
        <v>142</v>
      </c>
      <c r="AH1598" t="b">
        <v>0</v>
      </c>
    </row>
    <row r="1599" spans="1:34">
      <c r="A1599" t="s">
        <v>1870</v>
      </c>
      <c r="AA1599" t="s">
        <v>41</v>
      </c>
      <c r="AB1599" t="s">
        <v>1362</v>
      </c>
      <c r="AC1599" t="s">
        <v>1674</v>
      </c>
      <c r="AD1599" t="s">
        <v>1459</v>
      </c>
      <c r="AE1599" t="s">
        <v>1420</v>
      </c>
      <c r="AF1599" t="s">
        <v>1870</v>
      </c>
      <c r="AG1599" t="s">
        <v>142</v>
      </c>
      <c r="AH1599" t="b">
        <v>0</v>
      </c>
    </row>
    <row r="1600" spans="1:34">
      <c r="A1600" t="s">
        <v>1870</v>
      </c>
      <c r="AA1600" t="s">
        <v>1675</v>
      </c>
      <c r="AB1600" t="s">
        <v>1362</v>
      </c>
      <c r="AC1600" t="s">
        <v>1676</v>
      </c>
      <c r="AD1600" t="s">
        <v>1364</v>
      </c>
      <c r="AE1600" t="s">
        <v>1677</v>
      </c>
      <c r="AF1600" t="s">
        <v>1870</v>
      </c>
      <c r="AG1600" t="s">
        <v>142</v>
      </c>
      <c r="AH1600" t="b">
        <v>0</v>
      </c>
    </row>
    <row r="1601" spans="1:34">
      <c r="A1601" t="s">
        <v>1870</v>
      </c>
      <c r="AA1601" t="s">
        <v>1678</v>
      </c>
      <c r="AB1601" t="s">
        <v>1462</v>
      </c>
      <c r="AC1601" t="s">
        <v>1679</v>
      </c>
      <c r="AD1601" t="s">
        <v>1464</v>
      </c>
      <c r="AE1601" t="s">
        <v>1490</v>
      </c>
      <c r="AF1601" t="s">
        <v>1870</v>
      </c>
      <c r="AG1601" t="s">
        <v>142</v>
      </c>
      <c r="AH1601" t="b">
        <v>0</v>
      </c>
    </row>
    <row r="1602" spans="1:34">
      <c r="A1602" t="s">
        <v>1870</v>
      </c>
      <c r="AA1602" t="s">
        <v>1680</v>
      </c>
      <c r="AB1602" t="s">
        <v>1362</v>
      </c>
      <c r="AC1602" t="s">
        <v>1681</v>
      </c>
      <c r="AD1602" t="s">
        <v>1364</v>
      </c>
      <c r="AE1602" t="s">
        <v>1682</v>
      </c>
      <c r="AF1602" t="s">
        <v>1870</v>
      </c>
      <c r="AG1602" t="s">
        <v>142</v>
      </c>
      <c r="AH1602" t="b">
        <v>0</v>
      </c>
    </row>
    <row r="1603" spans="1:34">
      <c r="A1603" t="s">
        <v>1870</v>
      </c>
      <c r="AA1603" t="s">
        <v>1683</v>
      </c>
      <c r="AB1603" t="s">
        <v>1362</v>
      </c>
      <c r="AC1603" t="s">
        <v>1684</v>
      </c>
      <c r="AD1603" t="s">
        <v>1484</v>
      </c>
      <c r="AE1603" t="s">
        <v>1685</v>
      </c>
      <c r="AF1603" t="s">
        <v>1870</v>
      </c>
      <c r="AG1603" t="s">
        <v>142</v>
      </c>
      <c r="AH1603" t="b">
        <v>0</v>
      </c>
    </row>
    <row r="1604" spans="1:34">
      <c r="A1604" t="s">
        <v>1870</v>
      </c>
      <c r="AA1604" t="s">
        <v>1686</v>
      </c>
      <c r="AB1604" t="s">
        <v>1362</v>
      </c>
      <c r="AC1604" t="s">
        <v>1687</v>
      </c>
      <c r="AD1604" t="s">
        <v>1364</v>
      </c>
      <c r="AE1604" t="s">
        <v>1499</v>
      </c>
      <c r="AF1604" t="s">
        <v>1870</v>
      </c>
      <c r="AG1604" t="s">
        <v>142</v>
      </c>
      <c r="AH1604" t="b">
        <v>0</v>
      </c>
    </row>
    <row r="1605" spans="1:34">
      <c r="A1605" t="s">
        <v>1870</v>
      </c>
      <c r="AA1605" t="s">
        <v>1688</v>
      </c>
      <c r="AB1605" t="s">
        <v>1362</v>
      </c>
      <c r="AC1605" t="s">
        <v>1689</v>
      </c>
      <c r="AD1605" t="s">
        <v>1364</v>
      </c>
      <c r="AE1605" t="s">
        <v>1622</v>
      </c>
      <c r="AF1605" t="s">
        <v>1870</v>
      </c>
      <c r="AG1605" t="s">
        <v>142</v>
      </c>
      <c r="AH1605" t="b">
        <v>0</v>
      </c>
    </row>
    <row r="1606" spans="1:34">
      <c r="A1606" t="s">
        <v>1870</v>
      </c>
      <c r="AA1606" t="s">
        <v>1690</v>
      </c>
      <c r="AB1606" t="s">
        <v>1362</v>
      </c>
      <c r="AC1606" t="s">
        <v>1691</v>
      </c>
      <c r="AD1606" t="s">
        <v>1364</v>
      </c>
      <c r="AE1606" t="s">
        <v>1554</v>
      </c>
      <c r="AF1606" t="s">
        <v>1870</v>
      </c>
      <c r="AG1606" t="s">
        <v>142</v>
      </c>
      <c r="AH1606" t="b">
        <v>0</v>
      </c>
    </row>
    <row r="1607" spans="1:34">
      <c r="A1607" t="s">
        <v>1870</v>
      </c>
      <c r="AA1607" t="s">
        <v>1692</v>
      </c>
      <c r="AB1607" t="s">
        <v>1362</v>
      </c>
      <c r="AC1607" t="s">
        <v>1693</v>
      </c>
      <c r="AD1607" t="s">
        <v>1364</v>
      </c>
      <c r="AE1607" t="s">
        <v>1694</v>
      </c>
      <c r="AF1607" t="s">
        <v>1870</v>
      </c>
      <c r="AG1607" t="s">
        <v>142</v>
      </c>
      <c r="AH1607" t="b">
        <v>0</v>
      </c>
    </row>
    <row r="1608" spans="1:34">
      <c r="A1608" t="s">
        <v>1870</v>
      </c>
      <c r="AA1608" t="s">
        <v>1695</v>
      </c>
      <c r="AB1608" t="s">
        <v>1362</v>
      </c>
      <c r="AC1608" t="s">
        <v>1696</v>
      </c>
      <c r="AD1608" t="s">
        <v>1407</v>
      </c>
      <c r="AE1608" t="s">
        <v>1697</v>
      </c>
      <c r="AF1608" t="s">
        <v>1870</v>
      </c>
      <c r="AG1608" t="s">
        <v>142</v>
      </c>
      <c r="AH1608" t="b">
        <v>0</v>
      </c>
    </row>
    <row r="1609" spans="1:34">
      <c r="A1609" t="s">
        <v>1870</v>
      </c>
      <c r="AA1609" t="s">
        <v>1698</v>
      </c>
      <c r="AB1609" t="s">
        <v>1362</v>
      </c>
      <c r="AC1609" t="s">
        <v>1699</v>
      </c>
      <c r="AD1609" t="s">
        <v>1605</v>
      </c>
      <c r="AE1609" t="s">
        <v>1383</v>
      </c>
      <c r="AF1609" t="s">
        <v>1870</v>
      </c>
      <c r="AG1609" t="s">
        <v>142</v>
      </c>
      <c r="AH1609" t="b">
        <v>0</v>
      </c>
    </row>
    <row r="1610" spans="1:34">
      <c r="A1610" t="s">
        <v>1870</v>
      </c>
      <c r="AA1610" t="s">
        <v>1700</v>
      </c>
      <c r="AB1610" t="s">
        <v>1362</v>
      </c>
      <c r="AC1610" t="s">
        <v>1701</v>
      </c>
      <c r="AD1610" t="s">
        <v>1364</v>
      </c>
      <c r="AE1610" t="s">
        <v>1490</v>
      </c>
      <c r="AF1610" t="s">
        <v>1870</v>
      </c>
      <c r="AG1610" t="s">
        <v>142</v>
      </c>
      <c r="AH1610" t="b">
        <v>0</v>
      </c>
    </row>
    <row r="1611" spans="1:34">
      <c r="A1611" t="s">
        <v>1870</v>
      </c>
      <c r="AA1611" t="s">
        <v>1702</v>
      </c>
      <c r="AB1611" t="s">
        <v>1362</v>
      </c>
      <c r="AC1611" t="s">
        <v>1703</v>
      </c>
      <c r="AD1611" t="s">
        <v>1364</v>
      </c>
      <c r="AE1611" t="s">
        <v>1704</v>
      </c>
      <c r="AF1611" t="s">
        <v>1870</v>
      </c>
      <c r="AG1611" t="s">
        <v>142</v>
      </c>
      <c r="AH1611" t="b">
        <v>0</v>
      </c>
    </row>
    <row r="1612" spans="1:34">
      <c r="A1612" t="s">
        <v>1870</v>
      </c>
      <c r="AA1612" t="s">
        <v>1705</v>
      </c>
      <c r="AB1612" t="s">
        <v>1362</v>
      </c>
      <c r="AC1612" t="s">
        <v>1706</v>
      </c>
      <c r="AD1612" t="s">
        <v>1364</v>
      </c>
      <c r="AE1612" t="s">
        <v>1707</v>
      </c>
      <c r="AF1612" t="s">
        <v>1870</v>
      </c>
      <c r="AG1612" t="s">
        <v>142</v>
      </c>
      <c r="AH1612" t="b">
        <v>0</v>
      </c>
    </row>
    <row r="1613" spans="1:34">
      <c r="A1613" t="s">
        <v>1870</v>
      </c>
      <c r="AA1613" t="s">
        <v>1708</v>
      </c>
      <c r="AB1613" t="s">
        <v>1362</v>
      </c>
      <c r="AC1613" t="s">
        <v>1709</v>
      </c>
      <c r="AD1613" t="s">
        <v>1364</v>
      </c>
      <c r="AE1613" t="s">
        <v>1436</v>
      </c>
      <c r="AF1613" t="s">
        <v>1870</v>
      </c>
      <c r="AG1613" t="s">
        <v>142</v>
      </c>
      <c r="AH1613" t="b">
        <v>0</v>
      </c>
    </row>
    <row r="1614" spans="1:34">
      <c r="A1614" t="s">
        <v>1870</v>
      </c>
      <c r="AA1614" t="s">
        <v>1710</v>
      </c>
      <c r="AB1614" t="s">
        <v>1362</v>
      </c>
      <c r="AC1614" t="s">
        <v>1711</v>
      </c>
      <c r="AD1614" t="s">
        <v>1605</v>
      </c>
      <c r="AE1614" t="s">
        <v>1490</v>
      </c>
      <c r="AF1614" t="s">
        <v>1870</v>
      </c>
      <c r="AG1614" t="s">
        <v>142</v>
      </c>
      <c r="AH1614" t="b">
        <v>0</v>
      </c>
    </row>
    <row r="1615" spans="1:34">
      <c r="A1615" t="s">
        <v>1870</v>
      </c>
      <c r="AA1615" t="s">
        <v>1712</v>
      </c>
      <c r="AB1615" t="s">
        <v>1362</v>
      </c>
      <c r="AC1615" t="s">
        <v>1713</v>
      </c>
      <c r="AD1615" t="s">
        <v>1364</v>
      </c>
      <c r="AE1615" t="s">
        <v>1383</v>
      </c>
      <c r="AF1615" t="s">
        <v>1870</v>
      </c>
      <c r="AG1615" t="s">
        <v>142</v>
      </c>
      <c r="AH1615" t="b">
        <v>0</v>
      </c>
    </row>
    <row r="1616" spans="1:34">
      <c r="A1616" t="s">
        <v>1870</v>
      </c>
      <c r="AA1616" t="s">
        <v>1714</v>
      </c>
      <c r="AB1616" t="s">
        <v>1362</v>
      </c>
      <c r="AC1616" t="s">
        <v>1715</v>
      </c>
      <c r="AD1616" t="s">
        <v>1364</v>
      </c>
      <c r="AE1616" t="s">
        <v>1379</v>
      </c>
      <c r="AF1616" t="s">
        <v>1870</v>
      </c>
      <c r="AG1616" t="s">
        <v>142</v>
      </c>
      <c r="AH1616" t="b">
        <v>0</v>
      </c>
    </row>
    <row r="1617" spans="1:34">
      <c r="A1617" t="s">
        <v>1870</v>
      </c>
      <c r="AA1617" t="s">
        <v>1716</v>
      </c>
      <c r="AB1617" t="s">
        <v>1362</v>
      </c>
      <c r="AC1617" t="s">
        <v>1717</v>
      </c>
      <c r="AD1617" t="s">
        <v>1459</v>
      </c>
      <c r="AE1617" t="s">
        <v>1420</v>
      </c>
      <c r="AF1617" t="s">
        <v>1870</v>
      </c>
      <c r="AG1617" t="s">
        <v>142</v>
      </c>
      <c r="AH1617" t="b">
        <v>0</v>
      </c>
    </row>
    <row r="1618" spans="1:34">
      <c r="A1618" t="s">
        <v>1870</v>
      </c>
      <c r="AA1618" t="s">
        <v>1718</v>
      </c>
      <c r="AB1618" t="s">
        <v>1362</v>
      </c>
      <c r="AC1618" t="s">
        <v>1719</v>
      </c>
      <c r="AD1618" t="s">
        <v>1364</v>
      </c>
      <c r="AE1618" t="s">
        <v>1720</v>
      </c>
      <c r="AF1618" t="s">
        <v>1870</v>
      </c>
      <c r="AG1618" t="s">
        <v>142</v>
      </c>
      <c r="AH1618" t="b">
        <v>0</v>
      </c>
    </row>
    <row r="1619" spans="1:34">
      <c r="A1619" t="s">
        <v>1870</v>
      </c>
      <c r="AA1619" t="s">
        <v>1721</v>
      </c>
      <c r="AB1619" t="s">
        <v>1362</v>
      </c>
      <c r="AC1619" t="s">
        <v>1722</v>
      </c>
      <c r="AD1619" t="s">
        <v>1364</v>
      </c>
      <c r="AE1619" t="s">
        <v>1723</v>
      </c>
      <c r="AF1619" t="s">
        <v>1870</v>
      </c>
      <c r="AG1619" t="s">
        <v>142</v>
      </c>
      <c r="AH1619" t="b">
        <v>0</v>
      </c>
    </row>
    <row r="1620" spans="1:34">
      <c r="A1620" t="s">
        <v>1870</v>
      </c>
      <c r="AA1620" t="s">
        <v>1724</v>
      </c>
      <c r="AB1620" t="s">
        <v>1362</v>
      </c>
      <c r="AC1620" t="s">
        <v>1725</v>
      </c>
      <c r="AD1620" t="s">
        <v>1364</v>
      </c>
      <c r="AE1620" t="s">
        <v>1454</v>
      </c>
      <c r="AF1620" t="s">
        <v>1870</v>
      </c>
      <c r="AG1620" t="s">
        <v>142</v>
      </c>
      <c r="AH1620" t="b">
        <v>0</v>
      </c>
    </row>
    <row r="1621" spans="1:34">
      <c r="A1621" t="s">
        <v>1870</v>
      </c>
      <c r="AA1621" t="s">
        <v>1726</v>
      </c>
      <c r="AB1621" t="s">
        <v>1362</v>
      </c>
      <c r="AC1621" t="s">
        <v>1727</v>
      </c>
      <c r="AD1621" t="s">
        <v>1382</v>
      </c>
      <c r="AE1621" t="s">
        <v>1490</v>
      </c>
      <c r="AF1621" t="s">
        <v>1870</v>
      </c>
      <c r="AG1621" t="s">
        <v>142</v>
      </c>
      <c r="AH1621" t="b">
        <v>0</v>
      </c>
    </row>
    <row r="1622" spans="1:34">
      <c r="A1622" t="s">
        <v>1870</v>
      </c>
      <c r="AA1622" t="s">
        <v>1728</v>
      </c>
      <c r="AB1622" t="s">
        <v>1362</v>
      </c>
      <c r="AC1622" t="s">
        <v>1729</v>
      </c>
      <c r="AD1622" t="s">
        <v>1605</v>
      </c>
      <c r="AE1622" t="s">
        <v>1730</v>
      </c>
      <c r="AF1622" t="s">
        <v>1870</v>
      </c>
      <c r="AG1622" t="s">
        <v>142</v>
      </c>
      <c r="AH1622" t="b">
        <v>0</v>
      </c>
    </row>
    <row r="1623" spans="1:34">
      <c r="A1623" t="s">
        <v>1870</v>
      </c>
      <c r="AA1623" t="s">
        <v>1731</v>
      </c>
      <c r="AB1623" t="s">
        <v>1362</v>
      </c>
      <c r="AC1623" t="s">
        <v>1732</v>
      </c>
      <c r="AD1623" t="s">
        <v>1382</v>
      </c>
      <c r="AE1623" t="s">
        <v>1383</v>
      </c>
      <c r="AF1623" t="s">
        <v>1870</v>
      </c>
      <c r="AG1623" t="s">
        <v>142</v>
      </c>
      <c r="AH1623" t="b">
        <v>0</v>
      </c>
    </row>
    <row r="1624" spans="1:34">
      <c r="A1624" t="s">
        <v>1870</v>
      </c>
      <c r="AA1624" t="s">
        <v>1733</v>
      </c>
      <c r="AB1624" t="s">
        <v>1462</v>
      </c>
      <c r="AC1624" t="s">
        <v>1734</v>
      </c>
      <c r="AD1624" t="s">
        <v>1464</v>
      </c>
      <c r="AE1624" t="s">
        <v>1505</v>
      </c>
      <c r="AF1624" t="s">
        <v>1870</v>
      </c>
      <c r="AG1624" t="s">
        <v>142</v>
      </c>
      <c r="AH1624" t="b">
        <v>0</v>
      </c>
    </row>
    <row r="1625" spans="1:34">
      <c r="A1625" t="s">
        <v>1870</v>
      </c>
      <c r="AA1625" t="s">
        <v>1735</v>
      </c>
      <c r="AB1625" t="s">
        <v>1362</v>
      </c>
      <c r="AC1625" t="s">
        <v>1736</v>
      </c>
      <c r="AD1625" t="s">
        <v>1364</v>
      </c>
      <c r="AF1625" t="s">
        <v>1870</v>
      </c>
      <c r="AG1625" t="s">
        <v>142</v>
      </c>
      <c r="AH1625" t="b">
        <v>0</v>
      </c>
    </row>
    <row r="1626" spans="1:34">
      <c r="A1626" t="s">
        <v>1870</v>
      </c>
      <c r="AA1626" t="s">
        <v>1737</v>
      </c>
      <c r="AB1626" t="s">
        <v>1362</v>
      </c>
      <c r="AC1626" t="s">
        <v>1738</v>
      </c>
      <c r="AD1626" t="s">
        <v>1364</v>
      </c>
      <c r="AE1626" t="s">
        <v>1370</v>
      </c>
      <c r="AF1626" t="s">
        <v>1870</v>
      </c>
      <c r="AG1626" t="s">
        <v>142</v>
      </c>
      <c r="AH1626" t="b">
        <v>0</v>
      </c>
    </row>
    <row r="1627" spans="1:34">
      <c r="A1627" t="s">
        <v>1870</v>
      </c>
      <c r="AA1627" t="s">
        <v>1739</v>
      </c>
      <c r="AB1627" t="s">
        <v>1362</v>
      </c>
      <c r="AC1627" t="s">
        <v>1740</v>
      </c>
      <c r="AD1627" t="s">
        <v>1364</v>
      </c>
      <c r="AE1627" t="s">
        <v>1379</v>
      </c>
      <c r="AF1627" t="s">
        <v>1870</v>
      </c>
      <c r="AG1627" t="s">
        <v>142</v>
      </c>
      <c r="AH1627" t="b">
        <v>0</v>
      </c>
    </row>
    <row r="1628" spans="1:34">
      <c r="A1628" t="s">
        <v>1870</v>
      </c>
      <c r="AA1628" t="s">
        <v>1741</v>
      </c>
      <c r="AB1628" t="s">
        <v>1362</v>
      </c>
      <c r="AC1628" t="s">
        <v>1742</v>
      </c>
      <c r="AD1628" t="s">
        <v>1364</v>
      </c>
      <c r="AE1628" t="s">
        <v>1383</v>
      </c>
      <c r="AF1628" t="s">
        <v>1870</v>
      </c>
      <c r="AG1628" t="s">
        <v>142</v>
      </c>
      <c r="AH1628" t="b">
        <v>0</v>
      </c>
    </row>
    <row r="1629" spans="1:34">
      <c r="A1629" t="s">
        <v>1870</v>
      </c>
      <c r="AA1629" t="s">
        <v>1743</v>
      </c>
      <c r="AB1629" t="s">
        <v>1362</v>
      </c>
      <c r="AC1629" t="s">
        <v>1744</v>
      </c>
      <c r="AD1629" t="s">
        <v>1364</v>
      </c>
      <c r="AE1629" t="s">
        <v>1383</v>
      </c>
      <c r="AF1629" t="s">
        <v>1870</v>
      </c>
      <c r="AG1629" t="s">
        <v>142</v>
      </c>
      <c r="AH1629" t="b">
        <v>0</v>
      </c>
    </row>
    <row r="1630" spans="1:34">
      <c r="A1630" t="s">
        <v>1870</v>
      </c>
      <c r="AA1630" t="s">
        <v>1745</v>
      </c>
      <c r="AB1630" t="s">
        <v>1362</v>
      </c>
      <c r="AC1630" t="s">
        <v>1746</v>
      </c>
      <c r="AD1630" t="s">
        <v>1382</v>
      </c>
      <c r="AE1630" t="s">
        <v>1490</v>
      </c>
      <c r="AF1630" t="s">
        <v>1870</v>
      </c>
      <c r="AG1630" t="s">
        <v>142</v>
      </c>
      <c r="AH1630" t="b">
        <v>0</v>
      </c>
    </row>
    <row r="1631" spans="1:34">
      <c r="A1631" t="s">
        <v>1870</v>
      </c>
      <c r="AA1631" t="s">
        <v>1747</v>
      </c>
      <c r="AB1631" t="s">
        <v>1362</v>
      </c>
      <c r="AC1631" t="s">
        <v>1748</v>
      </c>
      <c r="AD1631" t="s">
        <v>1364</v>
      </c>
      <c r="AE1631" t="s">
        <v>1383</v>
      </c>
      <c r="AF1631" t="s">
        <v>1870</v>
      </c>
      <c r="AG1631" t="s">
        <v>142</v>
      </c>
      <c r="AH1631" t="b">
        <v>0</v>
      </c>
    </row>
    <row r="1632" spans="1:34">
      <c r="A1632" t="s">
        <v>1870</v>
      </c>
      <c r="AA1632" t="s">
        <v>1749</v>
      </c>
      <c r="AB1632" t="s">
        <v>1362</v>
      </c>
      <c r="AC1632" t="s">
        <v>1750</v>
      </c>
      <c r="AD1632" t="s">
        <v>1364</v>
      </c>
      <c r="AE1632" t="s">
        <v>1751</v>
      </c>
      <c r="AF1632" t="s">
        <v>1870</v>
      </c>
      <c r="AG1632" t="s">
        <v>142</v>
      </c>
      <c r="AH1632" t="b">
        <v>0</v>
      </c>
    </row>
    <row r="1633" spans="1:34">
      <c r="A1633" t="s">
        <v>1870</v>
      </c>
      <c r="AA1633" t="s">
        <v>1752</v>
      </c>
      <c r="AB1633" t="s">
        <v>1362</v>
      </c>
      <c r="AC1633" t="s">
        <v>1753</v>
      </c>
      <c r="AD1633" t="s">
        <v>1364</v>
      </c>
      <c r="AE1633" t="s">
        <v>1562</v>
      </c>
      <c r="AF1633" t="s">
        <v>1870</v>
      </c>
      <c r="AG1633" t="s">
        <v>142</v>
      </c>
      <c r="AH1633" t="b">
        <v>0</v>
      </c>
    </row>
    <row r="1634" spans="1:34">
      <c r="A1634" t="s">
        <v>1870</v>
      </c>
      <c r="AA1634" t="s">
        <v>1754</v>
      </c>
      <c r="AB1634" t="s">
        <v>1362</v>
      </c>
      <c r="AC1634" t="s">
        <v>1755</v>
      </c>
      <c r="AD1634" t="s">
        <v>1364</v>
      </c>
      <c r="AE1634" t="s">
        <v>1756</v>
      </c>
      <c r="AF1634" t="s">
        <v>1870</v>
      </c>
      <c r="AG1634" t="s">
        <v>142</v>
      </c>
      <c r="AH1634" t="b">
        <v>0</v>
      </c>
    </row>
    <row r="1635" spans="1:34">
      <c r="A1635" t="s">
        <v>1870</v>
      </c>
      <c r="AA1635" t="s">
        <v>1757</v>
      </c>
      <c r="AB1635" t="s">
        <v>1362</v>
      </c>
      <c r="AC1635" t="s">
        <v>1758</v>
      </c>
      <c r="AD1635" t="s">
        <v>1382</v>
      </c>
      <c r="AE1635" t="s">
        <v>1423</v>
      </c>
      <c r="AF1635" t="s">
        <v>1870</v>
      </c>
      <c r="AG1635" t="s">
        <v>142</v>
      </c>
      <c r="AH1635" t="b">
        <v>0</v>
      </c>
    </row>
    <row r="1636" spans="1:34">
      <c r="A1636" t="s">
        <v>1870</v>
      </c>
      <c r="AA1636" t="s">
        <v>1759</v>
      </c>
      <c r="AB1636" t="s">
        <v>1362</v>
      </c>
      <c r="AC1636" t="s">
        <v>1760</v>
      </c>
      <c r="AD1636" t="s">
        <v>1382</v>
      </c>
      <c r="AE1636" t="s">
        <v>1490</v>
      </c>
      <c r="AF1636" t="s">
        <v>1870</v>
      </c>
      <c r="AG1636" t="s">
        <v>142</v>
      </c>
      <c r="AH1636" t="b">
        <v>0</v>
      </c>
    </row>
    <row r="1637" spans="1:34">
      <c r="A1637" t="s">
        <v>1870</v>
      </c>
      <c r="AA1637" t="s">
        <v>1761</v>
      </c>
      <c r="AB1637" t="s">
        <v>1362</v>
      </c>
      <c r="AC1637" t="s">
        <v>1762</v>
      </c>
      <c r="AD1637" t="s">
        <v>1364</v>
      </c>
      <c r="AE1637" t="s">
        <v>1763</v>
      </c>
      <c r="AF1637" t="s">
        <v>1870</v>
      </c>
      <c r="AG1637" t="s">
        <v>142</v>
      </c>
      <c r="AH1637" t="b">
        <v>0</v>
      </c>
    </row>
    <row r="1638" spans="1:34">
      <c r="A1638" t="s">
        <v>1870</v>
      </c>
      <c r="AA1638" t="s">
        <v>1764</v>
      </c>
      <c r="AB1638" t="s">
        <v>1362</v>
      </c>
      <c r="AC1638" t="s">
        <v>1765</v>
      </c>
      <c r="AD1638" t="s">
        <v>1364</v>
      </c>
      <c r="AE1638" t="s">
        <v>1766</v>
      </c>
      <c r="AF1638" t="s">
        <v>1870</v>
      </c>
      <c r="AG1638" t="s">
        <v>142</v>
      </c>
      <c r="AH1638" t="b">
        <v>0</v>
      </c>
    </row>
    <row r="1639" spans="1:34">
      <c r="A1639" t="s">
        <v>1870</v>
      </c>
      <c r="AA1639" t="s">
        <v>1767</v>
      </c>
      <c r="AB1639" t="s">
        <v>1462</v>
      </c>
      <c r="AC1639" t="s">
        <v>1768</v>
      </c>
      <c r="AD1639" t="s">
        <v>1464</v>
      </c>
      <c r="AE1639" t="s">
        <v>1379</v>
      </c>
      <c r="AF1639" t="s">
        <v>1870</v>
      </c>
      <c r="AG1639" t="s">
        <v>142</v>
      </c>
      <c r="AH1639" t="b">
        <v>0</v>
      </c>
    </row>
    <row r="1640" spans="1:34">
      <c r="A1640" t="s">
        <v>1870</v>
      </c>
      <c r="AA1640" t="s">
        <v>1769</v>
      </c>
      <c r="AB1640" t="s">
        <v>1362</v>
      </c>
      <c r="AC1640" t="s">
        <v>1770</v>
      </c>
      <c r="AD1640" t="s">
        <v>1364</v>
      </c>
      <c r="AE1640" t="s">
        <v>1588</v>
      </c>
      <c r="AF1640" t="s">
        <v>1870</v>
      </c>
      <c r="AG1640" t="s">
        <v>142</v>
      </c>
      <c r="AH1640" t="b">
        <v>0</v>
      </c>
    </row>
    <row r="1641" spans="1:34">
      <c r="A1641" t="s">
        <v>1870</v>
      </c>
      <c r="AA1641" t="s">
        <v>1771</v>
      </c>
      <c r="AB1641" t="s">
        <v>1362</v>
      </c>
      <c r="AC1641" t="s">
        <v>1772</v>
      </c>
      <c r="AD1641" t="s">
        <v>1364</v>
      </c>
      <c r="AE1641" t="s">
        <v>1694</v>
      </c>
      <c r="AF1641" t="s">
        <v>1870</v>
      </c>
      <c r="AG1641" t="s">
        <v>142</v>
      </c>
      <c r="AH1641" t="b">
        <v>0</v>
      </c>
    </row>
    <row r="1642" spans="1:34">
      <c r="A1642" t="s">
        <v>1870</v>
      </c>
      <c r="AA1642" t="s">
        <v>1773</v>
      </c>
      <c r="AB1642" t="s">
        <v>1462</v>
      </c>
      <c r="AC1642" t="s">
        <v>1774</v>
      </c>
      <c r="AD1642" t="s">
        <v>1464</v>
      </c>
      <c r="AE1642" t="s">
        <v>1591</v>
      </c>
      <c r="AF1642" t="s">
        <v>1870</v>
      </c>
      <c r="AG1642" t="s">
        <v>142</v>
      </c>
      <c r="AH1642" t="b">
        <v>0</v>
      </c>
    </row>
    <row r="1643" spans="1:34">
      <c r="A1643" t="s">
        <v>1870</v>
      </c>
      <c r="AA1643" t="s">
        <v>1775</v>
      </c>
      <c r="AB1643" t="s">
        <v>1362</v>
      </c>
      <c r="AC1643" t="s">
        <v>1776</v>
      </c>
      <c r="AD1643" t="s">
        <v>1382</v>
      </c>
      <c r="AE1643" t="s">
        <v>1657</v>
      </c>
      <c r="AF1643" t="s">
        <v>1870</v>
      </c>
      <c r="AG1643" t="s">
        <v>142</v>
      </c>
      <c r="AH1643" t="b">
        <v>0</v>
      </c>
    </row>
    <row r="1644" spans="1:34">
      <c r="A1644" t="s">
        <v>1870</v>
      </c>
      <c r="AA1644" t="s">
        <v>1777</v>
      </c>
      <c r="AB1644" t="s">
        <v>1362</v>
      </c>
      <c r="AC1644" t="s">
        <v>1778</v>
      </c>
      <c r="AD1644" t="s">
        <v>1364</v>
      </c>
      <c r="AE1644" t="s">
        <v>1379</v>
      </c>
      <c r="AF1644" t="s">
        <v>1870</v>
      </c>
      <c r="AG1644" t="s">
        <v>142</v>
      </c>
      <c r="AH1644" t="b">
        <v>0</v>
      </c>
    </row>
    <row r="1645" spans="1:34">
      <c r="A1645" t="s">
        <v>1870</v>
      </c>
      <c r="AA1645" t="s">
        <v>1779</v>
      </c>
      <c r="AB1645" t="s">
        <v>1362</v>
      </c>
      <c r="AC1645" t="s">
        <v>1780</v>
      </c>
      <c r="AD1645" t="s">
        <v>1364</v>
      </c>
      <c r="AE1645" t="s">
        <v>1426</v>
      </c>
      <c r="AF1645" t="s">
        <v>1870</v>
      </c>
      <c r="AG1645" t="s">
        <v>142</v>
      </c>
      <c r="AH1645" t="b">
        <v>0</v>
      </c>
    </row>
    <row r="1646" spans="1:34">
      <c r="A1646" t="s">
        <v>1870</v>
      </c>
      <c r="AA1646" t="s">
        <v>1781</v>
      </c>
      <c r="AB1646" t="s">
        <v>1362</v>
      </c>
      <c r="AC1646" t="s">
        <v>1782</v>
      </c>
      <c r="AD1646" t="s">
        <v>1364</v>
      </c>
      <c r="AE1646" t="s">
        <v>1783</v>
      </c>
      <c r="AF1646" t="s">
        <v>1870</v>
      </c>
      <c r="AG1646" t="s">
        <v>142</v>
      </c>
      <c r="AH1646" t="b">
        <v>0</v>
      </c>
    </row>
    <row r="1647" spans="1:34">
      <c r="A1647" t="s">
        <v>1870</v>
      </c>
      <c r="AA1647" t="s">
        <v>1784</v>
      </c>
      <c r="AB1647" t="s">
        <v>1462</v>
      </c>
      <c r="AC1647" t="s">
        <v>1785</v>
      </c>
      <c r="AD1647" t="s">
        <v>1464</v>
      </c>
      <c r="AE1647" t="s">
        <v>1786</v>
      </c>
      <c r="AF1647" t="s">
        <v>1870</v>
      </c>
      <c r="AG1647" t="s">
        <v>142</v>
      </c>
      <c r="AH1647" t="b">
        <v>0</v>
      </c>
    </row>
    <row r="1648" spans="1:34">
      <c r="A1648" t="s">
        <v>1870</v>
      </c>
      <c r="AA1648" t="s">
        <v>1787</v>
      </c>
      <c r="AB1648" t="s">
        <v>1362</v>
      </c>
      <c r="AC1648" t="s">
        <v>1788</v>
      </c>
      <c r="AD1648" t="s">
        <v>1364</v>
      </c>
      <c r="AE1648" t="s">
        <v>1499</v>
      </c>
      <c r="AF1648" t="s">
        <v>1870</v>
      </c>
      <c r="AG1648" t="s">
        <v>142</v>
      </c>
      <c r="AH1648" t="b">
        <v>0</v>
      </c>
    </row>
    <row r="1649" spans="1:34">
      <c r="A1649" t="s">
        <v>1870</v>
      </c>
      <c r="AA1649" t="s">
        <v>1789</v>
      </c>
      <c r="AB1649" t="s">
        <v>1362</v>
      </c>
      <c r="AC1649" t="s">
        <v>1790</v>
      </c>
      <c r="AD1649" t="s">
        <v>1364</v>
      </c>
      <c r="AE1649" t="s">
        <v>1630</v>
      </c>
      <c r="AF1649" t="s">
        <v>1870</v>
      </c>
      <c r="AG1649" t="s">
        <v>142</v>
      </c>
      <c r="AH1649" t="b">
        <v>0</v>
      </c>
    </row>
    <row r="1650" spans="1:34">
      <c r="A1650" t="s">
        <v>1870</v>
      </c>
      <c r="AA1650" t="s">
        <v>1791</v>
      </c>
      <c r="AB1650" t="s">
        <v>1362</v>
      </c>
      <c r="AC1650" t="s">
        <v>1792</v>
      </c>
      <c r="AD1650" t="s">
        <v>1364</v>
      </c>
      <c r="AE1650" t="s">
        <v>1793</v>
      </c>
      <c r="AF1650" t="s">
        <v>1870</v>
      </c>
      <c r="AG1650" t="s">
        <v>142</v>
      </c>
      <c r="AH1650" t="b">
        <v>0</v>
      </c>
    </row>
    <row r="1651" spans="1:34">
      <c r="A1651" t="s">
        <v>1870</v>
      </c>
      <c r="AA1651" t="s">
        <v>1794</v>
      </c>
      <c r="AB1651" t="s">
        <v>1362</v>
      </c>
      <c r="AC1651" t="s">
        <v>1795</v>
      </c>
      <c r="AD1651" t="s">
        <v>1364</v>
      </c>
      <c r="AE1651" t="s">
        <v>1796</v>
      </c>
      <c r="AF1651" t="s">
        <v>1870</v>
      </c>
      <c r="AG1651" t="s">
        <v>142</v>
      </c>
      <c r="AH1651" t="b">
        <v>0</v>
      </c>
    </row>
    <row r="1652" spans="1:34">
      <c r="A1652" t="s">
        <v>1870</v>
      </c>
      <c r="AA1652" t="s">
        <v>1797</v>
      </c>
      <c r="AB1652" t="s">
        <v>1362</v>
      </c>
      <c r="AC1652" t="s">
        <v>1798</v>
      </c>
      <c r="AD1652" t="s">
        <v>1382</v>
      </c>
      <c r="AE1652" t="s">
        <v>1383</v>
      </c>
      <c r="AF1652" t="s">
        <v>1870</v>
      </c>
      <c r="AG1652" t="s">
        <v>142</v>
      </c>
      <c r="AH1652" t="b">
        <v>0</v>
      </c>
    </row>
    <row r="1653" spans="1:34">
      <c r="A1653" t="s">
        <v>1870</v>
      </c>
      <c r="AA1653" t="s">
        <v>1799</v>
      </c>
      <c r="AB1653" t="s">
        <v>1362</v>
      </c>
      <c r="AC1653" t="s">
        <v>1800</v>
      </c>
      <c r="AD1653" t="s">
        <v>1364</v>
      </c>
      <c r="AE1653" t="s">
        <v>1373</v>
      </c>
      <c r="AF1653" t="s">
        <v>1870</v>
      </c>
      <c r="AG1653" t="s">
        <v>142</v>
      </c>
      <c r="AH1653" t="b">
        <v>0</v>
      </c>
    </row>
    <row r="1654" spans="1:34">
      <c r="A1654" t="s">
        <v>1870</v>
      </c>
      <c r="AA1654" t="s">
        <v>1801</v>
      </c>
      <c r="AB1654" t="s">
        <v>1362</v>
      </c>
      <c r="AC1654" t="s">
        <v>1802</v>
      </c>
      <c r="AD1654" t="s">
        <v>1364</v>
      </c>
      <c r="AE1654" t="s">
        <v>1694</v>
      </c>
      <c r="AF1654" t="s">
        <v>1870</v>
      </c>
      <c r="AG1654" t="s">
        <v>142</v>
      </c>
      <c r="AH1654" t="b">
        <v>0</v>
      </c>
    </row>
    <row r="1655" spans="1:34">
      <c r="A1655" t="s">
        <v>1870</v>
      </c>
      <c r="AA1655" t="s">
        <v>1803</v>
      </c>
      <c r="AB1655" t="s">
        <v>1362</v>
      </c>
      <c r="AC1655" t="s">
        <v>1804</v>
      </c>
      <c r="AD1655" t="s">
        <v>1382</v>
      </c>
      <c r="AE1655" t="s">
        <v>1454</v>
      </c>
      <c r="AF1655" t="s">
        <v>1870</v>
      </c>
      <c r="AG1655" t="s">
        <v>142</v>
      </c>
      <c r="AH1655" t="b">
        <v>0</v>
      </c>
    </row>
    <row r="1656" spans="1:34">
      <c r="A1656" t="s">
        <v>1870</v>
      </c>
      <c r="AA1656" t="s">
        <v>1805</v>
      </c>
      <c r="AB1656" t="s">
        <v>1362</v>
      </c>
      <c r="AC1656" t="s">
        <v>1806</v>
      </c>
      <c r="AD1656" t="s">
        <v>1459</v>
      </c>
      <c r="AE1656" t="s">
        <v>1666</v>
      </c>
      <c r="AF1656" t="s">
        <v>1870</v>
      </c>
      <c r="AG1656" t="s">
        <v>142</v>
      </c>
      <c r="AH1656" t="b">
        <v>0</v>
      </c>
    </row>
    <row r="1657" spans="1:34">
      <c r="A1657" t="s">
        <v>1870</v>
      </c>
      <c r="AA1657" t="s">
        <v>1807</v>
      </c>
      <c r="AB1657" t="s">
        <v>1362</v>
      </c>
      <c r="AC1657" t="s">
        <v>1808</v>
      </c>
      <c r="AE1657" t="s">
        <v>1809</v>
      </c>
      <c r="AF1657" t="s">
        <v>1870</v>
      </c>
      <c r="AG1657" t="s">
        <v>142</v>
      </c>
      <c r="AH1657" t="b">
        <v>0</v>
      </c>
    </row>
    <row r="1658" spans="1:34">
      <c r="A1658" t="s">
        <v>1870</v>
      </c>
      <c r="AA1658" t="s">
        <v>1810</v>
      </c>
      <c r="AB1658" t="s">
        <v>1462</v>
      </c>
      <c r="AC1658" t="s">
        <v>1811</v>
      </c>
      <c r="AD1658" t="s">
        <v>1464</v>
      </c>
      <c r="AE1658" t="s">
        <v>1812</v>
      </c>
      <c r="AF1658" t="s">
        <v>1870</v>
      </c>
      <c r="AG1658" t="s">
        <v>142</v>
      </c>
      <c r="AH1658" t="b">
        <v>0</v>
      </c>
    </row>
    <row r="1659" spans="1:34">
      <c r="A1659" t="s">
        <v>1870</v>
      </c>
      <c r="AA1659" t="s">
        <v>1813</v>
      </c>
      <c r="AB1659" t="s">
        <v>1362</v>
      </c>
      <c r="AC1659" t="s">
        <v>1814</v>
      </c>
      <c r="AD1659" t="s">
        <v>1364</v>
      </c>
      <c r="AE1659" t="s">
        <v>1815</v>
      </c>
      <c r="AF1659" t="s">
        <v>1870</v>
      </c>
      <c r="AG1659" t="s">
        <v>142</v>
      </c>
      <c r="AH1659" t="b">
        <v>0</v>
      </c>
    </row>
    <row r="1660" spans="1:34">
      <c r="A1660" t="s">
        <v>1870</v>
      </c>
      <c r="AA1660" t="s">
        <v>1816</v>
      </c>
      <c r="AB1660" t="s">
        <v>1362</v>
      </c>
      <c r="AC1660" t="s">
        <v>1817</v>
      </c>
      <c r="AD1660" t="s">
        <v>1382</v>
      </c>
      <c r="AE1660" t="s">
        <v>1383</v>
      </c>
      <c r="AF1660" t="s">
        <v>1870</v>
      </c>
      <c r="AG1660" t="s">
        <v>142</v>
      </c>
      <c r="AH1660" t="b">
        <v>0</v>
      </c>
    </row>
    <row r="1661" spans="1:34">
      <c r="A1661" t="s">
        <v>1870</v>
      </c>
      <c r="AA1661" t="s">
        <v>1818</v>
      </c>
      <c r="AB1661" t="s">
        <v>1367</v>
      </c>
      <c r="AC1661" t="s">
        <v>1819</v>
      </c>
      <c r="AD1661" t="s">
        <v>1369</v>
      </c>
      <c r="AE1661" t="s">
        <v>1630</v>
      </c>
      <c r="AF1661" t="s">
        <v>1870</v>
      </c>
      <c r="AG1661" t="s">
        <v>142</v>
      </c>
      <c r="AH1661" t="b">
        <v>0</v>
      </c>
    </row>
    <row r="1662" spans="1:34">
      <c r="A1662" t="s">
        <v>1870</v>
      </c>
      <c r="AA1662" t="s">
        <v>1820</v>
      </c>
      <c r="AB1662" t="s">
        <v>1362</v>
      </c>
      <c r="AC1662" t="s">
        <v>1821</v>
      </c>
      <c r="AF1662" t="s">
        <v>1870</v>
      </c>
      <c r="AG1662" t="s">
        <v>142</v>
      </c>
      <c r="AH1662" t="b">
        <v>0</v>
      </c>
    </row>
    <row r="1663" spans="1:34">
      <c r="A1663" t="s">
        <v>1870</v>
      </c>
      <c r="AA1663" t="s">
        <v>1822</v>
      </c>
      <c r="AB1663" t="s">
        <v>1362</v>
      </c>
      <c r="AC1663" t="s">
        <v>1823</v>
      </c>
      <c r="AD1663" t="s">
        <v>1364</v>
      </c>
      <c r="AE1663" t="s">
        <v>1824</v>
      </c>
      <c r="AF1663" t="s">
        <v>1870</v>
      </c>
      <c r="AG1663" t="s">
        <v>142</v>
      </c>
      <c r="AH1663" t="b">
        <v>0</v>
      </c>
    </row>
    <row r="1664" spans="1:34">
      <c r="A1664" t="s">
        <v>1870</v>
      </c>
      <c r="AA1664" t="s">
        <v>1825</v>
      </c>
      <c r="AB1664" t="s">
        <v>1362</v>
      </c>
      <c r="AC1664" t="s">
        <v>1826</v>
      </c>
      <c r="AD1664" t="s">
        <v>1382</v>
      </c>
      <c r="AE1664" t="s">
        <v>1827</v>
      </c>
      <c r="AF1664" t="s">
        <v>1870</v>
      </c>
      <c r="AG1664" t="s">
        <v>142</v>
      </c>
      <c r="AH1664" t="b">
        <v>0</v>
      </c>
    </row>
    <row r="1665" spans="1:34">
      <c r="A1665" t="s">
        <v>1870</v>
      </c>
      <c r="AA1665" t="s">
        <v>1828</v>
      </c>
      <c r="AB1665" t="s">
        <v>1362</v>
      </c>
      <c r="AC1665" t="s">
        <v>1829</v>
      </c>
      <c r="AD1665" t="s">
        <v>1382</v>
      </c>
      <c r="AE1665" t="s">
        <v>1830</v>
      </c>
      <c r="AF1665" t="s">
        <v>1870</v>
      </c>
      <c r="AG1665" t="s">
        <v>142</v>
      </c>
      <c r="AH1665" t="b">
        <v>0</v>
      </c>
    </row>
    <row r="1666" spans="1:34">
      <c r="A1666" t="s">
        <v>1870</v>
      </c>
      <c r="AA1666" t="s">
        <v>1831</v>
      </c>
      <c r="AB1666" t="s">
        <v>1362</v>
      </c>
      <c r="AC1666" t="s">
        <v>1832</v>
      </c>
      <c r="AD1666" t="s">
        <v>1407</v>
      </c>
      <c r="AE1666" t="s">
        <v>1554</v>
      </c>
      <c r="AF1666" t="s">
        <v>1870</v>
      </c>
      <c r="AG1666" t="s">
        <v>142</v>
      </c>
      <c r="AH1666" t="b">
        <v>0</v>
      </c>
    </row>
    <row r="1667" spans="1:34">
      <c r="A1667" t="s">
        <v>1870</v>
      </c>
      <c r="AA1667" t="s">
        <v>1833</v>
      </c>
      <c r="AB1667" t="s">
        <v>1362</v>
      </c>
      <c r="AC1667" t="s">
        <v>1834</v>
      </c>
      <c r="AD1667" t="s">
        <v>1364</v>
      </c>
      <c r="AE1667" t="s">
        <v>1835</v>
      </c>
      <c r="AF1667" t="s">
        <v>1870</v>
      </c>
      <c r="AG1667" t="s">
        <v>142</v>
      </c>
      <c r="AH1667" t="b">
        <v>0</v>
      </c>
    </row>
    <row r="1668" spans="1:34">
      <c r="A1668" t="s">
        <v>1870</v>
      </c>
      <c r="AA1668" t="s">
        <v>1836</v>
      </c>
      <c r="AB1668" t="s">
        <v>1362</v>
      </c>
      <c r="AC1668" t="s">
        <v>1837</v>
      </c>
      <c r="AD1668" t="s">
        <v>1364</v>
      </c>
      <c r="AE1668" t="s">
        <v>1677</v>
      </c>
      <c r="AF1668" t="s">
        <v>1870</v>
      </c>
      <c r="AG1668" t="s">
        <v>142</v>
      </c>
      <c r="AH1668" t="b">
        <v>0</v>
      </c>
    </row>
    <row r="1669" spans="1:34">
      <c r="A1669" t="s">
        <v>1870</v>
      </c>
      <c r="AA1669" t="s">
        <v>1838</v>
      </c>
      <c r="AB1669" t="s">
        <v>1362</v>
      </c>
      <c r="AC1669" t="s">
        <v>1839</v>
      </c>
      <c r="AD1669" t="s">
        <v>1364</v>
      </c>
      <c r="AE1669" t="s">
        <v>1454</v>
      </c>
      <c r="AF1669" t="s">
        <v>1870</v>
      </c>
      <c r="AG1669" t="s">
        <v>142</v>
      </c>
      <c r="AH1669" t="b">
        <v>0</v>
      </c>
    </row>
    <row r="1670" spans="1:34">
      <c r="A1670" t="s">
        <v>1870</v>
      </c>
      <c r="AA1670" t="s">
        <v>1840</v>
      </c>
      <c r="AB1670" t="s">
        <v>1362</v>
      </c>
      <c r="AC1670" t="s">
        <v>1841</v>
      </c>
      <c r="AD1670" t="s">
        <v>1382</v>
      </c>
      <c r="AE1670" t="s">
        <v>1383</v>
      </c>
      <c r="AF1670" t="s">
        <v>1870</v>
      </c>
      <c r="AG1670" t="s">
        <v>142</v>
      </c>
      <c r="AH1670" t="b">
        <v>0</v>
      </c>
    </row>
    <row r="1671" spans="1:34">
      <c r="A1671" t="s">
        <v>1870</v>
      </c>
      <c r="AA1671" t="s">
        <v>1842</v>
      </c>
      <c r="AB1671" t="s">
        <v>1362</v>
      </c>
      <c r="AC1671" t="s">
        <v>1843</v>
      </c>
      <c r="AD1671" t="s">
        <v>1364</v>
      </c>
      <c r="AE1671" t="s">
        <v>1454</v>
      </c>
      <c r="AF1671" t="s">
        <v>1870</v>
      </c>
      <c r="AG1671" t="s">
        <v>142</v>
      </c>
      <c r="AH1671" t="b">
        <v>0</v>
      </c>
    </row>
    <row r="1672" spans="1:34">
      <c r="A1672" t="s">
        <v>1870</v>
      </c>
      <c r="AA1672" t="s">
        <v>1844</v>
      </c>
      <c r="AB1672" t="s">
        <v>1362</v>
      </c>
      <c r="AC1672" t="s">
        <v>1845</v>
      </c>
      <c r="AD1672" t="s">
        <v>1364</v>
      </c>
      <c r="AE1672" t="s">
        <v>1423</v>
      </c>
      <c r="AF1672" t="s">
        <v>1870</v>
      </c>
      <c r="AG1672" t="s">
        <v>142</v>
      </c>
      <c r="AH1672" t="b">
        <v>0</v>
      </c>
    </row>
    <row r="1673" spans="1:34">
      <c r="A1673" t="s">
        <v>1870</v>
      </c>
      <c r="AA1673" t="s">
        <v>1846</v>
      </c>
      <c r="AB1673" t="s">
        <v>1362</v>
      </c>
      <c r="AC1673" t="s">
        <v>1847</v>
      </c>
      <c r="AD1673" t="s">
        <v>1848</v>
      </c>
      <c r="AE1673" t="s">
        <v>1401</v>
      </c>
      <c r="AF1673" t="s">
        <v>1870</v>
      </c>
      <c r="AG1673" t="s">
        <v>142</v>
      </c>
      <c r="AH1673" t="b">
        <v>0</v>
      </c>
    </row>
    <row r="1674" spans="1:34">
      <c r="A1674" t="s">
        <v>1871</v>
      </c>
      <c r="Q1674" t="s">
        <v>8</v>
      </c>
      <c r="AF1674" t="s">
        <v>1871</v>
      </c>
      <c r="AG1674" t="s">
        <v>142</v>
      </c>
      <c r="AH1674" t="b">
        <v>0</v>
      </c>
    </row>
    <row r="1675" spans="1:34">
      <c r="A1675" t="s">
        <v>1871</v>
      </c>
      <c r="Q1675" t="s">
        <v>207</v>
      </c>
      <c r="AF1675" t="s">
        <v>1871</v>
      </c>
      <c r="AG1675" t="s">
        <v>142</v>
      </c>
      <c r="AH1675" t="b">
        <v>0</v>
      </c>
    </row>
    <row r="1676" spans="1:34">
      <c r="A1676" t="s">
        <v>1871</v>
      </c>
      <c r="Q1676" t="s">
        <v>210</v>
      </c>
      <c r="AF1676" t="s">
        <v>1871</v>
      </c>
      <c r="AG1676" t="s">
        <v>142</v>
      </c>
      <c r="AH1676" t="b">
        <v>0</v>
      </c>
    </row>
    <row r="1677" spans="1:34">
      <c r="A1677" t="s">
        <v>1871</v>
      </c>
      <c r="Q1677" t="s">
        <v>212</v>
      </c>
      <c r="AF1677" t="s">
        <v>1871</v>
      </c>
      <c r="AG1677" t="s">
        <v>142</v>
      </c>
      <c r="AH1677" t="b">
        <v>0</v>
      </c>
    </row>
    <row r="1678" spans="1:34">
      <c r="A1678" t="s">
        <v>1871</v>
      </c>
      <c r="Q1678" t="s">
        <v>213</v>
      </c>
      <c r="AF1678" t="s">
        <v>1871</v>
      </c>
      <c r="AG1678" t="s">
        <v>142</v>
      </c>
      <c r="AH1678" t="b">
        <v>0</v>
      </c>
    </row>
    <row r="1679" spans="1:34">
      <c r="A1679" t="s">
        <v>1871</v>
      </c>
      <c r="Q1679" t="s">
        <v>215</v>
      </c>
      <c r="AF1679" t="s">
        <v>1871</v>
      </c>
      <c r="AG1679" t="s">
        <v>142</v>
      </c>
      <c r="AH1679" t="b">
        <v>0</v>
      </c>
    </row>
    <row r="1680" spans="1:34">
      <c r="A1680" t="s">
        <v>1872</v>
      </c>
      <c r="AA1680" t="s">
        <v>1361</v>
      </c>
      <c r="AF1680" t="s">
        <v>1872</v>
      </c>
      <c r="AG1680" t="s">
        <v>142</v>
      </c>
      <c r="AH1680" t="b">
        <v>0</v>
      </c>
    </row>
    <row r="1681" spans="1:34">
      <c r="A1681" t="s">
        <v>1872</v>
      </c>
      <c r="AA1681" t="s">
        <v>1366</v>
      </c>
      <c r="AF1681" t="s">
        <v>1872</v>
      </c>
      <c r="AG1681" t="s">
        <v>142</v>
      </c>
      <c r="AH1681" t="b">
        <v>0</v>
      </c>
    </row>
    <row r="1682" spans="1:34">
      <c r="A1682" t="s">
        <v>1872</v>
      </c>
      <c r="AA1682" t="s">
        <v>1371</v>
      </c>
      <c r="AF1682" t="s">
        <v>1872</v>
      </c>
      <c r="AG1682" t="s">
        <v>142</v>
      </c>
      <c r="AH1682" t="b">
        <v>0</v>
      </c>
    </row>
    <row r="1683" spans="1:34">
      <c r="A1683" t="s">
        <v>1872</v>
      </c>
      <c r="AA1683" t="s">
        <v>1374</v>
      </c>
      <c r="AF1683" t="s">
        <v>1872</v>
      </c>
      <c r="AG1683" t="s">
        <v>142</v>
      </c>
      <c r="AH1683" t="b">
        <v>0</v>
      </c>
    </row>
    <row r="1684" spans="1:34">
      <c r="A1684" t="s">
        <v>1872</v>
      </c>
      <c r="AA1684" t="s">
        <v>1377</v>
      </c>
      <c r="AF1684" t="s">
        <v>1872</v>
      </c>
      <c r="AG1684" t="s">
        <v>142</v>
      </c>
      <c r="AH1684" t="b">
        <v>0</v>
      </c>
    </row>
    <row r="1685" spans="1:34">
      <c r="A1685" t="s">
        <v>1872</v>
      </c>
      <c r="AA1685" t="s">
        <v>1380</v>
      </c>
      <c r="AF1685" t="s">
        <v>1872</v>
      </c>
      <c r="AG1685" t="s">
        <v>142</v>
      </c>
      <c r="AH1685" t="b">
        <v>0</v>
      </c>
    </row>
    <row r="1686" spans="1:34">
      <c r="A1686" t="s">
        <v>1872</v>
      </c>
      <c r="AA1686" t="s">
        <v>1384</v>
      </c>
      <c r="AF1686" t="s">
        <v>1872</v>
      </c>
      <c r="AG1686" t="s">
        <v>142</v>
      </c>
      <c r="AH1686" t="b">
        <v>0</v>
      </c>
    </row>
    <row r="1687" spans="1:34">
      <c r="A1687" t="s">
        <v>1872</v>
      </c>
      <c r="AA1687" t="s">
        <v>1387</v>
      </c>
      <c r="AF1687" t="s">
        <v>1872</v>
      </c>
      <c r="AG1687" t="s">
        <v>142</v>
      </c>
      <c r="AH1687" t="b">
        <v>0</v>
      </c>
    </row>
    <row r="1688" spans="1:34">
      <c r="A1688" t="s">
        <v>1872</v>
      </c>
      <c r="AA1688" t="s">
        <v>1390</v>
      </c>
      <c r="AF1688" t="s">
        <v>1872</v>
      </c>
      <c r="AG1688" t="s">
        <v>142</v>
      </c>
      <c r="AH1688" t="b">
        <v>0</v>
      </c>
    </row>
    <row r="1689" spans="1:34">
      <c r="A1689" t="s">
        <v>1872</v>
      </c>
      <c r="AA1689" t="s">
        <v>1393</v>
      </c>
      <c r="AF1689" t="s">
        <v>1872</v>
      </c>
      <c r="AG1689" t="s">
        <v>142</v>
      </c>
      <c r="AH1689" t="b">
        <v>0</v>
      </c>
    </row>
    <row r="1690" spans="1:34">
      <c r="A1690" t="s">
        <v>1872</v>
      </c>
      <c r="AA1690" t="s">
        <v>1396</v>
      </c>
      <c r="AF1690" t="s">
        <v>1872</v>
      </c>
      <c r="AG1690" t="s">
        <v>142</v>
      </c>
      <c r="AH1690" t="b">
        <v>0</v>
      </c>
    </row>
    <row r="1691" spans="1:34">
      <c r="A1691" t="s">
        <v>1872</v>
      </c>
      <c r="AA1691" t="s">
        <v>1399</v>
      </c>
      <c r="AF1691" t="s">
        <v>1872</v>
      </c>
      <c r="AG1691" t="s">
        <v>142</v>
      </c>
      <c r="AH1691" t="b">
        <v>0</v>
      </c>
    </row>
    <row r="1692" spans="1:34">
      <c r="A1692" t="s">
        <v>1872</v>
      </c>
      <c r="AA1692" t="s">
        <v>1402</v>
      </c>
      <c r="AF1692" t="s">
        <v>1872</v>
      </c>
      <c r="AG1692" t="s">
        <v>142</v>
      </c>
      <c r="AH1692" t="b">
        <v>0</v>
      </c>
    </row>
    <row r="1693" spans="1:34">
      <c r="A1693" t="s">
        <v>1872</v>
      </c>
      <c r="AA1693" t="s">
        <v>1405</v>
      </c>
      <c r="AF1693" t="s">
        <v>1872</v>
      </c>
      <c r="AG1693" t="s">
        <v>142</v>
      </c>
      <c r="AH1693" t="b">
        <v>0</v>
      </c>
    </row>
    <row r="1694" spans="1:34">
      <c r="A1694" t="s">
        <v>1872</v>
      </c>
      <c r="AA1694" t="s">
        <v>1408</v>
      </c>
      <c r="AF1694" t="s">
        <v>1872</v>
      </c>
      <c r="AG1694" t="s">
        <v>142</v>
      </c>
      <c r="AH1694" t="b">
        <v>0</v>
      </c>
    </row>
    <row r="1695" spans="1:34">
      <c r="A1695" t="s">
        <v>1872</v>
      </c>
      <c r="AA1695" t="s">
        <v>1411</v>
      </c>
      <c r="AF1695" t="s">
        <v>1872</v>
      </c>
      <c r="AG1695" t="s">
        <v>142</v>
      </c>
      <c r="AH1695" t="b">
        <v>0</v>
      </c>
    </row>
    <row r="1696" spans="1:34">
      <c r="A1696" t="s">
        <v>1872</v>
      </c>
      <c r="AA1696" t="s">
        <v>1414</v>
      </c>
      <c r="AF1696" t="s">
        <v>1872</v>
      </c>
      <c r="AG1696" t="s">
        <v>142</v>
      </c>
      <c r="AH1696" t="b">
        <v>0</v>
      </c>
    </row>
    <row r="1697" spans="1:34">
      <c r="A1697" t="s">
        <v>1872</v>
      </c>
      <c r="AA1697" t="s">
        <v>1417</v>
      </c>
      <c r="AF1697" t="s">
        <v>1872</v>
      </c>
      <c r="AG1697" t="s">
        <v>142</v>
      </c>
      <c r="AH1697" t="b">
        <v>0</v>
      </c>
    </row>
    <row r="1698" spans="1:34">
      <c r="A1698" t="s">
        <v>1872</v>
      </c>
      <c r="AA1698" t="s">
        <v>1421</v>
      </c>
      <c r="AF1698" t="s">
        <v>1872</v>
      </c>
      <c r="AG1698" t="s">
        <v>142</v>
      </c>
      <c r="AH1698" t="b">
        <v>0</v>
      </c>
    </row>
    <row r="1699" spans="1:34">
      <c r="A1699" t="s">
        <v>1872</v>
      </c>
      <c r="AA1699" t="s">
        <v>1424</v>
      </c>
      <c r="AF1699" t="s">
        <v>1872</v>
      </c>
      <c r="AG1699" t="s">
        <v>142</v>
      </c>
      <c r="AH1699" t="b">
        <v>0</v>
      </c>
    </row>
    <row r="1700" spans="1:34">
      <c r="A1700" t="s">
        <v>1872</v>
      </c>
      <c r="AA1700" t="s">
        <v>1427</v>
      </c>
      <c r="AF1700" t="s">
        <v>1872</v>
      </c>
      <c r="AG1700" t="s">
        <v>142</v>
      </c>
      <c r="AH1700" t="b">
        <v>0</v>
      </c>
    </row>
    <row r="1701" spans="1:34">
      <c r="A1701" t="s">
        <v>1872</v>
      </c>
      <c r="AA1701" t="s">
        <v>1429</v>
      </c>
      <c r="AF1701" t="s">
        <v>1872</v>
      </c>
      <c r="AG1701" t="s">
        <v>142</v>
      </c>
      <c r="AH1701" t="b">
        <v>0</v>
      </c>
    </row>
    <row r="1702" spans="1:34">
      <c r="A1702" t="s">
        <v>1872</v>
      </c>
      <c r="AA1702" t="s">
        <v>1432</v>
      </c>
      <c r="AF1702" t="s">
        <v>1872</v>
      </c>
      <c r="AG1702" t="s">
        <v>142</v>
      </c>
      <c r="AH1702" t="b">
        <v>0</v>
      </c>
    </row>
    <row r="1703" spans="1:34">
      <c r="A1703" t="s">
        <v>1872</v>
      </c>
      <c r="AA1703" t="s">
        <v>1434</v>
      </c>
      <c r="AF1703" t="s">
        <v>1872</v>
      </c>
      <c r="AG1703" t="s">
        <v>142</v>
      </c>
      <c r="AH1703" t="b">
        <v>0</v>
      </c>
    </row>
    <row r="1704" spans="1:34">
      <c r="A1704" t="s">
        <v>1872</v>
      </c>
      <c r="AA1704" t="s">
        <v>1437</v>
      </c>
      <c r="AF1704" t="s">
        <v>1872</v>
      </c>
      <c r="AG1704" t="s">
        <v>142</v>
      </c>
      <c r="AH1704" t="b">
        <v>0</v>
      </c>
    </row>
    <row r="1705" spans="1:34">
      <c r="A1705" t="s">
        <v>1872</v>
      </c>
      <c r="AA1705" t="s">
        <v>1439</v>
      </c>
      <c r="AF1705" t="s">
        <v>1872</v>
      </c>
      <c r="AG1705" t="s">
        <v>142</v>
      </c>
      <c r="AH1705" t="b">
        <v>0</v>
      </c>
    </row>
    <row r="1706" spans="1:34">
      <c r="A1706" t="s">
        <v>1872</v>
      </c>
      <c r="AA1706" t="s">
        <v>1442</v>
      </c>
      <c r="AF1706" t="s">
        <v>1872</v>
      </c>
      <c r="AG1706" t="s">
        <v>142</v>
      </c>
      <c r="AH1706" t="b">
        <v>0</v>
      </c>
    </row>
    <row r="1707" spans="1:34">
      <c r="A1707" t="s">
        <v>1872</v>
      </c>
      <c r="AA1707" t="s">
        <v>1444</v>
      </c>
      <c r="AF1707" t="s">
        <v>1872</v>
      </c>
      <c r="AG1707" t="s">
        <v>142</v>
      </c>
      <c r="AH1707" t="b">
        <v>0</v>
      </c>
    </row>
    <row r="1708" spans="1:34">
      <c r="A1708" t="s">
        <v>1872</v>
      </c>
      <c r="AA1708" t="s">
        <v>1447</v>
      </c>
      <c r="AF1708" t="s">
        <v>1872</v>
      </c>
      <c r="AG1708" t="s">
        <v>142</v>
      </c>
      <c r="AH1708" t="b">
        <v>0</v>
      </c>
    </row>
    <row r="1709" spans="1:34">
      <c r="A1709" t="s">
        <v>1872</v>
      </c>
      <c r="AA1709" t="s">
        <v>1449</v>
      </c>
      <c r="AF1709" t="s">
        <v>1872</v>
      </c>
      <c r="AG1709" t="s">
        <v>142</v>
      </c>
      <c r="AH1709" t="b">
        <v>0</v>
      </c>
    </row>
    <row r="1710" spans="1:34">
      <c r="A1710" t="s">
        <v>1872</v>
      </c>
      <c r="AA1710" t="s">
        <v>1452</v>
      </c>
      <c r="AF1710" t="s">
        <v>1872</v>
      </c>
      <c r="AG1710" t="s">
        <v>142</v>
      </c>
      <c r="AH1710" t="b">
        <v>0</v>
      </c>
    </row>
    <row r="1711" spans="1:34">
      <c r="A1711" t="s">
        <v>1872</v>
      </c>
      <c r="AA1711" t="s">
        <v>1455</v>
      </c>
      <c r="AF1711" t="s">
        <v>1872</v>
      </c>
      <c r="AG1711" t="s">
        <v>142</v>
      </c>
      <c r="AH1711" t="b">
        <v>0</v>
      </c>
    </row>
    <row r="1712" spans="1:34">
      <c r="A1712" t="s">
        <v>1872</v>
      </c>
      <c r="AA1712" t="s">
        <v>17</v>
      </c>
      <c r="AF1712" t="s">
        <v>1872</v>
      </c>
      <c r="AG1712" t="s">
        <v>142</v>
      </c>
      <c r="AH1712" t="b">
        <v>0</v>
      </c>
    </row>
    <row r="1713" spans="1:34">
      <c r="A1713" t="s">
        <v>1872</v>
      </c>
      <c r="AA1713" t="s">
        <v>1461</v>
      </c>
      <c r="AF1713" t="s">
        <v>1872</v>
      </c>
      <c r="AG1713" t="s">
        <v>142</v>
      </c>
      <c r="AH1713" t="b">
        <v>0</v>
      </c>
    </row>
    <row r="1714" spans="1:34">
      <c r="A1714" t="s">
        <v>1872</v>
      </c>
      <c r="AA1714" t="s">
        <v>1465</v>
      </c>
      <c r="AF1714" t="s">
        <v>1872</v>
      </c>
      <c r="AG1714" t="s">
        <v>142</v>
      </c>
      <c r="AH1714" t="b">
        <v>0</v>
      </c>
    </row>
    <row r="1715" spans="1:34">
      <c r="A1715" t="s">
        <v>1872</v>
      </c>
      <c r="AA1715" t="s">
        <v>1468</v>
      </c>
      <c r="AF1715" t="s">
        <v>1872</v>
      </c>
      <c r="AG1715" t="s">
        <v>142</v>
      </c>
      <c r="AH1715" t="b">
        <v>0</v>
      </c>
    </row>
    <row r="1716" spans="1:34">
      <c r="A1716" t="s">
        <v>1872</v>
      </c>
      <c r="AA1716" t="s">
        <v>1471</v>
      </c>
      <c r="AF1716" t="s">
        <v>1872</v>
      </c>
      <c r="AG1716" t="s">
        <v>142</v>
      </c>
      <c r="AH1716" t="b">
        <v>0</v>
      </c>
    </row>
    <row r="1717" spans="1:34">
      <c r="A1717" t="s">
        <v>1872</v>
      </c>
      <c r="AA1717" t="s">
        <v>1473</v>
      </c>
      <c r="AF1717" t="s">
        <v>1872</v>
      </c>
      <c r="AG1717" t="s">
        <v>142</v>
      </c>
      <c r="AH1717" t="b">
        <v>0</v>
      </c>
    </row>
    <row r="1718" spans="1:34">
      <c r="A1718" t="s">
        <v>1872</v>
      </c>
      <c r="AA1718" t="s">
        <v>1476</v>
      </c>
      <c r="AF1718" t="s">
        <v>1872</v>
      </c>
      <c r="AG1718" t="s">
        <v>142</v>
      </c>
      <c r="AH1718" t="b">
        <v>0</v>
      </c>
    </row>
    <row r="1719" spans="1:34">
      <c r="A1719" t="s">
        <v>1872</v>
      </c>
      <c r="AA1719" t="s">
        <v>1479</v>
      </c>
      <c r="AF1719" t="s">
        <v>1872</v>
      </c>
      <c r="AG1719" t="s">
        <v>142</v>
      </c>
      <c r="AH1719" t="b">
        <v>0</v>
      </c>
    </row>
    <row r="1720" spans="1:34">
      <c r="A1720" t="s">
        <v>1872</v>
      </c>
      <c r="AA1720" t="s">
        <v>1482</v>
      </c>
      <c r="AF1720" t="s">
        <v>1872</v>
      </c>
      <c r="AG1720" t="s">
        <v>142</v>
      </c>
      <c r="AH1720" t="b">
        <v>0</v>
      </c>
    </row>
    <row r="1721" spans="1:34">
      <c r="A1721" t="s">
        <v>1872</v>
      </c>
      <c r="AA1721" t="s">
        <v>1485</v>
      </c>
      <c r="AF1721" t="s">
        <v>1872</v>
      </c>
      <c r="AG1721" t="s">
        <v>142</v>
      </c>
      <c r="AH1721" t="b">
        <v>0</v>
      </c>
    </row>
    <row r="1722" spans="1:34">
      <c r="A1722" t="s">
        <v>1872</v>
      </c>
      <c r="AA1722" t="s">
        <v>1488</v>
      </c>
      <c r="AF1722" t="s">
        <v>1872</v>
      </c>
      <c r="AG1722" t="s">
        <v>142</v>
      </c>
      <c r="AH1722" t="b">
        <v>0</v>
      </c>
    </row>
    <row r="1723" spans="1:34">
      <c r="A1723" t="s">
        <v>1872</v>
      </c>
      <c r="AA1723" t="s">
        <v>1491</v>
      </c>
      <c r="AF1723" t="s">
        <v>1872</v>
      </c>
      <c r="AG1723" t="s">
        <v>142</v>
      </c>
      <c r="AH1723" t="b">
        <v>0</v>
      </c>
    </row>
    <row r="1724" spans="1:34">
      <c r="A1724" t="s">
        <v>1872</v>
      </c>
      <c r="AA1724" t="s">
        <v>1494</v>
      </c>
      <c r="AF1724" t="s">
        <v>1872</v>
      </c>
      <c r="AG1724" t="s">
        <v>142</v>
      </c>
      <c r="AH1724" t="b">
        <v>0</v>
      </c>
    </row>
    <row r="1725" spans="1:34">
      <c r="A1725" t="s">
        <v>1872</v>
      </c>
      <c r="AA1725" t="s">
        <v>1497</v>
      </c>
      <c r="AF1725" t="s">
        <v>1872</v>
      </c>
      <c r="AG1725" t="s">
        <v>142</v>
      </c>
      <c r="AH1725" t="b">
        <v>0</v>
      </c>
    </row>
    <row r="1726" spans="1:34">
      <c r="A1726" t="s">
        <v>1872</v>
      </c>
      <c r="AA1726" t="s">
        <v>1500</v>
      </c>
      <c r="AF1726" t="s">
        <v>1872</v>
      </c>
      <c r="AG1726" t="s">
        <v>142</v>
      </c>
      <c r="AH1726" t="b">
        <v>0</v>
      </c>
    </row>
    <row r="1727" spans="1:34">
      <c r="A1727" t="s">
        <v>1872</v>
      </c>
      <c r="AA1727" t="s">
        <v>1503</v>
      </c>
      <c r="AF1727" t="s">
        <v>1872</v>
      </c>
      <c r="AG1727" t="s">
        <v>142</v>
      </c>
      <c r="AH1727" t="b">
        <v>0</v>
      </c>
    </row>
    <row r="1728" spans="1:34">
      <c r="A1728" t="s">
        <v>1872</v>
      </c>
      <c r="AA1728" t="s">
        <v>1506</v>
      </c>
      <c r="AF1728" t="s">
        <v>1872</v>
      </c>
      <c r="AG1728" t="s">
        <v>142</v>
      </c>
      <c r="AH1728" t="b">
        <v>0</v>
      </c>
    </row>
    <row r="1729" spans="1:34">
      <c r="A1729" t="s">
        <v>1872</v>
      </c>
      <c r="AA1729" t="s">
        <v>1508</v>
      </c>
      <c r="AF1729" t="s">
        <v>1872</v>
      </c>
      <c r="AG1729" t="s">
        <v>142</v>
      </c>
      <c r="AH1729" t="b">
        <v>0</v>
      </c>
    </row>
    <row r="1730" spans="1:34">
      <c r="A1730" t="s">
        <v>1872</v>
      </c>
      <c r="AA1730" t="s">
        <v>1511</v>
      </c>
      <c r="AF1730" t="s">
        <v>1872</v>
      </c>
      <c r="AG1730" t="s">
        <v>142</v>
      </c>
      <c r="AH1730" t="b">
        <v>0</v>
      </c>
    </row>
    <row r="1731" spans="1:34">
      <c r="A1731" t="s">
        <v>1872</v>
      </c>
      <c r="AA1731" t="s">
        <v>1514</v>
      </c>
      <c r="AF1731" t="s">
        <v>1872</v>
      </c>
      <c r="AG1731" t="s">
        <v>142</v>
      </c>
      <c r="AH1731" t="b">
        <v>0</v>
      </c>
    </row>
    <row r="1732" spans="1:34">
      <c r="A1732" t="s">
        <v>1872</v>
      </c>
      <c r="AA1732" t="s">
        <v>1516</v>
      </c>
      <c r="AF1732" t="s">
        <v>1872</v>
      </c>
      <c r="AG1732" t="s">
        <v>142</v>
      </c>
      <c r="AH1732" t="b">
        <v>0</v>
      </c>
    </row>
    <row r="1733" spans="1:34">
      <c r="A1733" t="s">
        <v>1872</v>
      </c>
      <c r="AA1733" t="s">
        <v>1519</v>
      </c>
      <c r="AF1733" t="s">
        <v>1872</v>
      </c>
      <c r="AG1733" t="s">
        <v>142</v>
      </c>
      <c r="AH1733" t="b">
        <v>0</v>
      </c>
    </row>
    <row r="1734" spans="1:34">
      <c r="A1734" t="s">
        <v>1872</v>
      </c>
      <c r="AA1734" t="s">
        <v>1522</v>
      </c>
      <c r="AF1734" t="s">
        <v>1872</v>
      </c>
      <c r="AG1734" t="s">
        <v>142</v>
      </c>
      <c r="AH1734" t="b">
        <v>0</v>
      </c>
    </row>
    <row r="1735" spans="1:34">
      <c r="A1735" t="s">
        <v>1872</v>
      </c>
      <c r="AA1735" t="s">
        <v>1524</v>
      </c>
      <c r="AF1735" t="s">
        <v>1872</v>
      </c>
      <c r="AG1735" t="s">
        <v>142</v>
      </c>
      <c r="AH1735" t="b">
        <v>0</v>
      </c>
    </row>
    <row r="1736" spans="1:34">
      <c r="A1736" t="s">
        <v>1872</v>
      </c>
      <c r="AA1736" t="s">
        <v>1526</v>
      </c>
      <c r="AF1736" t="s">
        <v>1872</v>
      </c>
      <c r="AG1736" t="s">
        <v>142</v>
      </c>
      <c r="AH1736" t="b">
        <v>0</v>
      </c>
    </row>
    <row r="1737" spans="1:34">
      <c r="A1737" t="s">
        <v>1872</v>
      </c>
      <c r="AA1737" t="s">
        <v>1528</v>
      </c>
      <c r="AF1737" t="s">
        <v>1872</v>
      </c>
      <c r="AG1737" t="s">
        <v>142</v>
      </c>
      <c r="AH1737" t="b">
        <v>0</v>
      </c>
    </row>
    <row r="1738" spans="1:34">
      <c r="A1738" t="s">
        <v>1872</v>
      </c>
      <c r="AA1738" t="s">
        <v>1530</v>
      </c>
      <c r="AF1738" t="s">
        <v>1872</v>
      </c>
      <c r="AG1738" t="s">
        <v>142</v>
      </c>
      <c r="AH1738" t="b">
        <v>0</v>
      </c>
    </row>
    <row r="1739" spans="1:34">
      <c r="A1739" t="s">
        <v>1872</v>
      </c>
      <c r="AA1739" t="s">
        <v>1533</v>
      </c>
      <c r="AF1739" t="s">
        <v>1872</v>
      </c>
      <c r="AG1739" t="s">
        <v>142</v>
      </c>
      <c r="AH1739" t="b">
        <v>0</v>
      </c>
    </row>
    <row r="1740" spans="1:34">
      <c r="A1740" t="s">
        <v>1872</v>
      </c>
      <c r="AA1740" t="s">
        <v>1535</v>
      </c>
      <c r="AF1740" t="s">
        <v>1872</v>
      </c>
      <c r="AG1740" t="s">
        <v>142</v>
      </c>
      <c r="AH1740" t="b">
        <v>0</v>
      </c>
    </row>
    <row r="1741" spans="1:34">
      <c r="A1741" t="s">
        <v>1872</v>
      </c>
      <c r="AA1741" t="s">
        <v>1538</v>
      </c>
      <c r="AF1741" t="s">
        <v>1872</v>
      </c>
      <c r="AG1741" t="s">
        <v>142</v>
      </c>
      <c r="AH1741" t="b">
        <v>0</v>
      </c>
    </row>
    <row r="1742" spans="1:34">
      <c r="A1742" t="s">
        <v>1872</v>
      </c>
      <c r="AA1742" t="s">
        <v>1540</v>
      </c>
      <c r="AF1742" t="s">
        <v>1872</v>
      </c>
      <c r="AG1742" t="s">
        <v>142</v>
      </c>
      <c r="AH1742" t="b">
        <v>0</v>
      </c>
    </row>
    <row r="1743" spans="1:34">
      <c r="A1743" t="s">
        <v>1872</v>
      </c>
      <c r="AA1743" t="s">
        <v>1543</v>
      </c>
      <c r="AF1743" t="s">
        <v>1872</v>
      </c>
      <c r="AG1743" t="s">
        <v>142</v>
      </c>
      <c r="AH1743" t="b">
        <v>0</v>
      </c>
    </row>
    <row r="1744" spans="1:34">
      <c r="A1744" t="s">
        <v>1872</v>
      </c>
      <c r="AA1744" t="s">
        <v>1545</v>
      </c>
      <c r="AF1744" t="s">
        <v>1872</v>
      </c>
      <c r="AG1744" t="s">
        <v>142</v>
      </c>
      <c r="AH1744" t="b">
        <v>0</v>
      </c>
    </row>
    <row r="1745" spans="1:34">
      <c r="A1745" t="s">
        <v>1872</v>
      </c>
      <c r="AA1745" t="s">
        <v>1548</v>
      </c>
      <c r="AF1745" t="s">
        <v>1872</v>
      </c>
      <c r="AG1745" t="s">
        <v>142</v>
      </c>
      <c r="AH1745" t="b">
        <v>0</v>
      </c>
    </row>
    <row r="1746" spans="1:34">
      <c r="A1746" t="s">
        <v>1872</v>
      </c>
      <c r="AA1746" t="s">
        <v>1550</v>
      </c>
      <c r="AF1746" t="s">
        <v>1872</v>
      </c>
      <c r="AG1746" t="s">
        <v>142</v>
      </c>
      <c r="AH1746" t="b">
        <v>0</v>
      </c>
    </row>
    <row r="1747" spans="1:34">
      <c r="A1747" t="s">
        <v>1872</v>
      </c>
      <c r="AA1747" t="s">
        <v>1552</v>
      </c>
      <c r="AF1747" t="s">
        <v>1872</v>
      </c>
      <c r="AG1747" t="s">
        <v>142</v>
      </c>
      <c r="AH1747" t="b">
        <v>0</v>
      </c>
    </row>
    <row r="1748" spans="1:34">
      <c r="A1748" t="s">
        <v>1872</v>
      </c>
      <c r="AA1748" t="s">
        <v>1555</v>
      </c>
      <c r="AF1748" t="s">
        <v>1872</v>
      </c>
      <c r="AG1748" t="s">
        <v>142</v>
      </c>
      <c r="AH1748" t="b">
        <v>0</v>
      </c>
    </row>
    <row r="1749" spans="1:34">
      <c r="A1749" t="s">
        <v>1872</v>
      </c>
      <c r="AA1749" t="s">
        <v>1557</v>
      </c>
      <c r="AF1749" t="s">
        <v>1872</v>
      </c>
      <c r="AG1749" t="s">
        <v>142</v>
      </c>
      <c r="AH1749" t="b">
        <v>0</v>
      </c>
    </row>
    <row r="1750" spans="1:34">
      <c r="A1750" t="s">
        <v>1872</v>
      </c>
      <c r="AA1750" t="s">
        <v>1560</v>
      </c>
      <c r="AF1750" t="s">
        <v>1872</v>
      </c>
      <c r="AG1750" t="s">
        <v>142</v>
      </c>
      <c r="AH1750" t="b">
        <v>0</v>
      </c>
    </row>
    <row r="1751" spans="1:34">
      <c r="A1751" t="s">
        <v>1872</v>
      </c>
      <c r="AA1751" t="s">
        <v>1873</v>
      </c>
      <c r="AF1751" t="s">
        <v>1872</v>
      </c>
      <c r="AG1751" t="s">
        <v>142</v>
      </c>
      <c r="AH1751" t="b">
        <v>0</v>
      </c>
    </row>
    <row r="1752" spans="1:34">
      <c r="A1752" t="s">
        <v>1872</v>
      </c>
      <c r="AA1752" t="s">
        <v>1566</v>
      </c>
      <c r="AF1752" t="s">
        <v>1872</v>
      </c>
      <c r="AG1752" t="s">
        <v>142</v>
      </c>
      <c r="AH1752" t="b">
        <v>0</v>
      </c>
    </row>
    <row r="1753" spans="1:34">
      <c r="A1753" t="s">
        <v>1872</v>
      </c>
      <c r="AA1753" t="s">
        <v>1569</v>
      </c>
      <c r="AF1753" t="s">
        <v>1872</v>
      </c>
      <c r="AG1753" t="s">
        <v>142</v>
      </c>
      <c r="AH1753" t="b">
        <v>0</v>
      </c>
    </row>
    <row r="1754" spans="1:34">
      <c r="A1754" t="s">
        <v>1872</v>
      </c>
      <c r="AA1754" t="s">
        <v>1571</v>
      </c>
      <c r="AF1754" t="s">
        <v>1872</v>
      </c>
      <c r="AG1754" t="s">
        <v>142</v>
      </c>
      <c r="AH1754" t="b">
        <v>0</v>
      </c>
    </row>
    <row r="1755" spans="1:34">
      <c r="A1755" t="s">
        <v>1872</v>
      </c>
      <c r="AA1755" t="s">
        <v>1574</v>
      </c>
      <c r="AF1755" t="s">
        <v>1872</v>
      </c>
      <c r="AG1755" t="s">
        <v>142</v>
      </c>
      <c r="AH1755" t="b">
        <v>0</v>
      </c>
    </row>
    <row r="1756" spans="1:34">
      <c r="A1756" t="s">
        <v>1872</v>
      </c>
      <c r="AA1756" t="s">
        <v>1576</v>
      </c>
      <c r="AF1756" t="s">
        <v>1872</v>
      </c>
      <c r="AG1756" t="s">
        <v>142</v>
      </c>
      <c r="AH1756" t="b">
        <v>0</v>
      </c>
    </row>
    <row r="1757" spans="1:34">
      <c r="A1757" t="s">
        <v>1872</v>
      </c>
      <c r="AA1757" t="s">
        <v>1578</v>
      </c>
      <c r="AF1757" t="s">
        <v>1872</v>
      </c>
      <c r="AG1757" t="s">
        <v>142</v>
      </c>
      <c r="AH1757" t="b">
        <v>0</v>
      </c>
    </row>
    <row r="1758" spans="1:34">
      <c r="A1758" t="s">
        <v>1872</v>
      </c>
      <c r="AA1758" t="s">
        <v>1580</v>
      </c>
      <c r="AF1758" t="s">
        <v>1872</v>
      </c>
      <c r="AG1758" t="s">
        <v>142</v>
      </c>
      <c r="AH1758" t="b">
        <v>0</v>
      </c>
    </row>
    <row r="1759" spans="1:34">
      <c r="A1759" t="s">
        <v>1872</v>
      </c>
      <c r="AA1759" t="s">
        <v>1583</v>
      </c>
      <c r="AF1759" t="s">
        <v>1872</v>
      </c>
      <c r="AG1759" t="s">
        <v>142</v>
      </c>
      <c r="AH1759" t="b">
        <v>0</v>
      </c>
    </row>
    <row r="1760" spans="1:34">
      <c r="A1760" t="s">
        <v>1872</v>
      </c>
      <c r="AA1760" t="s">
        <v>1586</v>
      </c>
      <c r="AF1760" t="s">
        <v>1872</v>
      </c>
      <c r="AG1760" t="s">
        <v>142</v>
      </c>
      <c r="AH1760" t="b">
        <v>0</v>
      </c>
    </row>
    <row r="1761" spans="1:34">
      <c r="A1761" t="s">
        <v>1872</v>
      </c>
      <c r="AA1761" t="s">
        <v>1589</v>
      </c>
      <c r="AF1761" t="s">
        <v>1872</v>
      </c>
      <c r="AG1761" t="s">
        <v>142</v>
      </c>
      <c r="AH1761" t="b">
        <v>0</v>
      </c>
    </row>
    <row r="1762" spans="1:34">
      <c r="A1762" t="s">
        <v>1872</v>
      </c>
      <c r="AA1762" t="s">
        <v>1592</v>
      </c>
      <c r="AF1762" t="s">
        <v>1872</v>
      </c>
      <c r="AG1762" t="s">
        <v>142</v>
      </c>
      <c r="AH1762" t="b">
        <v>0</v>
      </c>
    </row>
    <row r="1763" spans="1:34">
      <c r="A1763" t="s">
        <v>1872</v>
      </c>
      <c r="AA1763" t="s">
        <v>1595</v>
      </c>
      <c r="AF1763" t="s">
        <v>1872</v>
      </c>
      <c r="AG1763" t="s">
        <v>142</v>
      </c>
      <c r="AH1763" t="b">
        <v>0</v>
      </c>
    </row>
    <row r="1764" spans="1:34">
      <c r="A1764" t="s">
        <v>1872</v>
      </c>
      <c r="AA1764" t="s">
        <v>1598</v>
      </c>
      <c r="AF1764" t="s">
        <v>1872</v>
      </c>
      <c r="AG1764" t="s">
        <v>142</v>
      </c>
      <c r="AH1764" t="b">
        <v>0</v>
      </c>
    </row>
    <row r="1765" spans="1:34">
      <c r="A1765" t="s">
        <v>1872</v>
      </c>
      <c r="AA1765" t="s">
        <v>1601</v>
      </c>
      <c r="AF1765" t="s">
        <v>1872</v>
      </c>
      <c r="AG1765" t="s">
        <v>142</v>
      </c>
      <c r="AH1765" t="b">
        <v>0</v>
      </c>
    </row>
    <row r="1766" spans="1:34">
      <c r="A1766" t="s">
        <v>1872</v>
      </c>
      <c r="AA1766" t="s">
        <v>1603</v>
      </c>
      <c r="AF1766" t="s">
        <v>1872</v>
      </c>
      <c r="AG1766" t="s">
        <v>142</v>
      </c>
      <c r="AH1766" t="b">
        <v>0</v>
      </c>
    </row>
    <row r="1767" spans="1:34">
      <c r="A1767" t="s">
        <v>1872</v>
      </c>
      <c r="AA1767" t="s">
        <v>1606</v>
      </c>
      <c r="AF1767" t="s">
        <v>1872</v>
      </c>
      <c r="AG1767" t="s">
        <v>142</v>
      </c>
      <c r="AH1767" t="b">
        <v>0</v>
      </c>
    </row>
    <row r="1768" spans="1:34">
      <c r="A1768" t="s">
        <v>1872</v>
      </c>
      <c r="AA1768" t="s">
        <v>1609</v>
      </c>
      <c r="AF1768" t="s">
        <v>1872</v>
      </c>
      <c r="AG1768" t="s">
        <v>142</v>
      </c>
      <c r="AH1768" t="b">
        <v>0</v>
      </c>
    </row>
    <row r="1769" spans="1:34">
      <c r="A1769" t="s">
        <v>1872</v>
      </c>
      <c r="AA1769" t="s">
        <v>1611</v>
      </c>
      <c r="AF1769" t="s">
        <v>1872</v>
      </c>
      <c r="AG1769" t="s">
        <v>142</v>
      </c>
      <c r="AH1769" t="b">
        <v>0</v>
      </c>
    </row>
    <row r="1770" spans="1:34">
      <c r="A1770" t="s">
        <v>1872</v>
      </c>
      <c r="AA1770" t="s">
        <v>1614</v>
      </c>
      <c r="AF1770" t="s">
        <v>1872</v>
      </c>
      <c r="AG1770" t="s">
        <v>142</v>
      </c>
      <c r="AH1770" t="b">
        <v>0</v>
      </c>
    </row>
    <row r="1771" spans="1:34">
      <c r="A1771" t="s">
        <v>1872</v>
      </c>
      <c r="AA1771" t="s">
        <v>1616</v>
      </c>
      <c r="AF1771" t="s">
        <v>1872</v>
      </c>
      <c r="AG1771" t="s">
        <v>142</v>
      </c>
      <c r="AH1771" t="b">
        <v>0</v>
      </c>
    </row>
    <row r="1772" spans="1:34">
      <c r="A1772" t="s">
        <v>1872</v>
      </c>
      <c r="AA1772" t="s">
        <v>1618</v>
      </c>
      <c r="AF1772" t="s">
        <v>1872</v>
      </c>
      <c r="AG1772" t="s">
        <v>142</v>
      </c>
      <c r="AH1772" t="b">
        <v>0</v>
      </c>
    </row>
    <row r="1773" spans="1:34">
      <c r="A1773" t="s">
        <v>1872</v>
      </c>
      <c r="AA1773" t="s">
        <v>1620</v>
      </c>
      <c r="AF1773" t="s">
        <v>1872</v>
      </c>
      <c r="AG1773" t="s">
        <v>142</v>
      </c>
      <c r="AH1773" t="b">
        <v>0</v>
      </c>
    </row>
    <row r="1774" spans="1:34">
      <c r="A1774" t="s">
        <v>1872</v>
      </c>
      <c r="AA1774" t="s">
        <v>1623</v>
      </c>
      <c r="AF1774" t="s">
        <v>1872</v>
      </c>
      <c r="AG1774" t="s">
        <v>142</v>
      </c>
      <c r="AH1774" t="b">
        <v>0</v>
      </c>
    </row>
    <row r="1775" spans="1:34">
      <c r="A1775" t="s">
        <v>1872</v>
      </c>
      <c r="AA1775" t="s">
        <v>1626</v>
      </c>
      <c r="AF1775" t="s">
        <v>1872</v>
      </c>
      <c r="AG1775" t="s">
        <v>142</v>
      </c>
      <c r="AH1775" t="b">
        <v>0</v>
      </c>
    </row>
    <row r="1776" spans="1:34">
      <c r="A1776" t="s">
        <v>1872</v>
      </c>
      <c r="AA1776" t="s">
        <v>1628</v>
      </c>
      <c r="AF1776" t="s">
        <v>1872</v>
      </c>
      <c r="AG1776" t="s">
        <v>142</v>
      </c>
      <c r="AH1776" t="b">
        <v>0</v>
      </c>
    </row>
    <row r="1777" spans="1:34">
      <c r="A1777" t="s">
        <v>1872</v>
      </c>
      <c r="AA1777" t="s">
        <v>1631</v>
      </c>
      <c r="AF1777" t="s">
        <v>1872</v>
      </c>
      <c r="AG1777" t="s">
        <v>142</v>
      </c>
      <c r="AH1777" t="b">
        <v>0</v>
      </c>
    </row>
    <row r="1778" spans="1:34">
      <c r="A1778" t="s">
        <v>1872</v>
      </c>
      <c r="AA1778" t="s">
        <v>1633</v>
      </c>
      <c r="AF1778" t="s">
        <v>1872</v>
      </c>
      <c r="AG1778" t="s">
        <v>142</v>
      </c>
      <c r="AH1778" t="b">
        <v>0</v>
      </c>
    </row>
    <row r="1779" spans="1:34">
      <c r="A1779" t="s">
        <v>1872</v>
      </c>
      <c r="AA1779" t="s">
        <v>1635</v>
      </c>
      <c r="AF1779" t="s">
        <v>1872</v>
      </c>
      <c r="AG1779" t="s">
        <v>142</v>
      </c>
      <c r="AH1779" t="b">
        <v>0</v>
      </c>
    </row>
    <row r="1780" spans="1:34">
      <c r="A1780" t="s">
        <v>1872</v>
      </c>
      <c r="AA1780" t="s">
        <v>1637</v>
      </c>
      <c r="AF1780" t="s">
        <v>1872</v>
      </c>
      <c r="AG1780" t="s">
        <v>142</v>
      </c>
      <c r="AH1780" t="b">
        <v>0</v>
      </c>
    </row>
    <row r="1781" spans="1:34">
      <c r="A1781" t="s">
        <v>1872</v>
      </c>
      <c r="AA1781" t="s">
        <v>1640</v>
      </c>
      <c r="AF1781" t="s">
        <v>1872</v>
      </c>
      <c r="AG1781" t="s">
        <v>142</v>
      </c>
      <c r="AH1781" t="b">
        <v>0</v>
      </c>
    </row>
    <row r="1782" spans="1:34">
      <c r="A1782" t="s">
        <v>1872</v>
      </c>
      <c r="AA1782" t="s">
        <v>1643</v>
      </c>
      <c r="AF1782" t="s">
        <v>1872</v>
      </c>
      <c r="AG1782" t="s">
        <v>142</v>
      </c>
      <c r="AH1782" t="b">
        <v>0</v>
      </c>
    </row>
    <row r="1783" spans="1:34">
      <c r="A1783" t="s">
        <v>1872</v>
      </c>
      <c r="AA1783" t="s">
        <v>1645</v>
      </c>
      <c r="AF1783" t="s">
        <v>1872</v>
      </c>
      <c r="AG1783" t="s">
        <v>142</v>
      </c>
      <c r="AH1783" t="b">
        <v>0</v>
      </c>
    </row>
    <row r="1784" spans="1:34">
      <c r="A1784" t="s">
        <v>1872</v>
      </c>
      <c r="AA1784" t="s">
        <v>1647</v>
      </c>
      <c r="AF1784" t="s">
        <v>1872</v>
      </c>
      <c r="AG1784" t="s">
        <v>142</v>
      </c>
      <c r="AH1784" t="b">
        <v>0</v>
      </c>
    </row>
    <row r="1785" spans="1:34">
      <c r="A1785" t="s">
        <v>1872</v>
      </c>
      <c r="AA1785" t="s">
        <v>42</v>
      </c>
      <c r="AF1785" t="s">
        <v>1872</v>
      </c>
      <c r="AG1785" t="s">
        <v>142</v>
      </c>
      <c r="AH1785" t="b">
        <v>0</v>
      </c>
    </row>
    <row r="1786" spans="1:34">
      <c r="A1786" t="s">
        <v>1872</v>
      </c>
      <c r="AA1786" t="s">
        <v>1652</v>
      </c>
      <c r="AF1786" t="s">
        <v>1872</v>
      </c>
      <c r="AG1786" t="s">
        <v>142</v>
      </c>
      <c r="AH1786" t="b">
        <v>0</v>
      </c>
    </row>
    <row r="1787" spans="1:34">
      <c r="A1787" t="s">
        <v>1872</v>
      </c>
      <c r="AA1787" t="s">
        <v>1655</v>
      </c>
      <c r="AF1787" t="s">
        <v>1872</v>
      </c>
      <c r="AG1787" t="s">
        <v>142</v>
      </c>
      <c r="AH1787" t="b">
        <v>0</v>
      </c>
    </row>
    <row r="1788" spans="1:34">
      <c r="A1788" t="s">
        <v>1872</v>
      </c>
      <c r="AA1788" t="s">
        <v>1658</v>
      </c>
      <c r="AF1788" t="s">
        <v>1872</v>
      </c>
      <c r="AG1788" t="s">
        <v>142</v>
      </c>
      <c r="AH1788" t="b">
        <v>0</v>
      </c>
    </row>
    <row r="1789" spans="1:34">
      <c r="A1789" t="s">
        <v>1872</v>
      </c>
      <c r="AA1789" t="s">
        <v>1661</v>
      </c>
      <c r="AF1789" t="s">
        <v>1872</v>
      </c>
      <c r="AG1789" t="s">
        <v>142</v>
      </c>
      <c r="AH1789" t="b">
        <v>0</v>
      </c>
    </row>
    <row r="1790" spans="1:34">
      <c r="A1790" t="s">
        <v>1872</v>
      </c>
      <c r="AA1790" t="s">
        <v>1664</v>
      </c>
      <c r="AF1790" t="s">
        <v>1872</v>
      </c>
      <c r="AG1790" t="s">
        <v>142</v>
      </c>
      <c r="AH1790" t="b">
        <v>0</v>
      </c>
    </row>
    <row r="1791" spans="1:34">
      <c r="A1791" t="s">
        <v>1872</v>
      </c>
      <c r="AA1791" t="s">
        <v>1667</v>
      </c>
      <c r="AF1791" t="s">
        <v>1872</v>
      </c>
      <c r="AG1791" t="s">
        <v>142</v>
      </c>
      <c r="AH1791" t="b">
        <v>0</v>
      </c>
    </row>
    <row r="1792" spans="1:34">
      <c r="A1792" t="s">
        <v>1872</v>
      </c>
      <c r="AA1792" t="s">
        <v>1670</v>
      </c>
      <c r="AF1792" t="s">
        <v>1872</v>
      </c>
      <c r="AG1792" t="s">
        <v>142</v>
      </c>
      <c r="AH1792" t="b">
        <v>0</v>
      </c>
    </row>
    <row r="1793" spans="1:34">
      <c r="A1793" t="s">
        <v>1872</v>
      </c>
      <c r="AA1793" t="s">
        <v>1672</v>
      </c>
      <c r="AF1793" t="s">
        <v>1872</v>
      </c>
      <c r="AG1793" t="s">
        <v>142</v>
      </c>
      <c r="AH1793" t="b">
        <v>0</v>
      </c>
    </row>
    <row r="1794" spans="1:34">
      <c r="A1794" t="s">
        <v>1872</v>
      </c>
      <c r="AA1794" t="s">
        <v>41</v>
      </c>
      <c r="AF1794" t="s">
        <v>1872</v>
      </c>
      <c r="AG1794" t="s">
        <v>142</v>
      </c>
      <c r="AH1794" t="b">
        <v>0</v>
      </c>
    </row>
    <row r="1795" spans="1:34">
      <c r="A1795" t="s">
        <v>1872</v>
      </c>
      <c r="AA1795" t="s">
        <v>1675</v>
      </c>
      <c r="AF1795" t="s">
        <v>1872</v>
      </c>
      <c r="AG1795" t="s">
        <v>142</v>
      </c>
      <c r="AH1795" t="b">
        <v>0</v>
      </c>
    </row>
    <row r="1796" spans="1:34">
      <c r="A1796" t="s">
        <v>1872</v>
      </c>
      <c r="AA1796" t="s">
        <v>1678</v>
      </c>
      <c r="AF1796" t="s">
        <v>1872</v>
      </c>
      <c r="AG1796" t="s">
        <v>142</v>
      </c>
      <c r="AH1796" t="b">
        <v>0</v>
      </c>
    </row>
    <row r="1797" spans="1:34">
      <c r="A1797" t="s">
        <v>1872</v>
      </c>
      <c r="AA1797" t="s">
        <v>1680</v>
      </c>
      <c r="AF1797" t="s">
        <v>1872</v>
      </c>
      <c r="AG1797" t="s">
        <v>142</v>
      </c>
      <c r="AH1797" t="b">
        <v>0</v>
      </c>
    </row>
    <row r="1798" spans="1:34">
      <c r="A1798" t="s">
        <v>1872</v>
      </c>
      <c r="AA1798" t="s">
        <v>1683</v>
      </c>
      <c r="AF1798" t="s">
        <v>1872</v>
      </c>
      <c r="AG1798" t="s">
        <v>142</v>
      </c>
      <c r="AH1798" t="b">
        <v>0</v>
      </c>
    </row>
    <row r="1799" spans="1:34">
      <c r="A1799" t="s">
        <v>1872</v>
      </c>
      <c r="AA1799" t="s">
        <v>1686</v>
      </c>
      <c r="AF1799" t="s">
        <v>1872</v>
      </c>
      <c r="AG1799" t="s">
        <v>142</v>
      </c>
      <c r="AH1799" t="b">
        <v>0</v>
      </c>
    </row>
    <row r="1800" spans="1:34">
      <c r="A1800" t="s">
        <v>1872</v>
      </c>
      <c r="AA1800" t="s">
        <v>1688</v>
      </c>
      <c r="AF1800" t="s">
        <v>1872</v>
      </c>
      <c r="AG1800" t="s">
        <v>142</v>
      </c>
      <c r="AH1800" t="b">
        <v>0</v>
      </c>
    </row>
    <row r="1801" spans="1:34">
      <c r="A1801" t="s">
        <v>1872</v>
      </c>
      <c r="AA1801" t="s">
        <v>1690</v>
      </c>
      <c r="AF1801" t="s">
        <v>1872</v>
      </c>
      <c r="AG1801" t="s">
        <v>142</v>
      </c>
      <c r="AH1801" t="b">
        <v>0</v>
      </c>
    </row>
    <row r="1802" spans="1:34">
      <c r="A1802" t="s">
        <v>1872</v>
      </c>
      <c r="AA1802" t="s">
        <v>1692</v>
      </c>
      <c r="AF1802" t="s">
        <v>1872</v>
      </c>
      <c r="AG1802" t="s">
        <v>142</v>
      </c>
      <c r="AH1802" t="b">
        <v>0</v>
      </c>
    </row>
    <row r="1803" spans="1:34">
      <c r="A1803" t="s">
        <v>1872</v>
      </c>
      <c r="AA1803" t="s">
        <v>1695</v>
      </c>
      <c r="AF1803" t="s">
        <v>1872</v>
      </c>
      <c r="AG1803" t="s">
        <v>142</v>
      </c>
      <c r="AH1803" t="b">
        <v>0</v>
      </c>
    </row>
    <row r="1804" spans="1:34">
      <c r="A1804" t="s">
        <v>1872</v>
      </c>
      <c r="AA1804" t="s">
        <v>1698</v>
      </c>
      <c r="AF1804" t="s">
        <v>1872</v>
      </c>
      <c r="AG1804" t="s">
        <v>142</v>
      </c>
      <c r="AH1804" t="b">
        <v>0</v>
      </c>
    </row>
    <row r="1805" spans="1:34">
      <c r="A1805" t="s">
        <v>1872</v>
      </c>
      <c r="AA1805" t="s">
        <v>1700</v>
      </c>
      <c r="AF1805" t="s">
        <v>1872</v>
      </c>
      <c r="AG1805" t="s">
        <v>142</v>
      </c>
      <c r="AH1805" t="b">
        <v>0</v>
      </c>
    </row>
    <row r="1806" spans="1:34">
      <c r="A1806" t="s">
        <v>1872</v>
      </c>
      <c r="AA1806" t="s">
        <v>1702</v>
      </c>
      <c r="AF1806" t="s">
        <v>1872</v>
      </c>
      <c r="AG1806" t="s">
        <v>142</v>
      </c>
      <c r="AH1806" t="b">
        <v>0</v>
      </c>
    </row>
    <row r="1807" spans="1:34">
      <c r="A1807" t="s">
        <v>1872</v>
      </c>
      <c r="AA1807" t="s">
        <v>1705</v>
      </c>
      <c r="AF1807" t="s">
        <v>1872</v>
      </c>
      <c r="AG1807" t="s">
        <v>142</v>
      </c>
      <c r="AH1807" t="b">
        <v>0</v>
      </c>
    </row>
    <row r="1808" spans="1:34">
      <c r="A1808" t="s">
        <v>1872</v>
      </c>
      <c r="AA1808" t="s">
        <v>1708</v>
      </c>
      <c r="AF1808" t="s">
        <v>1872</v>
      </c>
      <c r="AG1808" t="s">
        <v>142</v>
      </c>
      <c r="AH1808" t="b">
        <v>0</v>
      </c>
    </row>
    <row r="1809" spans="1:34">
      <c r="A1809" t="s">
        <v>1872</v>
      </c>
      <c r="AA1809" t="s">
        <v>1710</v>
      </c>
      <c r="AF1809" t="s">
        <v>1872</v>
      </c>
      <c r="AG1809" t="s">
        <v>142</v>
      </c>
      <c r="AH1809" t="b">
        <v>0</v>
      </c>
    </row>
    <row r="1810" spans="1:34">
      <c r="A1810" t="s">
        <v>1872</v>
      </c>
      <c r="AA1810" t="s">
        <v>1712</v>
      </c>
      <c r="AF1810" t="s">
        <v>1872</v>
      </c>
      <c r="AG1810" t="s">
        <v>142</v>
      </c>
      <c r="AH1810" t="b">
        <v>0</v>
      </c>
    </row>
    <row r="1811" spans="1:34">
      <c r="A1811" t="s">
        <v>1872</v>
      </c>
      <c r="AA1811" t="s">
        <v>1714</v>
      </c>
      <c r="AF1811" t="s">
        <v>1872</v>
      </c>
      <c r="AG1811" t="s">
        <v>142</v>
      </c>
      <c r="AH1811" t="b">
        <v>0</v>
      </c>
    </row>
    <row r="1812" spans="1:34">
      <c r="A1812" t="s">
        <v>1872</v>
      </c>
      <c r="AA1812" t="s">
        <v>1716</v>
      </c>
      <c r="AF1812" t="s">
        <v>1872</v>
      </c>
      <c r="AG1812" t="s">
        <v>142</v>
      </c>
      <c r="AH1812" t="b">
        <v>0</v>
      </c>
    </row>
    <row r="1813" spans="1:34">
      <c r="A1813" t="s">
        <v>1872</v>
      </c>
      <c r="AA1813" t="s">
        <v>1718</v>
      </c>
      <c r="AF1813" t="s">
        <v>1872</v>
      </c>
      <c r="AG1813" t="s">
        <v>142</v>
      </c>
      <c r="AH1813" t="b">
        <v>0</v>
      </c>
    </row>
    <row r="1814" spans="1:34">
      <c r="A1814" t="s">
        <v>1872</v>
      </c>
      <c r="AA1814" t="s">
        <v>1721</v>
      </c>
      <c r="AF1814" t="s">
        <v>1872</v>
      </c>
      <c r="AG1814" t="s">
        <v>142</v>
      </c>
      <c r="AH1814" t="b">
        <v>0</v>
      </c>
    </row>
    <row r="1815" spans="1:34">
      <c r="A1815" t="s">
        <v>1872</v>
      </c>
      <c r="AA1815" t="s">
        <v>1724</v>
      </c>
      <c r="AF1815" t="s">
        <v>1872</v>
      </c>
      <c r="AG1815" t="s">
        <v>142</v>
      </c>
      <c r="AH1815" t="b">
        <v>0</v>
      </c>
    </row>
    <row r="1816" spans="1:34">
      <c r="A1816" t="s">
        <v>1872</v>
      </c>
      <c r="AA1816" t="s">
        <v>1726</v>
      </c>
      <c r="AF1816" t="s">
        <v>1872</v>
      </c>
      <c r="AG1816" t="s">
        <v>142</v>
      </c>
      <c r="AH1816" t="b">
        <v>0</v>
      </c>
    </row>
    <row r="1817" spans="1:34">
      <c r="A1817" t="s">
        <v>1872</v>
      </c>
      <c r="AA1817" t="s">
        <v>1728</v>
      </c>
      <c r="AF1817" t="s">
        <v>1872</v>
      </c>
      <c r="AG1817" t="s">
        <v>142</v>
      </c>
      <c r="AH1817" t="b">
        <v>0</v>
      </c>
    </row>
    <row r="1818" spans="1:34">
      <c r="A1818" t="s">
        <v>1872</v>
      </c>
      <c r="AA1818" t="s">
        <v>1731</v>
      </c>
      <c r="AF1818" t="s">
        <v>1872</v>
      </c>
      <c r="AG1818" t="s">
        <v>142</v>
      </c>
      <c r="AH1818" t="b">
        <v>0</v>
      </c>
    </row>
    <row r="1819" spans="1:34">
      <c r="A1819" t="s">
        <v>1872</v>
      </c>
      <c r="AA1819" t="s">
        <v>1733</v>
      </c>
      <c r="AF1819" t="s">
        <v>1872</v>
      </c>
      <c r="AG1819" t="s">
        <v>142</v>
      </c>
      <c r="AH1819" t="b">
        <v>0</v>
      </c>
    </row>
    <row r="1820" spans="1:34">
      <c r="A1820" t="s">
        <v>1872</v>
      </c>
      <c r="AA1820" t="s">
        <v>1735</v>
      </c>
      <c r="AF1820" t="s">
        <v>1872</v>
      </c>
      <c r="AG1820" t="s">
        <v>142</v>
      </c>
      <c r="AH1820" t="b">
        <v>0</v>
      </c>
    </row>
    <row r="1821" spans="1:34">
      <c r="A1821" t="s">
        <v>1872</v>
      </c>
      <c r="AA1821" t="s">
        <v>1737</v>
      </c>
      <c r="AF1821" t="s">
        <v>1872</v>
      </c>
      <c r="AG1821" t="s">
        <v>142</v>
      </c>
      <c r="AH1821" t="b">
        <v>0</v>
      </c>
    </row>
    <row r="1822" spans="1:34">
      <c r="A1822" t="s">
        <v>1872</v>
      </c>
      <c r="AA1822" t="s">
        <v>1739</v>
      </c>
      <c r="AF1822" t="s">
        <v>1872</v>
      </c>
      <c r="AG1822" t="s">
        <v>142</v>
      </c>
      <c r="AH1822" t="b">
        <v>0</v>
      </c>
    </row>
    <row r="1823" spans="1:34">
      <c r="A1823" t="s">
        <v>1872</v>
      </c>
      <c r="AA1823" t="s">
        <v>1741</v>
      </c>
      <c r="AF1823" t="s">
        <v>1872</v>
      </c>
      <c r="AG1823" t="s">
        <v>142</v>
      </c>
      <c r="AH1823" t="b">
        <v>0</v>
      </c>
    </row>
    <row r="1824" spans="1:34">
      <c r="A1824" t="s">
        <v>1872</v>
      </c>
      <c r="AA1824" t="s">
        <v>1743</v>
      </c>
      <c r="AF1824" t="s">
        <v>1872</v>
      </c>
      <c r="AG1824" t="s">
        <v>142</v>
      </c>
      <c r="AH1824" t="b">
        <v>0</v>
      </c>
    </row>
    <row r="1825" spans="1:34">
      <c r="A1825" t="s">
        <v>1872</v>
      </c>
      <c r="AA1825" t="s">
        <v>1745</v>
      </c>
      <c r="AF1825" t="s">
        <v>1872</v>
      </c>
      <c r="AG1825" t="s">
        <v>142</v>
      </c>
      <c r="AH1825" t="b">
        <v>0</v>
      </c>
    </row>
    <row r="1826" spans="1:34">
      <c r="A1826" t="s">
        <v>1872</v>
      </c>
      <c r="AA1826" t="s">
        <v>1747</v>
      </c>
      <c r="AF1826" t="s">
        <v>1872</v>
      </c>
      <c r="AG1826" t="s">
        <v>142</v>
      </c>
      <c r="AH1826" t="b">
        <v>0</v>
      </c>
    </row>
    <row r="1827" spans="1:34">
      <c r="A1827" t="s">
        <v>1872</v>
      </c>
      <c r="AA1827" t="s">
        <v>1749</v>
      </c>
      <c r="AF1827" t="s">
        <v>1872</v>
      </c>
      <c r="AG1827" t="s">
        <v>142</v>
      </c>
      <c r="AH1827" t="b">
        <v>0</v>
      </c>
    </row>
    <row r="1828" spans="1:34">
      <c r="A1828" t="s">
        <v>1872</v>
      </c>
      <c r="AA1828" t="s">
        <v>1752</v>
      </c>
      <c r="AF1828" t="s">
        <v>1872</v>
      </c>
      <c r="AG1828" t="s">
        <v>142</v>
      </c>
      <c r="AH1828" t="b">
        <v>0</v>
      </c>
    </row>
    <row r="1829" spans="1:34">
      <c r="A1829" t="s">
        <v>1872</v>
      </c>
      <c r="AA1829" t="s">
        <v>1754</v>
      </c>
      <c r="AF1829" t="s">
        <v>1872</v>
      </c>
      <c r="AG1829" t="s">
        <v>142</v>
      </c>
      <c r="AH1829" t="b">
        <v>0</v>
      </c>
    </row>
    <row r="1830" spans="1:34">
      <c r="A1830" t="s">
        <v>1872</v>
      </c>
      <c r="AA1830" t="s">
        <v>1757</v>
      </c>
      <c r="AF1830" t="s">
        <v>1872</v>
      </c>
      <c r="AG1830" t="s">
        <v>142</v>
      </c>
      <c r="AH1830" t="b">
        <v>0</v>
      </c>
    </row>
    <row r="1831" spans="1:34">
      <c r="A1831" t="s">
        <v>1872</v>
      </c>
      <c r="AA1831" t="s">
        <v>1759</v>
      </c>
      <c r="AF1831" t="s">
        <v>1872</v>
      </c>
      <c r="AG1831" t="s">
        <v>142</v>
      </c>
      <c r="AH1831" t="b">
        <v>0</v>
      </c>
    </row>
    <row r="1832" spans="1:34">
      <c r="A1832" t="s">
        <v>1872</v>
      </c>
      <c r="AA1832" t="s">
        <v>1761</v>
      </c>
      <c r="AF1832" t="s">
        <v>1872</v>
      </c>
      <c r="AG1832" t="s">
        <v>142</v>
      </c>
      <c r="AH1832" t="b">
        <v>0</v>
      </c>
    </row>
    <row r="1833" spans="1:34">
      <c r="A1833" t="s">
        <v>1872</v>
      </c>
      <c r="AA1833" t="s">
        <v>1764</v>
      </c>
      <c r="AF1833" t="s">
        <v>1872</v>
      </c>
      <c r="AG1833" t="s">
        <v>142</v>
      </c>
      <c r="AH1833" t="b">
        <v>0</v>
      </c>
    </row>
    <row r="1834" spans="1:34">
      <c r="A1834" t="s">
        <v>1872</v>
      </c>
      <c r="AA1834" t="s">
        <v>1767</v>
      </c>
      <c r="AF1834" t="s">
        <v>1872</v>
      </c>
      <c r="AG1834" t="s">
        <v>142</v>
      </c>
      <c r="AH1834" t="b">
        <v>0</v>
      </c>
    </row>
    <row r="1835" spans="1:34">
      <c r="A1835" t="s">
        <v>1872</v>
      </c>
      <c r="AA1835" t="s">
        <v>1769</v>
      </c>
      <c r="AF1835" t="s">
        <v>1872</v>
      </c>
      <c r="AG1835" t="s">
        <v>142</v>
      </c>
      <c r="AH1835" t="b">
        <v>0</v>
      </c>
    </row>
    <row r="1836" spans="1:34">
      <c r="A1836" t="s">
        <v>1872</v>
      </c>
      <c r="AA1836" t="s">
        <v>1771</v>
      </c>
      <c r="AF1836" t="s">
        <v>1872</v>
      </c>
      <c r="AG1836" t="s">
        <v>142</v>
      </c>
      <c r="AH1836" t="b">
        <v>0</v>
      </c>
    </row>
    <row r="1837" spans="1:34">
      <c r="A1837" t="s">
        <v>1872</v>
      </c>
      <c r="AA1837" t="s">
        <v>1773</v>
      </c>
      <c r="AF1837" t="s">
        <v>1872</v>
      </c>
      <c r="AG1837" t="s">
        <v>142</v>
      </c>
      <c r="AH1837" t="b">
        <v>0</v>
      </c>
    </row>
    <row r="1838" spans="1:34">
      <c r="A1838" t="s">
        <v>1872</v>
      </c>
      <c r="AA1838" t="s">
        <v>1775</v>
      </c>
      <c r="AF1838" t="s">
        <v>1872</v>
      </c>
      <c r="AG1838" t="s">
        <v>142</v>
      </c>
      <c r="AH1838" t="b">
        <v>0</v>
      </c>
    </row>
    <row r="1839" spans="1:34">
      <c r="A1839" t="s">
        <v>1872</v>
      </c>
      <c r="AA1839" t="s">
        <v>1777</v>
      </c>
      <c r="AF1839" t="s">
        <v>1872</v>
      </c>
      <c r="AG1839" t="s">
        <v>142</v>
      </c>
      <c r="AH1839" t="b">
        <v>0</v>
      </c>
    </row>
    <row r="1840" spans="1:34">
      <c r="A1840" t="s">
        <v>1872</v>
      </c>
      <c r="AA1840" t="s">
        <v>1779</v>
      </c>
      <c r="AF1840" t="s">
        <v>1872</v>
      </c>
      <c r="AG1840" t="s">
        <v>142</v>
      </c>
      <c r="AH1840" t="b">
        <v>0</v>
      </c>
    </row>
    <row r="1841" spans="1:34">
      <c r="A1841" t="s">
        <v>1872</v>
      </c>
      <c r="AA1841" t="s">
        <v>1781</v>
      </c>
      <c r="AF1841" t="s">
        <v>1872</v>
      </c>
      <c r="AG1841" t="s">
        <v>142</v>
      </c>
      <c r="AH1841" t="b">
        <v>0</v>
      </c>
    </row>
    <row r="1842" spans="1:34">
      <c r="A1842" t="s">
        <v>1872</v>
      </c>
      <c r="AA1842" t="s">
        <v>1784</v>
      </c>
      <c r="AF1842" t="s">
        <v>1872</v>
      </c>
      <c r="AG1842" t="s">
        <v>142</v>
      </c>
      <c r="AH1842" t="b">
        <v>0</v>
      </c>
    </row>
    <row r="1843" spans="1:34">
      <c r="A1843" t="s">
        <v>1872</v>
      </c>
      <c r="AA1843" t="s">
        <v>1787</v>
      </c>
      <c r="AF1843" t="s">
        <v>1872</v>
      </c>
      <c r="AG1843" t="s">
        <v>142</v>
      </c>
      <c r="AH1843" t="b">
        <v>0</v>
      </c>
    </row>
    <row r="1844" spans="1:34">
      <c r="A1844" t="s">
        <v>1872</v>
      </c>
      <c r="AA1844" t="s">
        <v>1789</v>
      </c>
      <c r="AF1844" t="s">
        <v>1872</v>
      </c>
      <c r="AG1844" t="s">
        <v>142</v>
      </c>
      <c r="AH1844" t="b">
        <v>0</v>
      </c>
    </row>
    <row r="1845" spans="1:34">
      <c r="A1845" t="s">
        <v>1872</v>
      </c>
      <c r="AA1845" t="s">
        <v>1791</v>
      </c>
      <c r="AF1845" t="s">
        <v>1872</v>
      </c>
      <c r="AG1845" t="s">
        <v>142</v>
      </c>
      <c r="AH1845" t="b">
        <v>0</v>
      </c>
    </row>
    <row r="1846" spans="1:34">
      <c r="A1846" t="s">
        <v>1872</v>
      </c>
      <c r="AA1846" t="s">
        <v>1794</v>
      </c>
      <c r="AF1846" t="s">
        <v>1872</v>
      </c>
      <c r="AG1846" t="s">
        <v>142</v>
      </c>
      <c r="AH1846" t="b">
        <v>0</v>
      </c>
    </row>
    <row r="1847" spans="1:34">
      <c r="A1847" t="s">
        <v>1872</v>
      </c>
      <c r="AA1847" t="s">
        <v>1797</v>
      </c>
      <c r="AF1847" t="s">
        <v>1872</v>
      </c>
      <c r="AG1847" t="s">
        <v>142</v>
      </c>
      <c r="AH1847" t="b">
        <v>0</v>
      </c>
    </row>
    <row r="1848" spans="1:34">
      <c r="A1848" t="s">
        <v>1872</v>
      </c>
      <c r="AA1848" t="s">
        <v>1799</v>
      </c>
      <c r="AF1848" t="s">
        <v>1872</v>
      </c>
      <c r="AG1848" t="s">
        <v>142</v>
      </c>
      <c r="AH1848" t="b">
        <v>0</v>
      </c>
    </row>
    <row r="1849" spans="1:34">
      <c r="A1849" t="s">
        <v>1872</v>
      </c>
      <c r="AA1849" t="s">
        <v>1801</v>
      </c>
      <c r="AF1849" t="s">
        <v>1872</v>
      </c>
      <c r="AG1849" t="s">
        <v>142</v>
      </c>
      <c r="AH1849" t="b">
        <v>0</v>
      </c>
    </row>
    <row r="1850" spans="1:34">
      <c r="A1850" t="s">
        <v>1872</v>
      </c>
      <c r="AA1850" t="s">
        <v>1803</v>
      </c>
      <c r="AF1850" t="s">
        <v>1872</v>
      </c>
      <c r="AG1850" t="s">
        <v>142</v>
      </c>
      <c r="AH1850" t="b">
        <v>0</v>
      </c>
    </row>
    <row r="1851" spans="1:34">
      <c r="A1851" t="s">
        <v>1872</v>
      </c>
      <c r="AA1851" t="s">
        <v>1805</v>
      </c>
      <c r="AF1851" t="s">
        <v>1872</v>
      </c>
      <c r="AG1851" t="s">
        <v>142</v>
      </c>
      <c r="AH1851" t="b">
        <v>0</v>
      </c>
    </row>
    <row r="1852" spans="1:34">
      <c r="A1852" t="s">
        <v>1872</v>
      </c>
      <c r="AA1852" t="s">
        <v>1807</v>
      </c>
      <c r="AF1852" t="s">
        <v>1872</v>
      </c>
      <c r="AG1852" t="s">
        <v>142</v>
      </c>
      <c r="AH1852" t="b">
        <v>0</v>
      </c>
    </row>
    <row r="1853" spans="1:34">
      <c r="A1853" t="s">
        <v>1872</v>
      </c>
      <c r="AA1853" t="s">
        <v>1810</v>
      </c>
      <c r="AF1853" t="s">
        <v>1872</v>
      </c>
      <c r="AG1853" t="s">
        <v>142</v>
      </c>
      <c r="AH1853" t="b">
        <v>0</v>
      </c>
    </row>
    <row r="1854" spans="1:34">
      <c r="A1854" t="s">
        <v>1872</v>
      </c>
      <c r="AA1854" t="s">
        <v>1813</v>
      </c>
      <c r="AF1854" t="s">
        <v>1872</v>
      </c>
      <c r="AG1854" t="s">
        <v>142</v>
      </c>
      <c r="AH1854" t="b">
        <v>0</v>
      </c>
    </row>
    <row r="1855" spans="1:34">
      <c r="A1855" t="s">
        <v>1872</v>
      </c>
      <c r="AA1855" t="s">
        <v>1816</v>
      </c>
      <c r="AF1855" t="s">
        <v>1872</v>
      </c>
      <c r="AG1855" t="s">
        <v>142</v>
      </c>
      <c r="AH1855" t="b">
        <v>0</v>
      </c>
    </row>
    <row r="1856" spans="1:34">
      <c r="A1856" t="s">
        <v>1872</v>
      </c>
      <c r="AA1856" t="s">
        <v>1818</v>
      </c>
      <c r="AF1856" t="s">
        <v>1872</v>
      </c>
      <c r="AG1856" t="s">
        <v>142</v>
      </c>
      <c r="AH1856" t="b">
        <v>0</v>
      </c>
    </row>
    <row r="1857" spans="1:34">
      <c r="A1857" t="s">
        <v>1872</v>
      </c>
      <c r="AA1857" t="s">
        <v>1820</v>
      </c>
      <c r="AF1857" t="s">
        <v>1872</v>
      </c>
      <c r="AG1857" t="s">
        <v>142</v>
      </c>
      <c r="AH1857" t="b">
        <v>0</v>
      </c>
    </row>
    <row r="1858" spans="1:34">
      <c r="A1858" t="s">
        <v>1872</v>
      </c>
      <c r="AA1858" t="s">
        <v>1822</v>
      </c>
      <c r="AF1858" t="s">
        <v>1872</v>
      </c>
      <c r="AG1858" t="s">
        <v>142</v>
      </c>
      <c r="AH1858" t="b">
        <v>0</v>
      </c>
    </row>
    <row r="1859" spans="1:34">
      <c r="A1859" t="s">
        <v>1872</v>
      </c>
      <c r="AA1859" t="s">
        <v>1825</v>
      </c>
      <c r="AF1859" t="s">
        <v>1872</v>
      </c>
      <c r="AG1859" t="s">
        <v>142</v>
      </c>
      <c r="AH1859" t="b">
        <v>0</v>
      </c>
    </row>
    <row r="1860" spans="1:34">
      <c r="A1860" t="s">
        <v>1872</v>
      </c>
      <c r="AA1860" t="s">
        <v>1828</v>
      </c>
      <c r="AF1860" t="s">
        <v>1872</v>
      </c>
      <c r="AG1860" t="s">
        <v>142</v>
      </c>
      <c r="AH1860" t="b">
        <v>0</v>
      </c>
    </row>
    <row r="1861" spans="1:34">
      <c r="A1861" t="s">
        <v>1872</v>
      </c>
      <c r="AA1861" t="s">
        <v>1831</v>
      </c>
      <c r="AF1861" t="s">
        <v>1872</v>
      </c>
      <c r="AG1861" t="s">
        <v>142</v>
      </c>
      <c r="AH1861" t="b">
        <v>0</v>
      </c>
    </row>
    <row r="1862" spans="1:34">
      <c r="A1862" t="s">
        <v>1872</v>
      </c>
      <c r="AA1862" t="s">
        <v>1833</v>
      </c>
      <c r="AF1862" t="s">
        <v>1872</v>
      </c>
      <c r="AG1862" t="s">
        <v>142</v>
      </c>
      <c r="AH1862" t="b">
        <v>0</v>
      </c>
    </row>
    <row r="1863" spans="1:34">
      <c r="A1863" t="s">
        <v>1872</v>
      </c>
      <c r="AA1863" t="s">
        <v>1836</v>
      </c>
      <c r="AF1863" t="s">
        <v>1872</v>
      </c>
      <c r="AG1863" t="s">
        <v>142</v>
      </c>
      <c r="AH1863" t="b">
        <v>0</v>
      </c>
    </row>
    <row r="1864" spans="1:34">
      <c r="A1864" t="s">
        <v>1872</v>
      </c>
      <c r="AA1864" t="s">
        <v>1838</v>
      </c>
      <c r="AF1864" t="s">
        <v>1872</v>
      </c>
      <c r="AG1864" t="s">
        <v>142</v>
      </c>
      <c r="AH1864" t="b">
        <v>0</v>
      </c>
    </row>
    <row r="1865" spans="1:34">
      <c r="A1865" t="s">
        <v>1872</v>
      </c>
      <c r="AA1865" t="s">
        <v>1840</v>
      </c>
      <c r="AF1865" t="s">
        <v>1872</v>
      </c>
      <c r="AG1865" t="s">
        <v>142</v>
      </c>
      <c r="AH1865" t="b">
        <v>0</v>
      </c>
    </row>
    <row r="1866" spans="1:34">
      <c r="A1866" t="s">
        <v>1872</v>
      </c>
      <c r="AA1866" t="s">
        <v>1842</v>
      </c>
      <c r="AF1866" t="s">
        <v>1872</v>
      </c>
      <c r="AG1866" t="s">
        <v>142</v>
      </c>
      <c r="AH1866" t="b">
        <v>0</v>
      </c>
    </row>
    <row r="1867" spans="1:34">
      <c r="A1867" t="s">
        <v>1872</v>
      </c>
      <c r="AA1867" t="s">
        <v>1844</v>
      </c>
      <c r="AF1867" t="s">
        <v>1872</v>
      </c>
      <c r="AG1867" t="s">
        <v>142</v>
      </c>
      <c r="AH1867" t="b">
        <v>0</v>
      </c>
    </row>
    <row r="1868" spans="1:34">
      <c r="A1868" t="s">
        <v>1872</v>
      </c>
      <c r="AA1868" t="s">
        <v>1846</v>
      </c>
      <c r="AF1868" t="s">
        <v>1872</v>
      </c>
      <c r="AG1868" t="s">
        <v>142</v>
      </c>
      <c r="AH1868" t="b">
        <v>0</v>
      </c>
    </row>
    <row r="1869" spans="1:34">
      <c r="A1869" t="s">
        <v>1874</v>
      </c>
      <c r="R1869" t="s">
        <v>390</v>
      </c>
      <c r="T1869" t="s">
        <v>394</v>
      </c>
      <c r="U1869" t="s">
        <v>1875</v>
      </c>
      <c r="AF1869" t="s">
        <v>1874</v>
      </c>
      <c r="AG1869" t="s">
        <v>142</v>
      </c>
      <c r="AH1869" t="b">
        <v>0</v>
      </c>
    </row>
    <row r="1870" spans="1:34">
      <c r="A1870" t="s">
        <v>1874</v>
      </c>
      <c r="R1870" t="s">
        <v>396</v>
      </c>
      <c r="T1870" t="s">
        <v>227</v>
      </c>
      <c r="U1870" t="s">
        <v>1876</v>
      </c>
      <c r="AF1870" t="s">
        <v>1874</v>
      </c>
      <c r="AG1870" t="s">
        <v>142</v>
      </c>
      <c r="AH1870" t="b">
        <v>0</v>
      </c>
    </row>
    <row r="1871" spans="1:34">
      <c r="A1871" t="s">
        <v>1874</v>
      </c>
      <c r="R1871" t="s">
        <v>400</v>
      </c>
      <c r="T1871" t="s">
        <v>403</v>
      </c>
      <c r="U1871" t="s">
        <v>1877</v>
      </c>
      <c r="AF1871" t="s">
        <v>1874</v>
      </c>
      <c r="AG1871" t="s">
        <v>142</v>
      </c>
      <c r="AH1871" t="b">
        <v>0</v>
      </c>
    </row>
    <row r="1872" spans="1:34">
      <c r="A1872" t="s">
        <v>1874</v>
      </c>
      <c r="R1872" t="s">
        <v>424</v>
      </c>
      <c r="T1872" t="s">
        <v>427</v>
      </c>
      <c r="U1872" t="s">
        <v>1878</v>
      </c>
      <c r="AF1872" t="s">
        <v>1874</v>
      </c>
      <c r="AG1872" t="s">
        <v>142</v>
      </c>
      <c r="AH1872" t="b">
        <v>0</v>
      </c>
    </row>
    <row r="1873" spans="1:34">
      <c r="A1873" t="s">
        <v>1874</v>
      </c>
      <c r="R1873" t="s">
        <v>445</v>
      </c>
      <c r="T1873" t="s">
        <v>448</v>
      </c>
      <c r="U1873" t="s">
        <v>1879</v>
      </c>
      <c r="AF1873" t="s">
        <v>1874</v>
      </c>
      <c r="AG1873" t="s">
        <v>142</v>
      </c>
      <c r="AH1873" t="b">
        <v>0</v>
      </c>
    </row>
    <row r="1874" spans="1:34">
      <c r="A1874" t="s">
        <v>1874</v>
      </c>
      <c r="R1874" t="s">
        <v>456</v>
      </c>
      <c r="T1874" t="s">
        <v>459</v>
      </c>
      <c r="U1874" t="s">
        <v>1880</v>
      </c>
      <c r="AF1874" t="s">
        <v>1874</v>
      </c>
      <c r="AG1874" t="s">
        <v>142</v>
      </c>
      <c r="AH1874" t="b">
        <v>0</v>
      </c>
    </row>
    <row r="1875" spans="1:34">
      <c r="A1875" t="s">
        <v>1874</v>
      </c>
      <c r="R1875" t="s">
        <v>515</v>
      </c>
      <c r="T1875" t="s">
        <v>518</v>
      </c>
      <c r="U1875" t="s">
        <v>1881</v>
      </c>
      <c r="AF1875" t="s">
        <v>1874</v>
      </c>
      <c r="AG1875" t="s">
        <v>142</v>
      </c>
      <c r="AH1875" t="b">
        <v>0</v>
      </c>
    </row>
    <row r="1876" spans="1:34">
      <c r="A1876" t="s">
        <v>1874</v>
      </c>
      <c r="R1876" t="s">
        <v>626</v>
      </c>
      <c r="T1876" t="s">
        <v>629</v>
      </c>
      <c r="U1876" t="s">
        <v>1882</v>
      </c>
      <c r="AF1876" t="s">
        <v>1874</v>
      </c>
      <c r="AG1876" t="s">
        <v>142</v>
      </c>
      <c r="AH1876" t="b">
        <v>0</v>
      </c>
    </row>
    <row r="1877" spans="1:34">
      <c r="A1877" t="s">
        <v>1874</v>
      </c>
      <c r="R1877" t="s">
        <v>631</v>
      </c>
      <c r="T1877" t="s">
        <v>634</v>
      </c>
      <c r="U1877" t="s">
        <v>1883</v>
      </c>
      <c r="AF1877" t="s">
        <v>1874</v>
      </c>
      <c r="AG1877" t="s">
        <v>142</v>
      </c>
      <c r="AH1877" t="b">
        <v>0</v>
      </c>
    </row>
    <row r="1878" spans="1:34">
      <c r="A1878" t="s">
        <v>1874</v>
      </c>
      <c r="R1878" t="s">
        <v>636</v>
      </c>
      <c r="T1878" t="s">
        <v>639</v>
      </c>
      <c r="U1878" t="s">
        <v>1884</v>
      </c>
      <c r="AF1878" t="s">
        <v>1874</v>
      </c>
      <c r="AG1878" t="s">
        <v>142</v>
      </c>
      <c r="AH1878" t="b">
        <v>0</v>
      </c>
    </row>
    <row r="1879" spans="1:34">
      <c r="A1879" t="s">
        <v>1874</v>
      </c>
      <c r="R1879" t="s">
        <v>641</v>
      </c>
      <c r="T1879" t="s">
        <v>644</v>
      </c>
      <c r="U1879" t="s">
        <v>1885</v>
      </c>
      <c r="AF1879" t="s">
        <v>1874</v>
      </c>
      <c r="AG1879" t="s">
        <v>142</v>
      </c>
      <c r="AH1879" t="b">
        <v>0</v>
      </c>
    </row>
    <row r="1880" spans="1:34">
      <c r="A1880" t="s">
        <v>1874</v>
      </c>
      <c r="R1880" t="s">
        <v>646</v>
      </c>
      <c r="T1880" t="s">
        <v>649</v>
      </c>
      <c r="U1880" t="s">
        <v>1886</v>
      </c>
      <c r="AF1880" t="s">
        <v>1874</v>
      </c>
      <c r="AG1880" t="s">
        <v>142</v>
      </c>
      <c r="AH1880" t="b">
        <v>0</v>
      </c>
    </row>
    <row r="1881" spans="1:34">
      <c r="A1881" t="s">
        <v>1874</v>
      </c>
      <c r="R1881" t="s">
        <v>651</v>
      </c>
      <c r="T1881" t="s">
        <v>654</v>
      </c>
      <c r="U1881" t="s">
        <v>1887</v>
      </c>
      <c r="AF1881" t="s">
        <v>1874</v>
      </c>
      <c r="AG1881" t="s">
        <v>142</v>
      </c>
      <c r="AH1881" t="b">
        <v>0</v>
      </c>
    </row>
    <row r="1882" spans="1:34">
      <c r="A1882" t="s">
        <v>1874</v>
      </c>
      <c r="R1882" t="s">
        <v>669</v>
      </c>
      <c r="T1882" t="s">
        <v>672</v>
      </c>
      <c r="U1882" t="s">
        <v>1888</v>
      </c>
      <c r="AF1882" t="s">
        <v>1874</v>
      </c>
      <c r="AG1882" t="s">
        <v>142</v>
      </c>
      <c r="AH1882" t="b">
        <v>0</v>
      </c>
    </row>
    <row r="1883" spans="1:34">
      <c r="A1883" t="s">
        <v>1874</v>
      </c>
      <c r="R1883" t="s">
        <v>690</v>
      </c>
      <c r="T1883" t="s">
        <v>693</v>
      </c>
      <c r="U1883" t="s">
        <v>1889</v>
      </c>
      <c r="AF1883" t="s">
        <v>1874</v>
      </c>
      <c r="AG1883" t="s">
        <v>142</v>
      </c>
      <c r="AH1883" t="b">
        <v>0</v>
      </c>
    </row>
    <row r="1884" spans="1:34">
      <c r="A1884" t="s">
        <v>1874</v>
      </c>
      <c r="R1884" t="s">
        <v>695</v>
      </c>
      <c r="T1884" t="s">
        <v>698</v>
      </c>
      <c r="U1884" t="s">
        <v>1890</v>
      </c>
      <c r="AF1884" t="s">
        <v>1874</v>
      </c>
      <c r="AG1884" t="s">
        <v>142</v>
      </c>
      <c r="AH1884" t="b">
        <v>0</v>
      </c>
    </row>
    <row r="1885" spans="1:34">
      <c r="A1885" t="s">
        <v>1874</v>
      </c>
      <c r="R1885" t="s">
        <v>700</v>
      </c>
      <c r="T1885" t="s">
        <v>703</v>
      </c>
      <c r="U1885" t="s">
        <v>1891</v>
      </c>
      <c r="AF1885" t="s">
        <v>1874</v>
      </c>
      <c r="AG1885" t="s">
        <v>142</v>
      </c>
      <c r="AH1885" t="b">
        <v>0</v>
      </c>
    </row>
    <row r="1886" spans="1:34">
      <c r="A1886" t="s">
        <v>1874</v>
      </c>
      <c r="R1886" t="s">
        <v>705</v>
      </c>
      <c r="T1886" t="s">
        <v>708</v>
      </c>
      <c r="U1886" t="s">
        <v>1892</v>
      </c>
      <c r="AF1886" t="s">
        <v>1874</v>
      </c>
      <c r="AG1886" t="s">
        <v>142</v>
      </c>
      <c r="AH1886" t="b">
        <v>0</v>
      </c>
    </row>
    <row r="1887" spans="1:34">
      <c r="A1887" t="s">
        <v>1874</v>
      </c>
      <c r="R1887" t="s">
        <v>710</v>
      </c>
      <c r="T1887" t="s">
        <v>713</v>
      </c>
      <c r="U1887" t="s">
        <v>1893</v>
      </c>
      <c r="AF1887" t="s">
        <v>1874</v>
      </c>
      <c r="AG1887" t="s">
        <v>142</v>
      </c>
      <c r="AH1887" t="b">
        <v>0</v>
      </c>
    </row>
    <row r="1888" spans="1:34">
      <c r="A1888" t="s">
        <v>1874</v>
      </c>
      <c r="R1888" t="s">
        <v>715</v>
      </c>
      <c r="T1888" t="s">
        <v>718</v>
      </c>
      <c r="U1888" t="s">
        <v>1894</v>
      </c>
      <c r="AF1888" t="s">
        <v>1874</v>
      </c>
      <c r="AG1888" t="s">
        <v>142</v>
      </c>
      <c r="AH1888" t="b">
        <v>0</v>
      </c>
    </row>
    <row r="1889" spans="1:34">
      <c r="A1889" t="s">
        <v>1874</v>
      </c>
      <c r="R1889" t="s">
        <v>720</v>
      </c>
      <c r="T1889" t="s">
        <v>723</v>
      </c>
      <c r="U1889" t="s">
        <v>1895</v>
      </c>
      <c r="AF1889" t="s">
        <v>1874</v>
      </c>
      <c r="AG1889" t="s">
        <v>142</v>
      </c>
      <c r="AH1889" t="b">
        <v>0</v>
      </c>
    </row>
    <row r="1890" spans="1:34">
      <c r="A1890" t="s">
        <v>1874</v>
      </c>
      <c r="R1890" t="s">
        <v>730</v>
      </c>
      <c r="T1890" t="s">
        <v>733</v>
      </c>
      <c r="U1890" t="s">
        <v>1896</v>
      </c>
      <c r="AF1890" t="s">
        <v>1874</v>
      </c>
      <c r="AG1890" t="s">
        <v>142</v>
      </c>
      <c r="AH1890" t="b">
        <v>0</v>
      </c>
    </row>
    <row r="1891" spans="1:34">
      <c r="A1891" t="s">
        <v>1874</v>
      </c>
      <c r="R1891" t="s">
        <v>735</v>
      </c>
      <c r="T1891" t="s">
        <v>738</v>
      </c>
      <c r="U1891" t="s">
        <v>1897</v>
      </c>
      <c r="AF1891" t="s">
        <v>1874</v>
      </c>
      <c r="AG1891" t="s">
        <v>142</v>
      </c>
      <c r="AH1891" t="b">
        <v>0</v>
      </c>
    </row>
    <row r="1892" spans="1:34">
      <c r="A1892" t="s">
        <v>1874</v>
      </c>
      <c r="R1892" t="s">
        <v>740</v>
      </c>
      <c r="T1892" t="s">
        <v>743</v>
      </c>
      <c r="U1892" t="s">
        <v>1898</v>
      </c>
      <c r="AF1892" t="s">
        <v>1874</v>
      </c>
      <c r="AG1892" t="s">
        <v>142</v>
      </c>
      <c r="AH1892" t="b">
        <v>0</v>
      </c>
    </row>
    <row r="1893" spans="1:34">
      <c r="A1893" t="s">
        <v>1874</v>
      </c>
      <c r="R1893" t="s">
        <v>745</v>
      </c>
      <c r="T1893" t="s">
        <v>748</v>
      </c>
      <c r="U1893" t="s">
        <v>1899</v>
      </c>
      <c r="AF1893" t="s">
        <v>1874</v>
      </c>
      <c r="AG1893" t="s">
        <v>142</v>
      </c>
      <c r="AH1893" t="b">
        <v>0</v>
      </c>
    </row>
    <row r="1894" spans="1:34">
      <c r="A1894" t="s">
        <v>1874</v>
      </c>
      <c r="R1894" t="s">
        <v>849</v>
      </c>
      <c r="T1894" t="s">
        <v>852</v>
      </c>
      <c r="U1894" t="s">
        <v>1900</v>
      </c>
      <c r="AF1894" t="s">
        <v>1874</v>
      </c>
      <c r="AG1894" t="s">
        <v>142</v>
      </c>
      <c r="AH1894" t="b">
        <v>0</v>
      </c>
    </row>
    <row r="1895" spans="1:34">
      <c r="A1895" t="s">
        <v>1874</v>
      </c>
      <c r="R1895" t="s">
        <v>854</v>
      </c>
      <c r="T1895" t="s">
        <v>857</v>
      </c>
      <c r="U1895" t="s">
        <v>1901</v>
      </c>
      <c r="AF1895" t="s">
        <v>1874</v>
      </c>
      <c r="AG1895" t="s">
        <v>142</v>
      </c>
      <c r="AH1895" t="b">
        <v>0</v>
      </c>
    </row>
    <row r="1896" spans="1:34">
      <c r="A1896" t="s">
        <v>1874</v>
      </c>
      <c r="R1896" t="s">
        <v>864</v>
      </c>
      <c r="T1896" t="s">
        <v>867</v>
      </c>
      <c r="U1896" t="s">
        <v>1902</v>
      </c>
      <c r="AF1896" t="s">
        <v>1874</v>
      </c>
      <c r="AG1896" t="s">
        <v>142</v>
      </c>
      <c r="AH1896" t="b">
        <v>0</v>
      </c>
    </row>
    <row r="1897" spans="1:34">
      <c r="A1897" t="s">
        <v>1874</v>
      </c>
      <c r="R1897" t="s">
        <v>877</v>
      </c>
      <c r="T1897" t="s">
        <v>880</v>
      </c>
      <c r="U1897" t="s">
        <v>1903</v>
      </c>
      <c r="AF1897" t="s">
        <v>1874</v>
      </c>
      <c r="AG1897" t="s">
        <v>142</v>
      </c>
      <c r="AH1897" t="b">
        <v>0</v>
      </c>
    </row>
    <row r="1898" spans="1:34">
      <c r="A1898" t="s">
        <v>1874</v>
      </c>
      <c r="R1898" t="s">
        <v>882</v>
      </c>
      <c r="T1898" t="s">
        <v>885</v>
      </c>
      <c r="U1898" t="s">
        <v>1904</v>
      </c>
      <c r="AF1898" t="s">
        <v>1874</v>
      </c>
      <c r="AG1898" t="s">
        <v>142</v>
      </c>
      <c r="AH1898" t="b">
        <v>0</v>
      </c>
    </row>
    <row r="1899" spans="1:34">
      <c r="A1899" t="s">
        <v>1874</v>
      </c>
      <c r="R1899" t="s">
        <v>887</v>
      </c>
      <c r="T1899" t="s">
        <v>890</v>
      </c>
      <c r="U1899" t="s">
        <v>1905</v>
      </c>
      <c r="AF1899" t="s">
        <v>1874</v>
      </c>
      <c r="AG1899" t="s">
        <v>142</v>
      </c>
      <c r="AH1899" t="b">
        <v>0</v>
      </c>
    </row>
    <row r="1900" spans="1:34">
      <c r="A1900" t="s">
        <v>1874</v>
      </c>
      <c r="R1900" t="s">
        <v>906</v>
      </c>
      <c r="T1900" t="s">
        <v>909</v>
      </c>
      <c r="U1900" t="s">
        <v>1906</v>
      </c>
      <c r="AF1900" t="s">
        <v>1874</v>
      </c>
      <c r="AG1900" t="s">
        <v>142</v>
      </c>
      <c r="AH1900" t="b">
        <v>0</v>
      </c>
    </row>
    <row r="1901" spans="1:34">
      <c r="A1901" t="s">
        <v>1874</v>
      </c>
      <c r="R1901" t="s">
        <v>916</v>
      </c>
      <c r="T1901" t="s">
        <v>919</v>
      </c>
      <c r="U1901" t="s">
        <v>1907</v>
      </c>
      <c r="AF1901" t="s">
        <v>1874</v>
      </c>
      <c r="AG1901" t="s">
        <v>142</v>
      </c>
      <c r="AH1901" t="b">
        <v>0</v>
      </c>
    </row>
    <row r="1902" spans="1:34">
      <c r="A1902" t="s">
        <v>1874</v>
      </c>
      <c r="R1902" t="s">
        <v>921</v>
      </c>
      <c r="T1902" t="s">
        <v>924</v>
      </c>
      <c r="U1902" t="s">
        <v>1908</v>
      </c>
      <c r="AF1902" t="s">
        <v>1874</v>
      </c>
      <c r="AG1902" t="s">
        <v>142</v>
      </c>
      <c r="AH1902" t="b">
        <v>0</v>
      </c>
    </row>
    <row r="1903" spans="1:34">
      <c r="A1903" t="s">
        <v>1874</v>
      </c>
      <c r="R1903" t="s">
        <v>926</v>
      </c>
      <c r="T1903" t="s">
        <v>929</v>
      </c>
      <c r="U1903" t="s">
        <v>1909</v>
      </c>
      <c r="AF1903" t="s">
        <v>1874</v>
      </c>
      <c r="AG1903" t="s">
        <v>142</v>
      </c>
      <c r="AH1903" t="b">
        <v>0</v>
      </c>
    </row>
    <row r="1904" spans="1:34">
      <c r="A1904" t="s">
        <v>1874</v>
      </c>
      <c r="R1904" t="s">
        <v>931</v>
      </c>
      <c r="T1904" t="s">
        <v>934</v>
      </c>
      <c r="U1904" t="s">
        <v>1910</v>
      </c>
      <c r="AF1904" t="s">
        <v>1874</v>
      </c>
      <c r="AG1904" t="s">
        <v>142</v>
      </c>
      <c r="AH1904" t="b">
        <v>0</v>
      </c>
    </row>
    <row r="1905" spans="1:34">
      <c r="A1905" t="s">
        <v>1874</v>
      </c>
      <c r="R1905" t="s">
        <v>946</v>
      </c>
      <c r="T1905" t="s">
        <v>949</v>
      </c>
      <c r="U1905" t="s">
        <v>1911</v>
      </c>
      <c r="AF1905" t="s">
        <v>1874</v>
      </c>
      <c r="AG1905" t="s">
        <v>142</v>
      </c>
      <c r="AH1905" t="b">
        <v>0</v>
      </c>
    </row>
    <row r="1906" spans="1:34">
      <c r="A1906" t="s">
        <v>1874</v>
      </c>
      <c r="R1906" t="s">
        <v>951</v>
      </c>
      <c r="T1906" t="s">
        <v>954</v>
      </c>
      <c r="U1906" t="s">
        <v>1912</v>
      </c>
      <c r="AF1906" t="s">
        <v>1874</v>
      </c>
      <c r="AG1906" t="s">
        <v>142</v>
      </c>
      <c r="AH1906" t="b">
        <v>0</v>
      </c>
    </row>
    <row r="1907" spans="1:34">
      <c r="A1907" t="s">
        <v>1874</v>
      </c>
      <c r="R1907" t="s">
        <v>956</v>
      </c>
      <c r="T1907" t="s">
        <v>959</v>
      </c>
      <c r="U1907" t="s">
        <v>1913</v>
      </c>
      <c r="AF1907" t="s">
        <v>1874</v>
      </c>
      <c r="AG1907" t="s">
        <v>142</v>
      </c>
      <c r="AH1907" t="b">
        <v>0</v>
      </c>
    </row>
    <row r="1908" spans="1:34">
      <c r="A1908" t="s">
        <v>1874</v>
      </c>
      <c r="R1908" t="s">
        <v>966</v>
      </c>
      <c r="T1908" t="s">
        <v>969</v>
      </c>
      <c r="U1908" t="s">
        <v>1914</v>
      </c>
      <c r="AF1908" t="s">
        <v>1874</v>
      </c>
      <c r="AG1908" t="s">
        <v>142</v>
      </c>
      <c r="AH1908" t="b">
        <v>0</v>
      </c>
    </row>
    <row r="1909" spans="1:34">
      <c r="A1909" t="s">
        <v>1874</v>
      </c>
      <c r="R1909" t="s">
        <v>986</v>
      </c>
      <c r="T1909" t="s">
        <v>989</v>
      </c>
      <c r="U1909" t="s">
        <v>1915</v>
      </c>
      <c r="AF1909" t="s">
        <v>1874</v>
      </c>
      <c r="AG1909" t="s">
        <v>142</v>
      </c>
      <c r="AH1909" t="b">
        <v>0</v>
      </c>
    </row>
    <row r="1910" spans="1:34">
      <c r="A1910" t="s">
        <v>1874</v>
      </c>
      <c r="R1910" t="s">
        <v>991</v>
      </c>
      <c r="T1910" t="s">
        <v>994</v>
      </c>
      <c r="U1910" t="s">
        <v>1916</v>
      </c>
      <c r="AF1910" t="s">
        <v>1874</v>
      </c>
      <c r="AG1910" t="s">
        <v>142</v>
      </c>
      <c r="AH1910" t="b">
        <v>0</v>
      </c>
    </row>
    <row r="1911" spans="1:34">
      <c r="A1911" t="s">
        <v>1874</v>
      </c>
      <c r="R1911" t="s">
        <v>996</v>
      </c>
      <c r="T1911" t="s">
        <v>999</v>
      </c>
      <c r="U1911" t="s">
        <v>1917</v>
      </c>
      <c r="AF1911" t="s">
        <v>1874</v>
      </c>
      <c r="AG1911" t="s">
        <v>142</v>
      </c>
      <c r="AH1911" t="b">
        <v>0</v>
      </c>
    </row>
    <row r="1912" spans="1:34">
      <c r="A1912" t="s">
        <v>1874</v>
      </c>
      <c r="R1912" t="s">
        <v>1011</v>
      </c>
      <c r="T1912" t="s">
        <v>1014</v>
      </c>
      <c r="U1912" t="s">
        <v>1918</v>
      </c>
      <c r="AF1912" t="s">
        <v>1874</v>
      </c>
      <c r="AG1912" t="s">
        <v>142</v>
      </c>
      <c r="AH1912" t="b">
        <v>0</v>
      </c>
    </row>
    <row r="1913" spans="1:34">
      <c r="A1913" t="s">
        <v>1874</v>
      </c>
      <c r="R1913" t="s">
        <v>1025</v>
      </c>
      <c r="T1913" t="s">
        <v>1028</v>
      </c>
      <c r="U1913" t="s">
        <v>1919</v>
      </c>
      <c r="AF1913" t="s">
        <v>1874</v>
      </c>
      <c r="AG1913" t="s">
        <v>142</v>
      </c>
      <c r="AH1913" t="b">
        <v>0</v>
      </c>
    </row>
    <row r="1914" spans="1:34">
      <c r="A1914" t="s">
        <v>1874</v>
      </c>
      <c r="R1914" t="s">
        <v>1030</v>
      </c>
      <c r="T1914" t="s">
        <v>1033</v>
      </c>
      <c r="U1914" t="s">
        <v>1920</v>
      </c>
      <c r="AF1914" t="s">
        <v>1874</v>
      </c>
      <c r="AG1914" t="s">
        <v>142</v>
      </c>
      <c r="AH1914" t="b">
        <v>0</v>
      </c>
    </row>
    <row r="1915" spans="1:34">
      <c r="A1915" t="s">
        <v>1874</v>
      </c>
      <c r="R1915" t="s">
        <v>1048</v>
      </c>
      <c r="T1915" t="s">
        <v>1051</v>
      </c>
      <c r="U1915" t="s">
        <v>1921</v>
      </c>
      <c r="AF1915" t="s">
        <v>1874</v>
      </c>
      <c r="AG1915" t="s">
        <v>142</v>
      </c>
      <c r="AH1915" t="b">
        <v>0</v>
      </c>
    </row>
    <row r="1916" spans="1:34">
      <c r="A1916" t="s">
        <v>1874</v>
      </c>
      <c r="R1916" t="s">
        <v>1071</v>
      </c>
      <c r="T1916" t="s">
        <v>1074</v>
      </c>
      <c r="U1916" t="s">
        <v>1922</v>
      </c>
      <c r="AF1916" t="s">
        <v>1874</v>
      </c>
      <c r="AG1916" t="s">
        <v>142</v>
      </c>
      <c r="AH1916" t="b">
        <v>0</v>
      </c>
    </row>
    <row r="1917" spans="1:34">
      <c r="A1917" t="s">
        <v>1874</v>
      </c>
      <c r="R1917" t="s">
        <v>1076</v>
      </c>
      <c r="T1917" t="s">
        <v>1079</v>
      </c>
      <c r="U1917" t="s">
        <v>1923</v>
      </c>
      <c r="AF1917" t="s">
        <v>1874</v>
      </c>
      <c r="AG1917" t="s">
        <v>142</v>
      </c>
      <c r="AH1917" t="b">
        <v>0</v>
      </c>
    </row>
    <row r="1918" spans="1:34">
      <c r="A1918" t="s">
        <v>1874</v>
      </c>
      <c r="R1918" t="s">
        <v>1091</v>
      </c>
      <c r="T1918" t="s">
        <v>1094</v>
      </c>
      <c r="U1918" t="s">
        <v>1924</v>
      </c>
      <c r="AF1918" t="s">
        <v>1874</v>
      </c>
      <c r="AG1918" t="s">
        <v>142</v>
      </c>
      <c r="AH1918" t="b">
        <v>0</v>
      </c>
    </row>
    <row r="1919" spans="1:34">
      <c r="A1919" t="s">
        <v>1874</v>
      </c>
      <c r="R1919" t="s">
        <v>1096</v>
      </c>
      <c r="T1919" t="s">
        <v>1099</v>
      </c>
      <c r="U1919" t="s">
        <v>1925</v>
      </c>
      <c r="AF1919" t="s">
        <v>1874</v>
      </c>
      <c r="AG1919" t="s">
        <v>142</v>
      </c>
      <c r="AH1919" t="b">
        <v>0</v>
      </c>
    </row>
    <row r="1920" spans="1:34">
      <c r="A1920" t="s">
        <v>1874</v>
      </c>
      <c r="R1920" t="s">
        <v>1106</v>
      </c>
      <c r="T1920" t="s">
        <v>1109</v>
      </c>
      <c r="U1920" t="s">
        <v>1926</v>
      </c>
      <c r="AF1920" t="s">
        <v>1874</v>
      </c>
      <c r="AG1920" t="s">
        <v>142</v>
      </c>
      <c r="AH1920" t="b">
        <v>0</v>
      </c>
    </row>
    <row r="1921" spans="1:34">
      <c r="A1921" t="s">
        <v>1874</v>
      </c>
      <c r="R1921" t="s">
        <v>1131</v>
      </c>
      <c r="T1921" t="s">
        <v>1104</v>
      </c>
      <c r="U1921" t="s">
        <v>1927</v>
      </c>
      <c r="AF1921" t="s">
        <v>1874</v>
      </c>
      <c r="AG1921" t="s">
        <v>142</v>
      </c>
      <c r="AH1921" t="b">
        <v>0</v>
      </c>
    </row>
    <row r="1922" spans="1:34">
      <c r="A1922" t="s">
        <v>1874</v>
      </c>
      <c r="R1922" t="s">
        <v>1135</v>
      </c>
      <c r="T1922" t="s">
        <v>1138</v>
      </c>
      <c r="U1922" t="s">
        <v>1928</v>
      </c>
      <c r="AF1922" t="s">
        <v>1874</v>
      </c>
      <c r="AG1922" t="s">
        <v>142</v>
      </c>
      <c r="AH1922" t="b">
        <v>0</v>
      </c>
    </row>
    <row r="1923" spans="1:34">
      <c r="A1923" t="s">
        <v>1874</v>
      </c>
      <c r="R1923" t="s">
        <v>1140</v>
      </c>
      <c r="T1923" t="s">
        <v>1143</v>
      </c>
      <c r="U1923" t="s">
        <v>1929</v>
      </c>
      <c r="AF1923" t="s">
        <v>1874</v>
      </c>
      <c r="AG1923" t="s">
        <v>142</v>
      </c>
      <c r="AH1923" t="b">
        <v>0</v>
      </c>
    </row>
    <row r="1924" spans="1:34">
      <c r="A1924" t="s">
        <v>1874</v>
      </c>
      <c r="R1924" t="s">
        <v>1155</v>
      </c>
      <c r="T1924" t="s">
        <v>1124</v>
      </c>
      <c r="U1924" t="s">
        <v>1930</v>
      </c>
      <c r="AF1924" t="s">
        <v>1874</v>
      </c>
      <c r="AG1924" t="s">
        <v>142</v>
      </c>
      <c r="AH1924" t="b">
        <v>0</v>
      </c>
    </row>
    <row r="1925" spans="1:34">
      <c r="A1925" t="s">
        <v>1874</v>
      </c>
      <c r="R1925" t="s">
        <v>1188</v>
      </c>
      <c r="T1925" t="s">
        <v>1191</v>
      </c>
      <c r="U1925" t="s">
        <v>1931</v>
      </c>
      <c r="AF1925" t="s">
        <v>1874</v>
      </c>
      <c r="AG1925" t="s">
        <v>142</v>
      </c>
      <c r="AH1925" t="b">
        <v>0</v>
      </c>
    </row>
    <row r="1926" spans="1:34">
      <c r="A1926" t="s">
        <v>1874</v>
      </c>
      <c r="R1926" t="s">
        <v>1193</v>
      </c>
      <c r="T1926" t="s">
        <v>1196</v>
      </c>
      <c r="U1926" t="s">
        <v>1932</v>
      </c>
      <c r="AF1926" t="s">
        <v>1874</v>
      </c>
      <c r="AG1926" t="s">
        <v>142</v>
      </c>
      <c r="AH1926" t="b">
        <v>0</v>
      </c>
    </row>
    <row r="1927" spans="1:34">
      <c r="A1927" t="s">
        <v>1874</v>
      </c>
      <c r="R1927" t="s">
        <v>1198</v>
      </c>
      <c r="T1927" t="s">
        <v>1201</v>
      </c>
      <c r="U1927" t="s">
        <v>1933</v>
      </c>
      <c r="AF1927" t="s">
        <v>1874</v>
      </c>
      <c r="AG1927" t="s">
        <v>142</v>
      </c>
      <c r="AH1927" t="b">
        <v>0</v>
      </c>
    </row>
    <row r="1928" spans="1:34">
      <c r="A1928" t="s">
        <v>1874</v>
      </c>
      <c r="R1928" t="s">
        <v>1233</v>
      </c>
      <c r="T1928" t="s">
        <v>1236</v>
      </c>
      <c r="U1928" t="s">
        <v>1934</v>
      </c>
      <c r="AF1928" t="s">
        <v>1874</v>
      </c>
      <c r="AG1928" t="s">
        <v>142</v>
      </c>
      <c r="AH1928" t="b">
        <v>0</v>
      </c>
    </row>
    <row r="1929" spans="1:34">
      <c r="A1929" t="s">
        <v>1874</v>
      </c>
      <c r="R1929" t="s">
        <v>621</v>
      </c>
      <c r="T1929" t="s">
        <v>624</v>
      </c>
      <c r="U1929" t="s">
        <v>1935</v>
      </c>
      <c r="AF1929" t="s">
        <v>1874</v>
      </c>
      <c r="AG1929" t="s">
        <v>142</v>
      </c>
      <c r="AH1929" t="b">
        <v>0</v>
      </c>
    </row>
    <row r="1930" spans="1:34">
      <c r="A1930" t="s">
        <v>1874</v>
      </c>
      <c r="R1930" t="s">
        <v>664</v>
      </c>
      <c r="T1930" t="s">
        <v>667</v>
      </c>
      <c r="U1930" t="s">
        <v>1936</v>
      </c>
      <c r="AF1930" t="s">
        <v>1874</v>
      </c>
      <c r="AG1930" t="s">
        <v>142</v>
      </c>
      <c r="AH1930" t="b">
        <v>0</v>
      </c>
    </row>
    <row r="1931" spans="1:34">
      <c r="A1931" t="s">
        <v>1874</v>
      </c>
      <c r="R1931" t="s">
        <v>725</v>
      </c>
      <c r="T1931" t="s">
        <v>728</v>
      </c>
      <c r="U1931" t="s">
        <v>1937</v>
      </c>
      <c r="AF1931" t="s">
        <v>1874</v>
      </c>
      <c r="AG1931" t="s">
        <v>142</v>
      </c>
      <c r="AH1931" t="b">
        <v>0</v>
      </c>
    </row>
    <row r="1932" spans="1:34">
      <c r="A1932" t="s">
        <v>1874</v>
      </c>
      <c r="R1932" t="s">
        <v>844</v>
      </c>
      <c r="T1932" t="s">
        <v>847</v>
      </c>
      <c r="U1932" t="s">
        <v>1938</v>
      </c>
      <c r="AF1932" t="s">
        <v>1874</v>
      </c>
      <c r="AG1932" t="s">
        <v>142</v>
      </c>
      <c r="AH1932" t="b">
        <v>0</v>
      </c>
    </row>
    <row r="1933" spans="1:34">
      <c r="A1933" t="s">
        <v>1874</v>
      </c>
      <c r="R1933" t="s">
        <v>859</v>
      </c>
      <c r="T1933" t="s">
        <v>862</v>
      </c>
      <c r="U1933" t="s">
        <v>1939</v>
      </c>
      <c r="AF1933" t="s">
        <v>1874</v>
      </c>
      <c r="AG1933" t="s">
        <v>142</v>
      </c>
      <c r="AH1933" t="b">
        <v>0</v>
      </c>
    </row>
    <row r="1934" spans="1:34">
      <c r="A1934" t="s">
        <v>1874</v>
      </c>
      <c r="R1934" t="s">
        <v>892</v>
      </c>
      <c r="T1934" t="s">
        <v>895</v>
      </c>
      <c r="U1934" t="s">
        <v>1940</v>
      </c>
      <c r="AF1934" t="s">
        <v>1874</v>
      </c>
      <c r="AG1934" t="s">
        <v>142</v>
      </c>
      <c r="AH1934" t="b">
        <v>0</v>
      </c>
    </row>
    <row r="1935" spans="1:34">
      <c r="A1935" t="s">
        <v>1874</v>
      </c>
      <c r="R1935" t="s">
        <v>901</v>
      </c>
      <c r="T1935" t="s">
        <v>904</v>
      </c>
      <c r="U1935" t="s">
        <v>1941</v>
      </c>
      <c r="AF1935" t="s">
        <v>1874</v>
      </c>
      <c r="AG1935" t="s">
        <v>142</v>
      </c>
      <c r="AH1935" t="b">
        <v>0</v>
      </c>
    </row>
    <row r="1936" spans="1:34">
      <c r="A1936" t="s">
        <v>1874</v>
      </c>
      <c r="R1936" t="s">
        <v>911</v>
      </c>
      <c r="T1936" t="s">
        <v>914</v>
      </c>
      <c r="U1936" t="s">
        <v>1942</v>
      </c>
      <c r="AF1936" t="s">
        <v>1874</v>
      </c>
      <c r="AG1936" t="s">
        <v>142</v>
      </c>
      <c r="AH1936" t="b">
        <v>0</v>
      </c>
    </row>
    <row r="1937" spans="1:34">
      <c r="A1937" t="s">
        <v>1874</v>
      </c>
      <c r="R1937" t="s">
        <v>976</v>
      </c>
      <c r="T1937" t="s">
        <v>979</v>
      </c>
      <c r="U1937" t="s">
        <v>1943</v>
      </c>
      <c r="AF1937" t="s">
        <v>1874</v>
      </c>
      <c r="AG1937" t="s">
        <v>142</v>
      </c>
      <c r="AH1937" t="b">
        <v>0</v>
      </c>
    </row>
    <row r="1938" spans="1:34">
      <c r="A1938" t="s">
        <v>1874</v>
      </c>
      <c r="R1938" t="s">
        <v>936</v>
      </c>
      <c r="T1938" t="s">
        <v>939</v>
      </c>
      <c r="U1938" t="s">
        <v>1944</v>
      </c>
      <c r="AF1938" t="s">
        <v>1874</v>
      </c>
      <c r="AG1938" t="s">
        <v>142</v>
      </c>
      <c r="AH1938" t="b">
        <v>0</v>
      </c>
    </row>
    <row r="1939" spans="1:34">
      <c r="A1939" t="s">
        <v>1874</v>
      </c>
      <c r="R1939" t="s">
        <v>941</v>
      </c>
      <c r="T1939" t="s">
        <v>944</v>
      </c>
      <c r="U1939" t="s">
        <v>1945</v>
      </c>
      <c r="AF1939" t="s">
        <v>1874</v>
      </c>
      <c r="AG1939" t="s">
        <v>142</v>
      </c>
      <c r="AH1939" t="b">
        <v>0</v>
      </c>
    </row>
    <row r="1940" spans="1:34">
      <c r="A1940" t="s">
        <v>1874</v>
      </c>
      <c r="R1940" t="s">
        <v>961</v>
      </c>
      <c r="T1940" t="s">
        <v>964</v>
      </c>
      <c r="U1940" t="s">
        <v>1946</v>
      </c>
      <c r="AF1940" t="s">
        <v>1874</v>
      </c>
      <c r="AG1940" t="s">
        <v>142</v>
      </c>
      <c r="AH1940" t="b">
        <v>0</v>
      </c>
    </row>
    <row r="1941" spans="1:34">
      <c r="A1941" t="s">
        <v>1874</v>
      </c>
      <c r="R1941" t="s">
        <v>971</v>
      </c>
      <c r="T1941" t="s">
        <v>974</v>
      </c>
      <c r="U1941" t="s">
        <v>1947</v>
      </c>
      <c r="AF1941" t="s">
        <v>1874</v>
      </c>
      <c r="AG1941" t="s">
        <v>142</v>
      </c>
      <c r="AH1941" t="b">
        <v>0</v>
      </c>
    </row>
    <row r="1942" spans="1:34">
      <c r="A1942" t="s">
        <v>1874</v>
      </c>
      <c r="R1942" t="s">
        <v>981</v>
      </c>
      <c r="T1942" t="s">
        <v>984</v>
      </c>
      <c r="U1942" t="s">
        <v>1948</v>
      </c>
      <c r="AF1942" t="s">
        <v>1874</v>
      </c>
      <c r="AG1942" t="s">
        <v>142</v>
      </c>
      <c r="AH1942" t="b">
        <v>0</v>
      </c>
    </row>
    <row r="1943" spans="1:34">
      <c r="A1943" t="s">
        <v>1874</v>
      </c>
      <c r="R1943" t="s">
        <v>1001</v>
      </c>
      <c r="T1943" t="s">
        <v>1004</v>
      </c>
      <c r="U1943" t="s">
        <v>1949</v>
      </c>
      <c r="AF1943" t="s">
        <v>1874</v>
      </c>
      <c r="AG1943" t="s">
        <v>142</v>
      </c>
      <c r="AH1943" t="b">
        <v>0</v>
      </c>
    </row>
    <row r="1944" spans="1:34">
      <c r="A1944" t="s">
        <v>1874</v>
      </c>
      <c r="R1944" t="s">
        <v>1006</v>
      </c>
      <c r="T1944" t="s">
        <v>1009</v>
      </c>
      <c r="U1944" t="s">
        <v>1950</v>
      </c>
      <c r="AF1944" t="s">
        <v>1874</v>
      </c>
      <c r="AG1944" t="s">
        <v>142</v>
      </c>
      <c r="AH1944" t="b">
        <v>0</v>
      </c>
    </row>
    <row r="1945" spans="1:34">
      <c r="A1945" t="s">
        <v>1874</v>
      </c>
      <c r="R1945" t="s">
        <v>1016</v>
      </c>
      <c r="T1945" t="s">
        <v>1019</v>
      </c>
      <c r="U1945" t="s">
        <v>1951</v>
      </c>
      <c r="AF1945" t="s">
        <v>1874</v>
      </c>
      <c r="AG1945" t="s">
        <v>142</v>
      </c>
      <c r="AH1945" t="b">
        <v>0</v>
      </c>
    </row>
    <row r="1946" spans="1:34">
      <c r="A1946" t="s">
        <v>1874</v>
      </c>
      <c r="R1946" t="s">
        <v>1035</v>
      </c>
      <c r="T1946" t="s">
        <v>1038</v>
      </c>
      <c r="U1946" t="s">
        <v>1952</v>
      </c>
      <c r="AF1946" t="s">
        <v>1874</v>
      </c>
      <c r="AG1946" t="s">
        <v>142</v>
      </c>
      <c r="AH1946" t="b">
        <v>0</v>
      </c>
    </row>
    <row r="1947" spans="1:34">
      <c r="A1947" t="s">
        <v>1874</v>
      </c>
      <c r="R1947" t="s">
        <v>1040</v>
      </c>
      <c r="T1947" t="s">
        <v>639</v>
      </c>
      <c r="U1947" t="s">
        <v>1953</v>
      </c>
      <c r="AF1947" t="s">
        <v>1874</v>
      </c>
      <c r="AG1947" t="s">
        <v>142</v>
      </c>
      <c r="AH1947" t="b">
        <v>0</v>
      </c>
    </row>
    <row r="1948" spans="1:34">
      <c r="A1948" t="s">
        <v>1874</v>
      </c>
      <c r="R1948" t="s">
        <v>1126</v>
      </c>
      <c r="T1948" t="s">
        <v>1129</v>
      </c>
      <c r="U1948" t="s">
        <v>1954</v>
      </c>
      <c r="AF1948" t="s">
        <v>1874</v>
      </c>
      <c r="AG1948" t="s">
        <v>142</v>
      </c>
      <c r="AH1948" t="b">
        <v>0</v>
      </c>
    </row>
    <row r="1949" spans="1:34">
      <c r="A1949" t="s">
        <v>1874</v>
      </c>
      <c r="R1949" t="s">
        <v>1081</v>
      </c>
      <c r="T1949" t="s">
        <v>1084</v>
      </c>
      <c r="U1949" t="s">
        <v>1955</v>
      </c>
      <c r="AF1949" t="s">
        <v>1874</v>
      </c>
      <c r="AG1949" t="s">
        <v>142</v>
      </c>
      <c r="AH1949" t="b">
        <v>0</v>
      </c>
    </row>
    <row r="1950" spans="1:34">
      <c r="A1950" t="s">
        <v>1874</v>
      </c>
      <c r="R1950" t="s">
        <v>1057</v>
      </c>
      <c r="T1950" t="s">
        <v>1060</v>
      </c>
      <c r="U1950" t="s">
        <v>1956</v>
      </c>
      <c r="AF1950" t="s">
        <v>1874</v>
      </c>
      <c r="AG1950" t="s">
        <v>142</v>
      </c>
      <c r="AH1950" t="b">
        <v>0</v>
      </c>
    </row>
    <row r="1951" spans="1:34">
      <c r="A1951" t="s">
        <v>1874</v>
      </c>
      <c r="R1951" t="s">
        <v>1062</v>
      </c>
      <c r="T1951" t="s">
        <v>1065</v>
      </c>
      <c r="U1951" t="s">
        <v>1957</v>
      </c>
      <c r="AF1951" t="s">
        <v>1874</v>
      </c>
      <c r="AG1951" t="s">
        <v>142</v>
      </c>
      <c r="AH1951" t="b">
        <v>0</v>
      </c>
    </row>
    <row r="1952" spans="1:34">
      <c r="A1952" t="s">
        <v>1874</v>
      </c>
      <c r="R1952" t="s">
        <v>1101</v>
      </c>
      <c r="T1952" t="s">
        <v>1104</v>
      </c>
      <c r="U1952" t="s">
        <v>1958</v>
      </c>
      <c r="AF1952" t="s">
        <v>1874</v>
      </c>
      <c r="AG1952" t="s">
        <v>142</v>
      </c>
      <c r="AH1952" t="b">
        <v>0</v>
      </c>
    </row>
    <row r="1953" spans="1:34">
      <c r="A1953" t="s">
        <v>1874</v>
      </c>
      <c r="R1953" t="s">
        <v>1111</v>
      </c>
      <c r="T1953" t="s">
        <v>1114</v>
      </c>
      <c r="U1953" t="s">
        <v>1959</v>
      </c>
      <c r="AF1953" t="s">
        <v>1874</v>
      </c>
      <c r="AG1953" t="s">
        <v>142</v>
      </c>
      <c r="AH1953" t="b">
        <v>0</v>
      </c>
    </row>
    <row r="1954" spans="1:34">
      <c r="A1954" t="s">
        <v>1874</v>
      </c>
      <c r="R1954" t="s">
        <v>1116</v>
      </c>
      <c r="T1954" t="s">
        <v>1119</v>
      </c>
      <c r="U1954" t="s">
        <v>1960</v>
      </c>
      <c r="AF1954" t="s">
        <v>1874</v>
      </c>
      <c r="AG1954" t="s">
        <v>142</v>
      </c>
      <c r="AH1954" t="b">
        <v>0</v>
      </c>
    </row>
    <row r="1955" spans="1:34">
      <c r="A1955" t="s">
        <v>1874</v>
      </c>
      <c r="R1955" t="s">
        <v>1178</v>
      </c>
      <c r="T1955" t="s">
        <v>1181</v>
      </c>
      <c r="U1955" t="s">
        <v>39</v>
      </c>
      <c r="AF1955" t="s">
        <v>1874</v>
      </c>
      <c r="AG1955" t="s">
        <v>142</v>
      </c>
      <c r="AH1955" t="b">
        <v>0</v>
      </c>
    </row>
    <row r="1956" spans="1:34">
      <c r="A1956" t="s">
        <v>1874</v>
      </c>
      <c r="R1956" t="s">
        <v>1121</v>
      </c>
      <c r="T1956" t="s">
        <v>1124</v>
      </c>
      <c r="U1956" t="s">
        <v>1961</v>
      </c>
      <c r="AF1956" t="s">
        <v>1874</v>
      </c>
      <c r="AG1956" t="s">
        <v>142</v>
      </c>
      <c r="AH1956" t="b">
        <v>0</v>
      </c>
    </row>
    <row r="1957" spans="1:34">
      <c r="A1957" t="s">
        <v>1874</v>
      </c>
      <c r="R1957" t="s">
        <v>1145</v>
      </c>
      <c r="T1957" t="s">
        <v>1148</v>
      </c>
      <c r="U1957" t="s">
        <v>1962</v>
      </c>
      <c r="AF1957" t="s">
        <v>1874</v>
      </c>
      <c r="AG1957" t="s">
        <v>142</v>
      </c>
      <c r="AH1957" t="b">
        <v>0</v>
      </c>
    </row>
    <row r="1958" spans="1:34">
      <c r="A1958" t="s">
        <v>1874</v>
      </c>
      <c r="R1958" t="s">
        <v>1150</v>
      </c>
      <c r="T1958" t="s">
        <v>1153</v>
      </c>
      <c r="U1958" t="s">
        <v>1963</v>
      </c>
      <c r="AF1958" t="s">
        <v>1874</v>
      </c>
      <c r="AG1958" t="s">
        <v>142</v>
      </c>
      <c r="AH1958" t="b">
        <v>0</v>
      </c>
    </row>
    <row r="1959" spans="1:34">
      <c r="A1959" t="s">
        <v>1874</v>
      </c>
      <c r="R1959" t="s">
        <v>1159</v>
      </c>
      <c r="T1959" t="s">
        <v>1162</v>
      </c>
      <c r="U1959" t="s">
        <v>1964</v>
      </c>
      <c r="AF1959" t="s">
        <v>1874</v>
      </c>
      <c r="AG1959" t="s">
        <v>142</v>
      </c>
      <c r="AH1959" t="b">
        <v>0</v>
      </c>
    </row>
    <row r="1960" spans="1:34">
      <c r="A1960" t="s">
        <v>1874</v>
      </c>
      <c r="R1960" t="s">
        <v>1164</v>
      </c>
      <c r="T1960" t="s">
        <v>1167</v>
      </c>
      <c r="U1960" t="s">
        <v>1965</v>
      </c>
      <c r="AF1960" t="s">
        <v>1874</v>
      </c>
      <c r="AG1960" t="s">
        <v>142</v>
      </c>
      <c r="AH1960" t="b">
        <v>0</v>
      </c>
    </row>
    <row r="1961" spans="1:34">
      <c r="A1961" t="s">
        <v>1874</v>
      </c>
      <c r="R1961" t="s">
        <v>1169</v>
      </c>
      <c r="T1961" t="s">
        <v>1172</v>
      </c>
      <c r="U1961" t="s">
        <v>1966</v>
      </c>
      <c r="AF1961" t="s">
        <v>1874</v>
      </c>
      <c r="AG1961" t="s">
        <v>142</v>
      </c>
      <c r="AH1961" t="b">
        <v>0</v>
      </c>
    </row>
    <row r="1962" spans="1:34">
      <c r="A1962" t="s">
        <v>1874</v>
      </c>
      <c r="R1962" t="s">
        <v>1183</v>
      </c>
      <c r="T1962" t="s">
        <v>1186</v>
      </c>
      <c r="U1962" t="s">
        <v>1967</v>
      </c>
      <c r="AF1962" t="s">
        <v>1874</v>
      </c>
      <c r="AG1962" t="s">
        <v>142</v>
      </c>
      <c r="AH1962" t="b">
        <v>0</v>
      </c>
    </row>
    <row r="1963" spans="1:34">
      <c r="A1963" t="s">
        <v>1874</v>
      </c>
      <c r="R1963" t="s">
        <v>1218</v>
      </c>
      <c r="T1963" t="s">
        <v>1221</v>
      </c>
      <c r="U1963" t="s">
        <v>1968</v>
      </c>
      <c r="AF1963" t="s">
        <v>1874</v>
      </c>
      <c r="AG1963" t="s">
        <v>142</v>
      </c>
      <c r="AH1963" t="b">
        <v>0</v>
      </c>
    </row>
    <row r="1964" spans="1:34">
      <c r="A1964" t="s">
        <v>1874</v>
      </c>
      <c r="R1964" t="s">
        <v>1223</v>
      </c>
      <c r="T1964" t="s">
        <v>1226</v>
      </c>
      <c r="U1964" t="s">
        <v>1969</v>
      </c>
      <c r="AF1964" t="s">
        <v>1874</v>
      </c>
      <c r="AG1964" t="s">
        <v>142</v>
      </c>
      <c r="AH1964" t="b">
        <v>0</v>
      </c>
    </row>
    <row r="1965" spans="1:34">
      <c r="A1965" t="s">
        <v>1874</v>
      </c>
      <c r="R1965" t="s">
        <v>1208</v>
      </c>
      <c r="T1965" t="s">
        <v>1211</v>
      </c>
      <c r="U1965" t="s">
        <v>1970</v>
      </c>
      <c r="AF1965" t="s">
        <v>1874</v>
      </c>
      <c r="AG1965" t="s">
        <v>142</v>
      </c>
      <c r="AH1965" t="b">
        <v>0</v>
      </c>
    </row>
    <row r="1966" spans="1:34">
      <c r="A1966" t="s">
        <v>1874</v>
      </c>
      <c r="R1966" t="s">
        <v>1213</v>
      </c>
      <c r="T1966" t="s">
        <v>1216</v>
      </c>
      <c r="U1966" t="s">
        <v>1971</v>
      </c>
      <c r="AF1966" t="s">
        <v>1874</v>
      </c>
      <c r="AG1966" t="s">
        <v>142</v>
      </c>
      <c r="AH1966" t="b">
        <v>0</v>
      </c>
    </row>
    <row r="1967" spans="1:34">
      <c r="A1967" t="s">
        <v>1874</v>
      </c>
      <c r="R1967" t="s">
        <v>1228</v>
      </c>
      <c r="T1967" t="s">
        <v>1231</v>
      </c>
      <c r="U1967" t="s">
        <v>1972</v>
      </c>
      <c r="AF1967" t="s">
        <v>1874</v>
      </c>
      <c r="AG1967" t="s">
        <v>142</v>
      </c>
      <c r="AH1967" t="b">
        <v>0</v>
      </c>
    </row>
    <row r="1968" spans="1:34">
      <c r="A1968" t="s">
        <v>1874</v>
      </c>
      <c r="R1968" t="s">
        <v>1203</v>
      </c>
      <c r="T1968" t="s">
        <v>1206</v>
      </c>
      <c r="U1968" t="s">
        <v>1973</v>
      </c>
      <c r="AF1968" t="s">
        <v>1874</v>
      </c>
      <c r="AG1968" t="s">
        <v>142</v>
      </c>
      <c r="AH1968" t="b">
        <v>0</v>
      </c>
    </row>
    <row r="1969" spans="1:34">
      <c r="A1969" t="s">
        <v>1874</v>
      </c>
      <c r="R1969" t="s">
        <v>1238</v>
      </c>
      <c r="T1969" t="s">
        <v>1241</v>
      </c>
      <c r="U1969" t="s">
        <v>1974</v>
      </c>
      <c r="AF1969" t="s">
        <v>1874</v>
      </c>
      <c r="AG1969" t="s">
        <v>142</v>
      </c>
      <c r="AH1969" t="b">
        <v>0</v>
      </c>
    </row>
    <row r="1970" spans="1:34">
      <c r="A1970" t="s">
        <v>1874</v>
      </c>
      <c r="R1970" t="s">
        <v>1243</v>
      </c>
      <c r="T1970" t="s">
        <v>1246</v>
      </c>
      <c r="U1970" t="s">
        <v>1975</v>
      </c>
      <c r="AF1970" t="s">
        <v>1874</v>
      </c>
      <c r="AG1970" t="s">
        <v>142</v>
      </c>
      <c r="AH1970" t="b">
        <v>0</v>
      </c>
    </row>
    <row r="1971" spans="1:34">
      <c r="A1971" t="s">
        <v>1874</v>
      </c>
      <c r="R1971" t="s">
        <v>1352</v>
      </c>
      <c r="T1971" t="s">
        <v>1353</v>
      </c>
      <c r="U1971" t="s">
        <v>1976</v>
      </c>
      <c r="AF1971" t="s">
        <v>1874</v>
      </c>
      <c r="AG1971" t="s">
        <v>142</v>
      </c>
      <c r="AH1971" t="b">
        <v>0</v>
      </c>
    </row>
    <row r="1972" spans="1:34">
      <c r="A1972" t="s">
        <v>1977</v>
      </c>
      <c r="M1972" t="s">
        <v>12</v>
      </c>
      <c r="AF1972" t="s">
        <v>1977</v>
      </c>
      <c r="AG1972" t="s">
        <v>142</v>
      </c>
      <c r="AH1972" t="b">
        <v>0</v>
      </c>
    </row>
    <row r="1973" spans="1:34">
      <c r="A1973" t="s">
        <v>1977</v>
      </c>
      <c r="M1973" t="s">
        <v>196</v>
      </c>
      <c r="AF1973" t="s">
        <v>1977</v>
      </c>
      <c r="AG1973" t="s">
        <v>142</v>
      </c>
      <c r="AH1973" t="b">
        <v>0</v>
      </c>
    </row>
    <row r="1974" spans="1:34">
      <c r="A1974" t="s">
        <v>1977</v>
      </c>
      <c r="M1974" t="s">
        <v>197</v>
      </c>
      <c r="AF1974" t="s">
        <v>1977</v>
      </c>
      <c r="AG1974" t="s">
        <v>142</v>
      </c>
      <c r="AH1974" t="b">
        <v>0</v>
      </c>
    </row>
    <row r="1975" spans="1:34">
      <c r="A1975" t="s">
        <v>1977</v>
      </c>
      <c r="M1975" t="s">
        <v>198</v>
      </c>
      <c r="AF1975" t="s">
        <v>1977</v>
      </c>
      <c r="AG1975" t="s">
        <v>142</v>
      </c>
      <c r="AH1975" t="b">
        <v>0</v>
      </c>
    </row>
    <row r="1976" spans="1:34">
      <c r="A1976" t="s">
        <v>1978</v>
      </c>
      <c r="R1976" t="s">
        <v>226</v>
      </c>
      <c r="T1976" t="s">
        <v>231</v>
      </c>
      <c r="V1976" t="s">
        <v>225</v>
      </c>
      <c r="W1976" t="s">
        <v>228</v>
      </c>
      <c r="X1976" t="s">
        <v>229</v>
      </c>
      <c r="Y1976" t="s">
        <v>230</v>
      </c>
      <c r="Z1976" t="s">
        <v>1979</v>
      </c>
      <c r="AF1976" t="s">
        <v>1978</v>
      </c>
      <c r="AG1976" t="s">
        <v>142</v>
      </c>
      <c r="AH1976" t="b">
        <v>0</v>
      </c>
    </row>
    <row r="1977" spans="1:34">
      <c r="A1977" t="s">
        <v>1978</v>
      </c>
      <c r="R1977" t="s">
        <v>234</v>
      </c>
      <c r="T1977" t="s">
        <v>236</v>
      </c>
      <c r="V1977" t="s">
        <v>225</v>
      </c>
      <c r="W1977" t="s">
        <v>235</v>
      </c>
      <c r="X1977" t="s">
        <v>229</v>
      </c>
      <c r="Y1977" t="s">
        <v>230</v>
      </c>
      <c r="Z1977" t="s">
        <v>1980</v>
      </c>
      <c r="AF1977" t="s">
        <v>1978</v>
      </c>
      <c r="AG1977" t="s">
        <v>142</v>
      </c>
      <c r="AH1977" t="b">
        <v>0</v>
      </c>
    </row>
    <row r="1978" spans="1:34">
      <c r="A1978" t="s">
        <v>1978</v>
      </c>
      <c r="R1978" t="s">
        <v>238</v>
      </c>
      <c r="T1978" t="s">
        <v>239</v>
      </c>
      <c r="V1978" t="s">
        <v>225</v>
      </c>
      <c r="W1978" t="s">
        <v>235</v>
      </c>
      <c r="X1978" t="s">
        <v>234</v>
      </c>
      <c r="Y1978" t="s">
        <v>230</v>
      </c>
      <c r="Z1978" t="s">
        <v>1981</v>
      </c>
      <c r="AF1978" t="s">
        <v>1978</v>
      </c>
      <c r="AG1978" t="s">
        <v>142</v>
      </c>
      <c r="AH1978" t="b">
        <v>0</v>
      </c>
    </row>
    <row r="1979" spans="1:34">
      <c r="A1979" t="s">
        <v>1978</v>
      </c>
      <c r="R1979" t="s">
        <v>241</v>
      </c>
      <c r="T1979" t="s">
        <v>242</v>
      </c>
      <c r="V1979" t="s">
        <v>225</v>
      </c>
      <c r="W1979" t="s">
        <v>235</v>
      </c>
      <c r="X1979" t="s">
        <v>234</v>
      </c>
      <c r="Y1979" t="s">
        <v>230</v>
      </c>
      <c r="Z1979" t="s">
        <v>1982</v>
      </c>
      <c r="AF1979" t="s">
        <v>1978</v>
      </c>
      <c r="AG1979" t="s">
        <v>142</v>
      </c>
      <c r="AH1979" t="b">
        <v>0</v>
      </c>
    </row>
    <row r="1980" spans="1:34">
      <c r="A1980" t="s">
        <v>1978</v>
      </c>
      <c r="R1980" t="s">
        <v>245</v>
      </c>
      <c r="T1980" t="s">
        <v>247</v>
      </c>
      <c r="V1980" t="s">
        <v>225</v>
      </c>
      <c r="W1980" t="s">
        <v>246</v>
      </c>
      <c r="X1980" t="s">
        <v>229</v>
      </c>
      <c r="Y1980" t="s">
        <v>230</v>
      </c>
      <c r="Z1980" t="s">
        <v>1983</v>
      </c>
      <c r="AF1980" t="s">
        <v>1978</v>
      </c>
      <c r="AG1980" t="s">
        <v>142</v>
      </c>
      <c r="AH1980" t="b">
        <v>0</v>
      </c>
    </row>
    <row r="1981" spans="1:34">
      <c r="A1981" t="s">
        <v>1978</v>
      </c>
      <c r="R1981" t="s">
        <v>249</v>
      </c>
      <c r="T1981" t="s">
        <v>251</v>
      </c>
      <c r="V1981" t="s">
        <v>225</v>
      </c>
      <c r="W1981" t="s">
        <v>250</v>
      </c>
      <c r="X1981" t="s">
        <v>229</v>
      </c>
      <c r="Y1981" t="s">
        <v>230</v>
      </c>
      <c r="Z1981" t="s">
        <v>1984</v>
      </c>
      <c r="AF1981" t="s">
        <v>1978</v>
      </c>
      <c r="AG1981" t="s">
        <v>142</v>
      </c>
      <c r="AH1981" t="b">
        <v>0</v>
      </c>
    </row>
    <row r="1982" spans="1:34">
      <c r="A1982" t="s">
        <v>1978</v>
      </c>
      <c r="R1982" t="s">
        <v>253</v>
      </c>
      <c r="T1982" t="s">
        <v>255</v>
      </c>
      <c r="V1982" t="s">
        <v>225</v>
      </c>
      <c r="W1982" t="s">
        <v>254</v>
      </c>
      <c r="X1982" t="s">
        <v>229</v>
      </c>
      <c r="Y1982" t="s">
        <v>230</v>
      </c>
      <c r="Z1982" t="s">
        <v>1985</v>
      </c>
      <c r="AF1982" t="s">
        <v>1978</v>
      </c>
      <c r="AG1982" t="s">
        <v>142</v>
      </c>
      <c r="AH1982" t="b">
        <v>0</v>
      </c>
    </row>
    <row r="1983" spans="1:34">
      <c r="A1983" t="s">
        <v>1978</v>
      </c>
      <c r="R1983" t="s">
        <v>257</v>
      </c>
      <c r="T1983" t="s">
        <v>259</v>
      </c>
      <c r="V1983" t="s">
        <v>225</v>
      </c>
      <c r="W1983" t="s">
        <v>258</v>
      </c>
      <c r="X1983" t="s">
        <v>229</v>
      </c>
      <c r="Y1983" t="s">
        <v>230</v>
      </c>
      <c r="Z1983" t="s">
        <v>1986</v>
      </c>
      <c r="AF1983" t="s">
        <v>1978</v>
      </c>
      <c r="AG1983" t="s">
        <v>142</v>
      </c>
      <c r="AH1983" t="b">
        <v>0</v>
      </c>
    </row>
    <row r="1984" spans="1:34">
      <c r="A1984" t="s">
        <v>1978</v>
      </c>
      <c r="R1984" t="s">
        <v>261</v>
      </c>
      <c r="T1984" t="s">
        <v>263</v>
      </c>
      <c r="V1984" t="s">
        <v>225</v>
      </c>
      <c r="W1984" t="s">
        <v>262</v>
      </c>
      <c r="X1984" t="s">
        <v>229</v>
      </c>
      <c r="Y1984" t="s">
        <v>230</v>
      </c>
      <c r="Z1984" t="s">
        <v>1987</v>
      </c>
      <c r="AF1984" t="s">
        <v>1978</v>
      </c>
      <c r="AG1984" t="s">
        <v>142</v>
      </c>
      <c r="AH1984" t="b">
        <v>0</v>
      </c>
    </row>
    <row r="1985" spans="1:34">
      <c r="A1985" t="s">
        <v>1978</v>
      </c>
      <c r="R1985" t="s">
        <v>265</v>
      </c>
      <c r="T1985" t="s">
        <v>268</v>
      </c>
      <c r="V1985" t="s">
        <v>225</v>
      </c>
      <c r="W1985" t="s">
        <v>266</v>
      </c>
      <c r="X1985" t="s">
        <v>267</v>
      </c>
      <c r="Y1985" t="s">
        <v>230</v>
      </c>
      <c r="Z1985" t="s">
        <v>1988</v>
      </c>
      <c r="AF1985" t="s">
        <v>1978</v>
      </c>
      <c r="AG1985" t="s">
        <v>142</v>
      </c>
      <c r="AH1985" t="b">
        <v>0</v>
      </c>
    </row>
    <row r="1986" spans="1:34">
      <c r="A1986" t="s">
        <v>1978</v>
      </c>
      <c r="R1986" t="s">
        <v>270</v>
      </c>
      <c r="T1986" t="s">
        <v>273</v>
      </c>
      <c r="V1986" t="s">
        <v>225</v>
      </c>
      <c r="W1986" t="s">
        <v>271</v>
      </c>
      <c r="X1986" t="s">
        <v>272</v>
      </c>
      <c r="Y1986" t="s">
        <v>230</v>
      </c>
      <c r="Z1986" t="s">
        <v>1989</v>
      </c>
      <c r="AF1986" t="s">
        <v>1978</v>
      </c>
      <c r="AG1986" t="s">
        <v>142</v>
      </c>
      <c r="AH1986" t="b">
        <v>0</v>
      </c>
    </row>
    <row r="1987" spans="1:34">
      <c r="A1987" t="s">
        <v>1978</v>
      </c>
      <c r="R1987" t="s">
        <v>275</v>
      </c>
      <c r="T1987" t="s">
        <v>247</v>
      </c>
      <c r="V1987" t="s">
        <v>225</v>
      </c>
      <c r="W1987" t="s">
        <v>276</v>
      </c>
      <c r="X1987" t="s">
        <v>272</v>
      </c>
      <c r="Y1987" t="s">
        <v>230</v>
      </c>
      <c r="Z1987" t="s">
        <v>1990</v>
      </c>
      <c r="AF1987" t="s">
        <v>1978</v>
      </c>
      <c r="AG1987" t="s">
        <v>142</v>
      </c>
      <c r="AH1987" t="b">
        <v>0</v>
      </c>
    </row>
    <row r="1988" spans="1:34">
      <c r="A1988" t="s">
        <v>1978</v>
      </c>
      <c r="R1988" t="s">
        <v>278</v>
      </c>
      <c r="T1988" t="s">
        <v>280</v>
      </c>
      <c r="V1988" t="s">
        <v>225</v>
      </c>
      <c r="W1988" t="s">
        <v>279</v>
      </c>
      <c r="X1988" t="s">
        <v>272</v>
      </c>
      <c r="Y1988" t="s">
        <v>230</v>
      </c>
      <c r="Z1988" t="s">
        <v>1991</v>
      </c>
      <c r="AF1988" t="s">
        <v>1978</v>
      </c>
      <c r="AG1988" t="s">
        <v>142</v>
      </c>
      <c r="AH1988" t="b">
        <v>0</v>
      </c>
    </row>
    <row r="1989" spans="1:34">
      <c r="A1989" t="s">
        <v>1978</v>
      </c>
      <c r="R1989" t="s">
        <v>282</v>
      </c>
      <c r="T1989" t="s">
        <v>284</v>
      </c>
      <c r="V1989" t="s">
        <v>225</v>
      </c>
      <c r="W1989" t="s">
        <v>283</v>
      </c>
      <c r="X1989" t="s">
        <v>272</v>
      </c>
      <c r="Y1989" t="s">
        <v>230</v>
      </c>
      <c r="Z1989" t="s">
        <v>1992</v>
      </c>
      <c r="AF1989" t="s">
        <v>1978</v>
      </c>
      <c r="AG1989" t="s">
        <v>142</v>
      </c>
      <c r="AH1989" t="b">
        <v>0</v>
      </c>
    </row>
    <row r="1990" spans="1:34">
      <c r="A1990" t="s">
        <v>1978</v>
      </c>
      <c r="R1990" t="s">
        <v>286</v>
      </c>
      <c r="T1990" t="s">
        <v>288</v>
      </c>
      <c r="V1990" t="s">
        <v>225</v>
      </c>
      <c r="W1990" t="s">
        <v>287</v>
      </c>
      <c r="X1990" t="s">
        <v>272</v>
      </c>
      <c r="Y1990" t="s">
        <v>230</v>
      </c>
      <c r="Z1990" t="s">
        <v>1993</v>
      </c>
      <c r="AF1990" t="s">
        <v>1978</v>
      </c>
      <c r="AG1990" t="s">
        <v>142</v>
      </c>
      <c r="AH1990" t="b">
        <v>0</v>
      </c>
    </row>
    <row r="1991" spans="1:34">
      <c r="A1991" t="s">
        <v>1978</v>
      </c>
      <c r="R1991" t="s">
        <v>290</v>
      </c>
      <c r="T1991" t="s">
        <v>292</v>
      </c>
      <c r="V1991" t="s">
        <v>225</v>
      </c>
      <c r="W1991" t="s">
        <v>291</v>
      </c>
      <c r="X1991" t="s">
        <v>272</v>
      </c>
      <c r="Y1991" t="s">
        <v>230</v>
      </c>
      <c r="Z1991" t="s">
        <v>1994</v>
      </c>
      <c r="AF1991" t="s">
        <v>1978</v>
      </c>
      <c r="AG1991" t="s">
        <v>142</v>
      </c>
      <c r="AH1991" t="b">
        <v>0</v>
      </c>
    </row>
    <row r="1992" spans="1:34">
      <c r="A1992" t="s">
        <v>1978</v>
      </c>
      <c r="R1992" t="s">
        <v>294</v>
      </c>
      <c r="T1992" t="s">
        <v>296</v>
      </c>
      <c r="V1992" t="s">
        <v>225</v>
      </c>
      <c r="W1992" t="s">
        <v>295</v>
      </c>
      <c r="X1992" t="s">
        <v>272</v>
      </c>
      <c r="Y1992" t="s">
        <v>230</v>
      </c>
      <c r="Z1992" t="s">
        <v>1995</v>
      </c>
      <c r="AF1992" t="s">
        <v>1978</v>
      </c>
      <c r="AG1992" t="s">
        <v>142</v>
      </c>
      <c r="AH1992" t="b">
        <v>0</v>
      </c>
    </row>
    <row r="1993" spans="1:34">
      <c r="A1993" t="s">
        <v>1978</v>
      </c>
      <c r="R1993" t="s">
        <v>298</v>
      </c>
      <c r="T1993" t="s">
        <v>300</v>
      </c>
      <c r="V1993" t="s">
        <v>225</v>
      </c>
      <c r="W1993" t="s">
        <v>299</v>
      </c>
      <c r="X1993" t="s">
        <v>272</v>
      </c>
      <c r="Y1993" t="s">
        <v>230</v>
      </c>
      <c r="Z1993" t="s">
        <v>1996</v>
      </c>
      <c r="AF1993" t="s">
        <v>1978</v>
      </c>
      <c r="AG1993" t="s">
        <v>142</v>
      </c>
      <c r="AH1993" t="b">
        <v>0</v>
      </c>
    </row>
    <row r="1994" spans="1:34">
      <c r="A1994" t="s">
        <v>1978</v>
      </c>
      <c r="R1994" t="s">
        <v>302</v>
      </c>
      <c r="T1994" t="s">
        <v>305</v>
      </c>
      <c r="V1994" t="s">
        <v>225</v>
      </c>
      <c r="W1994" t="s">
        <v>303</v>
      </c>
      <c r="X1994" t="s">
        <v>304</v>
      </c>
      <c r="Y1994" t="s">
        <v>230</v>
      </c>
      <c r="Z1994" t="s">
        <v>1997</v>
      </c>
      <c r="AF1994" t="s">
        <v>1978</v>
      </c>
      <c r="AG1994" t="s">
        <v>142</v>
      </c>
      <c r="AH1994" t="b">
        <v>0</v>
      </c>
    </row>
    <row r="1995" spans="1:34">
      <c r="A1995" t="s">
        <v>1978</v>
      </c>
      <c r="R1995" t="s">
        <v>307</v>
      </c>
      <c r="T1995" t="s">
        <v>309</v>
      </c>
      <c r="V1995" t="s">
        <v>225</v>
      </c>
      <c r="W1995" t="s">
        <v>308</v>
      </c>
      <c r="X1995" t="s">
        <v>304</v>
      </c>
      <c r="Y1995" t="s">
        <v>230</v>
      </c>
      <c r="Z1995" t="s">
        <v>1998</v>
      </c>
      <c r="AF1995" t="s">
        <v>1978</v>
      </c>
      <c r="AG1995" t="s">
        <v>142</v>
      </c>
      <c r="AH1995" t="b">
        <v>0</v>
      </c>
    </row>
    <row r="1996" spans="1:34">
      <c r="A1996" t="s">
        <v>1978</v>
      </c>
      <c r="R1996" t="s">
        <v>311</v>
      </c>
      <c r="T1996" t="s">
        <v>313</v>
      </c>
      <c r="V1996" t="s">
        <v>225</v>
      </c>
      <c r="W1996" t="s">
        <v>312</v>
      </c>
      <c r="X1996" t="s">
        <v>304</v>
      </c>
      <c r="Y1996" t="s">
        <v>230</v>
      </c>
      <c r="Z1996" t="s">
        <v>1999</v>
      </c>
      <c r="AF1996" t="s">
        <v>1978</v>
      </c>
      <c r="AG1996" t="s">
        <v>142</v>
      </c>
      <c r="AH1996" t="b">
        <v>0</v>
      </c>
    </row>
    <row r="1997" spans="1:34">
      <c r="A1997" t="s">
        <v>1978</v>
      </c>
      <c r="R1997" t="s">
        <v>315</v>
      </c>
      <c r="T1997" t="s">
        <v>317</v>
      </c>
      <c r="V1997" t="s">
        <v>225</v>
      </c>
      <c r="W1997" t="s">
        <v>316</v>
      </c>
      <c r="X1997" t="s">
        <v>311</v>
      </c>
      <c r="Y1997" t="s">
        <v>230</v>
      </c>
      <c r="Z1997" t="s">
        <v>2000</v>
      </c>
      <c r="AF1997" t="s">
        <v>1978</v>
      </c>
      <c r="AG1997" t="s">
        <v>142</v>
      </c>
      <c r="AH1997" t="b">
        <v>0</v>
      </c>
    </row>
    <row r="1998" spans="1:34">
      <c r="A1998" t="s">
        <v>1978</v>
      </c>
      <c r="R1998" t="s">
        <v>319</v>
      </c>
      <c r="T1998" t="s">
        <v>321</v>
      </c>
      <c r="V1998" t="s">
        <v>225</v>
      </c>
      <c r="W1998" t="s">
        <v>320</v>
      </c>
      <c r="X1998" t="s">
        <v>311</v>
      </c>
      <c r="Y1998" t="s">
        <v>230</v>
      </c>
      <c r="Z1998" t="s">
        <v>2001</v>
      </c>
      <c r="AF1998" t="s">
        <v>1978</v>
      </c>
      <c r="AG1998" t="s">
        <v>142</v>
      </c>
      <c r="AH1998" t="b">
        <v>0</v>
      </c>
    </row>
    <row r="1999" spans="1:34">
      <c r="A1999" t="s">
        <v>1978</v>
      </c>
      <c r="R1999" t="s">
        <v>323</v>
      </c>
      <c r="T1999" t="s">
        <v>325</v>
      </c>
      <c r="V1999" t="s">
        <v>225</v>
      </c>
      <c r="W1999" t="s">
        <v>324</v>
      </c>
      <c r="X1999" t="s">
        <v>304</v>
      </c>
      <c r="Y1999" t="s">
        <v>230</v>
      </c>
      <c r="Z1999" t="s">
        <v>2002</v>
      </c>
      <c r="AF1999" t="s">
        <v>1978</v>
      </c>
      <c r="AG1999" t="s">
        <v>142</v>
      </c>
      <c r="AH1999" t="b">
        <v>0</v>
      </c>
    </row>
    <row r="2000" spans="1:34">
      <c r="A2000" t="s">
        <v>1978</v>
      </c>
      <c r="R2000" t="s">
        <v>327</v>
      </c>
      <c r="T2000" t="s">
        <v>329</v>
      </c>
      <c r="V2000" t="s">
        <v>225</v>
      </c>
      <c r="W2000" t="s">
        <v>328</v>
      </c>
      <c r="X2000" t="s">
        <v>304</v>
      </c>
      <c r="Y2000" t="s">
        <v>230</v>
      </c>
      <c r="Z2000" t="s">
        <v>2003</v>
      </c>
      <c r="AF2000" t="s">
        <v>1978</v>
      </c>
      <c r="AG2000" t="s">
        <v>142</v>
      </c>
      <c r="AH2000" t="b">
        <v>0</v>
      </c>
    </row>
    <row r="2001" spans="1:34">
      <c r="A2001" t="s">
        <v>1978</v>
      </c>
      <c r="R2001" t="s">
        <v>331</v>
      </c>
      <c r="T2001" t="s">
        <v>280</v>
      </c>
      <c r="V2001" t="s">
        <v>225</v>
      </c>
      <c r="W2001" t="s">
        <v>332</v>
      </c>
      <c r="X2001" t="s">
        <v>304</v>
      </c>
      <c r="Y2001" t="s">
        <v>230</v>
      </c>
      <c r="Z2001" t="s">
        <v>2004</v>
      </c>
      <c r="AF2001" t="s">
        <v>1978</v>
      </c>
      <c r="AG2001" t="s">
        <v>142</v>
      </c>
      <c r="AH2001" t="b">
        <v>0</v>
      </c>
    </row>
    <row r="2002" spans="1:34">
      <c r="A2002" t="s">
        <v>1978</v>
      </c>
      <c r="R2002" t="s">
        <v>334</v>
      </c>
      <c r="T2002" t="s">
        <v>336</v>
      </c>
      <c r="V2002" t="s">
        <v>225</v>
      </c>
      <c r="W2002" t="s">
        <v>335</v>
      </c>
      <c r="X2002" t="s">
        <v>304</v>
      </c>
      <c r="Y2002" t="s">
        <v>230</v>
      </c>
      <c r="Z2002" t="s">
        <v>2005</v>
      </c>
      <c r="AF2002" t="s">
        <v>1978</v>
      </c>
      <c r="AG2002" t="s">
        <v>142</v>
      </c>
      <c r="AH2002" t="b">
        <v>0</v>
      </c>
    </row>
    <row r="2003" spans="1:34">
      <c r="A2003" t="s">
        <v>1978</v>
      </c>
      <c r="R2003" t="s">
        <v>338</v>
      </c>
      <c r="T2003" t="s">
        <v>340</v>
      </c>
      <c r="V2003" t="s">
        <v>225</v>
      </c>
      <c r="W2003" t="s">
        <v>339</v>
      </c>
      <c r="X2003" t="s">
        <v>304</v>
      </c>
      <c r="Y2003" t="s">
        <v>230</v>
      </c>
      <c r="Z2003" t="s">
        <v>2006</v>
      </c>
      <c r="AF2003" t="s">
        <v>1978</v>
      </c>
      <c r="AG2003" t="s">
        <v>142</v>
      </c>
      <c r="AH2003" t="b">
        <v>0</v>
      </c>
    </row>
    <row r="2004" spans="1:34">
      <c r="A2004" t="s">
        <v>1978</v>
      </c>
      <c r="R2004" t="s">
        <v>342</v>
      </c>
      <c r="T2004" t="s">
        <v>344</v>
      </c>
      <c r="V2004" t="s">
        <v>225</v>
      </c>
      <c r="W2004" t="s">
        <v>343</v>
      </c>
      <c r="X2004" t="s">
        <v>304</v>
      </c>
      <c r="Y2004" t="s">
        <v>230</v>
      </c>
      <c r="Z2004" t="s">
        <v>2007</v>
      </c>
      <c r="AF2004" t="s">
        <v>1978</v>
      </c>
      <c r="AG2004" t="s">
        <v>142</v>
      </c>
      <c r="AH2004" t="b">
        <v>0</v>
      </c>
    </row>
    <row r="2005" spans="1:34">
      <c r="A2005" t="s">
        <v>1978</v>
      </c>
      <c r="R2005" t="s">
        <v>346</v>
      </c>
      <c r="T2005" t="s">
        <v>231</v>
      </c>
      <c r="V2005" t="s">
        <v>225</v>
      </c>
      <c r="W2005" t="s">
        <v>347</v>
      </c>
      <c r="X2005" t="s">
        <v>342</v>
      </c>
      <c r="Y2005" t="s">
        <v>230</v>
      </c>
      <c r="Z2005" t="s">
        <v>2008</v>
      </c>
      <c r="AF2005" t="s">
        <v>1978</v>
      </c>
      <c r="AG2005" t="s">
        <v>142</v>
      </c>
      <c r="AH2005" t="b">
        <v>0</v>
      </c>
    </row>
    <row r="2006" spans="1:34">
      <c r="A2006" t="s">
        <v>1978</v>
      </c>
      <c r="R2006" t="s">
        <v>349</v>
      </c>
      <c r="T2006" t="s">
        <v>236</v>
      </c>
      <c r="V2006" t="s">
        <v>225</v>
      </c>
      <c r="W2006" t="s">
        <v>350</v>
      </c>
      <c r="X2006" t="s">
        <v>342</v>
      </c>
      <c r="Y2006" t="s">
        <v>230</v>
      </c>
      <c r="Z2006" t="s">
        <v>2009</v>
      </c>
      <c r="AF2006" t="s">
        <v>1978</v>
      </c>
      <c r="AG2006" t="s">
        <v>142</v>
      </c>
      <c r="AH2006" t="b">
        <v>0</v>
      </c>
    </row>
    <row r="2007" spans="1:34">
      <c r="A2007" t="s">
        <v>1978</v>
      </c>
      <c r="R2007" t="s">
        <v>352</v>
      </c>
      <c r="T2007" t="s">
        <v>242</v>
      </c>
      <c r="V2007" t="s">
        <v>225</v>
      </c>
      <c r="W2007" t="s">
        <v>353</v>
      </c>
      <c r="X2007" t="s">
        <v>342</v>
      </c>
      <c r="Y2007" t="s">
        <v>230</v>
      </c>
      <c r="Z2007" t="s">
        <v>2010</v>
      </c>
      <c r="AF2007" t="s">
        <v>1978</v>
      </c>
      <c r="AG2007" t="s">
        <v>142</v>
      </c>
      <c r="AH2007" t="b">
        <v>0</v>
      </c>
    </row>
    <row r="2008" spans="1:34">
      <c r="A2008" t="s">
        <v>1978</v>
      </c>
      <c r="R2008" t="s">
        <v>355</v>
      </c>
      <c r="T2008" t="s">
        <v>247</v>
      </c>
      <c r="V2008" t="s">
        <v>225</v>
      </c>
      <c r="W2008" t="s">
        <v>356</v>
      </c>
      <c r="X2008" t="s">
        <v>342</v>
      </c>
      <c r="Y2008" t="s">
        <v>230</v>
      </c>
      <c r="Z2008" t="s">
        <v>2011</v>
      </c>
      <c r="AF2008" t="s">
        <v>1978</v>
      </c>
      <c r="AG2008" t="s">
        <v>142</v>
      </c>
      <c r="AH2008" t="b">
        <v>0</v>
      </c>
    </row>
    <row r="2009" spans="1:34">
      <c r="A2009" t="s">
        <v>1978</v>
      </c>
      <c r="R2009" t="s">
        <v>358</v>
      </c>
      <c r="T2009" t="s">
        <v>360</v>
      </c>
      <c r="V2009" t="s">
        <v>225</v>
      </c>
      <c r="W2009" t="s">
        <v>359</v>
      </c>
      <c r="X2009" t="s">
        <v>342</v>
      </c>
      <c r="Y2009" t="s">
        <v>230</v>
      </c>
      <c r="Z2009" t="s">
        <v>2012</v>
      </c>
      <c r="AF2009" t="s">
        <v>1978</v>
      </c>
      <c r="AG2009" t="s">
        <v>142</v>
      </c>
      <c r="AH2009" t="b">
        <v>0</v>
      </c>
    </row>
    <row r="2010" spans="1:34">
      <c r="A2010" t="s">
        <v>1978</v>
      </c>
      <c r="R2010" t="s">
        <v>362</v>
      </c>
      <c r="T2010" t="s">
        <v>255</v>
      </c>
      <c r="V2010" t="s">
        <v>225</v>
      </c>
      <c r="W2010" t="s">
        <v>363</v>
      </c>
      <c r="X2010" t="s">
        <v>342</v>
      </c>
      <c r="Y2010" t="s">
        <v>230</v>
      </c>
      <c r="Z2010" t="s">
        <v>2013</v>
      </c>
      <c r="AF2010" t="s">
        <v>1978</v>
      </c>
      <c r="AG2010" t="s">
        <v>142</v>
      </c>
      <c r="AH2010" t="b">
        <v>0</v>
      </c>
    </row>
    <row r="2011" spans="1:34">
      <c r="A2011" t="s">
        <v>1978</v>
      </c>
      <c r="R2011" t="s">
        <v>365</v>
      </c>
      <c r="T2011" t="s">
        <v>259</v>
      </c>
      <c r="V2011" t="s">
        <v>225</v>
      </c>
      <c r="W2011" t="s">
        <v>366</v>
      </c>
      <c r="X2011" t="s">
        <v>342</v>
      </c>
      <c r="Y2011" t="s">
        <v>230</v>
      </c>
      <c r="Z2011" t="s">
        <v>2014</v>
      </c>
      <c r="AF2011" t="s">
        <v>1978</v>
      </c>
      <c r="AG2011" t="s">
        <v>142</v>
      </c>
      <c r="AH2011" t="b">
        <v>0</v>
      </c>
    </row>
    <row r="2012" spans="1:34">
      <c r="A2012" t="s">
        <v>1978</v>
      </c>
      <c r="R2012" t="s">
        <v>368</v>
      </c>
      <c r="T2012" t="s">
        <v>263</v>
      </c>
      <c r="V2012" t="s">
        <v>225</v>
      </c>
      <c r="W2012" t="s">
        <v>369</v>
      </c>
      <c r="X2012" t="s">
        <v>342</v>
      </c>
      <c r="Y2012" t="s">
        <v>230</v>
      </c>
      <c r="Z2012" t="s">
        <v>2015</v>
      </c>
      <c r="AF2012" t="s">
        <v>1978</v>
      </c>
      <c r="AG2012" t="s">
        <v>142</v>
      </c>
      <c r="AH2012" t="b">
        <v>0</v>
      </c>
    </row>
    <row r="2013" spans="1:34">
      <c r="A2013" t="s">
        <v>1978</v>
      </c>
      <c r="R2013" t="s">
        <v>371</v>
      </c>
      <c r="T2013" t="s">
        <v>373</v>
      </c>
      <c r="V2013" t="s">
        <v>225</v>
      </c>
      <c r="W2013" t="s">
        <v>372</v>
      </c>
      <c r="X2013" t="s">
        <v>342</v>
      </c>
      <c r="Y2013" t="s">
        <v>230</v>
      </c>
      <c r="Z2013" t="s">
        <v>2016</v>
      </c>
      <c r="AF2013" t="s">
        <v>1978</v>
      </c>
      <c r="AG2013" t="s">
        <v>142</v>
      </c>
      <c r="AH2013" t="b">
        <v>0</v>
      </c>
    </row>
    <row r="2014" spans="1:34">
      <c r="A2014" t="s">
        <v>1978</v>
      </c>
      <c r="R2014" t="s">
        <v>375</v>
      </c>
      <c r="T2014" t="s">
        <v>377</v>
      </c>
      <c r="V2014" t="s">
        <v>225</v>
      </c>
      <c r="W2014" t="s">
        <v>376</v>
      </c>
      <c r="X2014" t="s">
        <v>304</v>
      </c>
      <c r="Y2014" t="s">
        <v>230</v>
      </c>
      <c r="Z2014" t="s">
        <v>2017</v>
      </c>
      <c r="AF2014" t="s">
        <v>1978</v>
      </c>
      <c r="AG2014" t="s">
        <v>142</v>
      </c>
      <c r="AH2014" t="b">
        <v>0</v>
      </c>
    </row>
    <row r="2015" spans="1:34">
      <c r="A2015" t="s">
        <v>1978</v>
      </c>
      <c r="R2015" t="s">
        <v>379</v>
      </c>
      <c r="T2015" t="s">
        <v>381</v>
      </c>
      <c r="V2015" t="s">
        <v>225</v>
      </c>
      <c r="W2015" t="s">
        <v>380</v>
      </c>
      <c r="X2015" t="s">
        <v>304</v>
      </c>
      <c r="Y2015" t="s">
        <v>230</v>
      </c>
      <c r="Z2015" t="s">
        <v>2018</v>
      </c>
      <c r="AF2015" t="s">
        <v>1978</v>
      </c>
      <c r="AG2015" t="s">
        <v>142</v>
      </c>
      <c r="AH2015" t="b">
        <v>0</v>
      </c>
    </row>
    <row r="2016" spans="1:34">
      <c r="A2016" t="s">
        <v>1978</v>
      </c>
      <c r="R2016" t="s">
        <v>383</v>
      </c>
      <c r="T2016" t="s">
        <v>385</v>
      </c>
      <c r="V2016" t="s">
        <v>225</v>
      </c>
      <c r="W2016" t="s">
        <v>384</v>
      </c>
      <c r="X2016" t="s">
        <v>304</v>
      </c>
      <c r="Y2016" t="s">
        <v>230</v>
      </c>
      <c r="Z2016" t="s">
        <v>2019</v>
      </c>
      <c r="AF2016" t="s">
        <v>1978</v>
      </c>
      <c r="AG2016" t="s">
        <v>142</v>
      </c>
      <c r="AH2016" t="b">
        <v>0</v>
      </c>
    </row>
    <row r="2017" spans="1:34">
      <c r="A2017" t="s">
        <v>1978</v>
      </c>
      <c r="R2017" t="s">
        <v>387</v>
      </c>
      <c r="T2017" t="s">
        <v>373</v>
      </c>
      <c r="V2017" t="s">
        <v>225</v>
      </c>
      <c r="W2017" t="s">
        <v>388</v>
      </c>
      <c r="X2017" t="s">
        <v>304</v>
      </c>
      <c r="Y2017" t="s">
        <v>230</v>
      </c>
      <c r="Z2017" t="s">
        <v>2020</v>
      </c>
      <c r="AF2017" t="s">
        <v>1978</v>
      </c>
      <c r="AG2017" t="s">
        <v>142</v>
      </c>
      <c r="AH2017" t="b">
        <v>0</v>
      </c>
    </row>
    <row r="2018" spans="1:34">
      <c r="A2018" t="s">
        <v>1978</v>
      </c>
      <c r="R2018" t="s">
        <v>390</v>
      </c>
      <c r="T2018" t="s">
        <v>394</v>
      </c>
      <c r="V2018" t="s">
        <v>225</v>
      </c>
      <c r="W2018" t="s">
        <v>392</v>
      </c>
      <c r="X2018" t="s">
        <v>227</v>
      </c>
      <c r="Y2018" t="s">
        <v>230</v>
      </c>
      <c r="Z2018" t="s">
        <v>1875</v>
      </c>
      <c r="AF2018" t="s">
        <v>1978</v>
      </c>
      <c r="AG2018" t="s">
        <v>142</v>
      </c>
      <c r="AH2018" t="b">
        <v>0</v>
      </c>
    </row>
    <row r="2019" spans="1:34">
      <c r="A2019" t="s">
        <v>1978</v>
      </c>
      <c r="R2019" t="s">
        <v>396</v>
      </c>
      <c r="T2019" t="s">
        <v>227</v>
      </c>
      <c r="V2019" t="s">
        <v>225</v>
      </c>
      <c r="W2019" t="s">
        <v>398</v>
      </c>
      <c r="X2019" t="s">
        <v>227</v>
      </c>
      <c r="Y2019" t="s">
        <v>230</v>
      </c>
      <c r="Z2019" t="s">
        <v>1876</v>
      </c>
      <c r="AF2019" t="s">
        <v>1978</v>
      </c>
      <c r="AG2019" t="s">
        <v>142</v>
      </c>
      <c r="AH2019" t="b">
        <v>0</v>
      </c>
    </row>
    <row r="2020" spans="1:34">
      <c r="A2020" t="s">
        <v>1978</v>
      </c>
      <c r="R2020" t="s">
        <v>400</v>
      </c>
      <c r="T2020" t="s">
        <v>403</v>
      </c>
      <c r="V2020" t="s">
        <v>225</v>
      </c>
      <c r="W2020" t="s">
        <v>402</v>
      </c>
      <c r="X2020" t="s">
        <v>227</v>
      </c>
      <c r="Y2020" t="s">
        <v>230</v>
      </c>
      <c r="Z2020" t="s">
        <v>1877</v>
      </c>
      <c r="AF2020" t="s">
        <v>1978</v>
      </c>
      <c r="AG2020" t="s">
        <v>142</v>
      </c>
      <c r="AH2020" t="b">
        <v>0</v>
      </c>
    </row>
    <row r="2021" spans="1:34">
      <c r="A2021" t="s">
        <v>1978</v>
      </c>
      <c r="R2021" t="s">
        <v>405</v>
      </c>
      <c r="T2021" t="s">
        <v>407</v>
      </c>
      <c r="V2021" t="s">
        <v>225</v>
      </c>
      <c r="W2021" t="s">
        <v>406</v>
      </c>
      <c r="X2021" t="s">
        <v>307</v>
      </c>
      <c r="Y2021" t="s">
        <v>230</v>
      </c>
      <c r="Z2021" t="s">
        <v>2021</v>
      </c>
      <c r="AF2021" t="s">
        <v>1978</v>
      </c>
      <c r="AG2021" t="s">
        <v>142</v>
      </c>
      <c r="AH2021" t="b">
        <v>0</v>
      </c>
    </row>
    <row r="2022" spans="1:34">
      <c r="A2022" t="s">
        <v>1978</v>
      </c>
      <c r="R2022" t="s">
        <v>409</v>
      </c>
      <c r="T2022" t="s">
        <v>412</v>
      </c>
      <c r="V2022" t="s">
        <v>225</v>
      </c>
      <c r="W2022" t="s">
        <v>410</v>
      </c>
      <c r="X2022" t="s">
        <v>411</v>
      </c>
      <c r="Y2022" t="s">
        <v>230</v>
      </c>
      <c r="Z2022" t="s">
        <v>2022</v>
      </c>
      <c r="AF2022" t="s">
        <v>1978</v>
      </c>
      <c r="AG2022" t="s">
        <v>142</v>
      </c>
      <c r="AH2022" t="b">
        <v>0</v>
      </c>
    </row>
    <row r="2023" spans="1:34">
      <c r="A2023" t="s">
        <v>1978</v>
      </c>
      <c r="R2023" t="s">
        <v>414</v>
      </c>
      <c r="T2023" t="s">
        <v>417</v>
      </c>
      <c r="V2023" t="s">
        <v>225</v>
      </c>
      <c r="W2023" t="s">
        <v>415</v>
      </c>
      <c r="X2023" t="s">
        <v>416</v>
      </c>
      <c r="Y2023" t="s">
        <v>230</v>
      </c>
      <c r="Z2023" t="s">
        <v>2023</v>
      </c>
      <c r="AF2023" t="s">
        <v>1978</v>
      </c>
      <c r="AG2023" t="s">
        <v>142</v>
      </c>
      <c r="AH2023" t="b">
        <v>0</v>
      </c>
    </row>
    <row r="2024" spans="1:34">
      <c r="A2024" t="s">
        <v>1978</v>
      </c>
      <c r="R2024" t="s">
        <v>419</v>
      </c>
      <c r="T2024" t="s">
        <v>422</v>
      </c>
      <c r="V2024" t="s">
        <v>225</v>
      </c>
      <c r="W2024" t="s">
        <v>420</v>
      </c>
      <c r="X2024" t="s">
        <v>421</v>
      </c>
      <c r="Y2024" t="s">
        <v>230</v>
      </c>
      <c r="Z2024" t="s">
        <v>2024</v>
      </c>
      <c r="AF2024" t="s">
        <v>1978</v>
      </c>
      <c r="AG2024" t="s">
        <v>142</v>
      </c>
      <c r="AH2024" t="b">
        <v>0</v>
      </c>
    </row>
    <row r="2025" spans="1:34">
      <c r="A2025" t="s">
        <v>1978</v>
      </c>
      <c r="R2025" t="s">
        <v>424</v>
      </c>
      <c r="T2025" t="s">
        <v>427</v>
      </c>
      <c r="V2025" t="s">
        <v>225</v>
      </c>
      <c r="W2025" t="s">
        <v>426</v>
      </c>
      <c r="X2025" t="s">
        <v>227</v>
      </c>
      <c r="Y2025" t="s">
        <v>230</v>
      </c>
      <c r="Z2025" t="s">
        <v>1878</v>
      </c>
      <c r="AF2025" t="s">
        <v>1978</v>
      </c>
      <c r="AG2025" t="s">
        <v>142</v>
      </c>
      <c r="AH2025" t="b">
        <v>0</v>
      </c>
    </row>
    <row r="2026" spans="1:34">
      <c r="A2026" t="s">
        <v>1978</v>
      </c>
      <c r="R2026" t="s">
        <v>429</v>
      </c>
      <c r="T2026" t="s">
        <v>430</v>
      </c>
      <c r="V2026" t="s">
        <v>225</v>
      </c>
      <c r="W2026" t="s">
        <v>235</v>
      </c>
      <c r="X2026" t="s">
        <v>234</v>
      </c>
      <c r="Y2026" t="s">
        <v>230</v>
      </c>
      <c r="Z2026" t="s">
        <v>2025</v>
      </c>
      <c r="AF2026" t="s">
        <v>1978</v>
      </c>
      <c r="AG2026" t="s">
        <v>142</v>
      </c>
      <c r="AH2026" t="b">
        <v>0</v>
      </c>
    </row>
    <row r="2027" spans="1:34">
      <c r="A2027" t="s">
        <v>1978</v>
      </c>
      <c r="R2027" t="s">
        <v>432</v>
      </c>
      <c r="T2027" t="s">
        <v>433</v>
      </c>
      <c r="V2027" t="s">
        <v>225</v>
      </c>
      <c r="W2027" t="s">
        <v>235</v>
      </c>
      <c r="X2027" t="s">
        <v>234</v>
      </c>
      <c r="Y2027" t="s">
        <v>230</v>
      </c>
      <c r="Z2027" t="s">
        <v>2026</v>
      </c>
      <c r="AF2027" t="s">
        <v>1978</v>
      </c>
      <c r="AG2027" t="s">
        <v>142</v>
      </c>
      <c r="AH2027" t="b">
        <v>0</v>
      </c>
    </row>
    <row r="2028" spans="1:34">
      <c r="A2028" t="s">
        <v>1978</v>
      </c>
      <c r="R2028" t="s">
        <v>435</v>
      </c>
      <c r="T2028" t="s">
        <v>436</v>
      </c>
      <c r="V2028" t="s">
        <v>225</v>
      </c>
      <c r="W2028" t="s">
        <v>235</v>
      </c>
      <c r="X2028" t="s">
        <v>234</v>
      </c>
      <c r="Y2028" t="s">
        <v>230</v>
      </c>
      <c r="Z2028" t="s">
        <v>2027</v>
      </c>
      <c r="AF2028" t="s">
        <v>1978</v>
      </c>
      <c r="AG2028" t="s">
        <v>142</v>
      </c>
      <c r="AH2028" t="b">
        <v>0</v>
      </c>
    </row>
    <row r="2029" spans="1:34">
      <c r="A2029" t="s">
        <v>1978</v>
      </c>
      <c r="R2029" t="s">
        <v>438</v>
      </c>
      <c r="T2029" t="s">
        <v>440</v>
      </c>
      <c r="V2029" t="s">
        <v>225</v>
      </c>
      <c r="W2029" t="s">
        <v>439</v>
      </c>
      <c r="X2029" t="s">
        <v>416</v>
      </c>
      <c r="Y2029" t="s">
        <v>230</v>
      </c>
      <c r="Z2029" t="s">
        <v>2028</v>
      </c>
      <c r="AF2029" t="s">
        <v>1978</v>
      </c>
      <c r="AG2029" t="s">
        <v>142</v>
      </c>
      <c r="AH2029" t="b">
        <v>0</v>
      </c>
    </row>
    <row r="2030" spans="1:34">
      <c r="A2030" t="s">
        <v>1978</v>
      </c>
      <c r="R2030" t="s">
        <v>442</v>
      </c>
      <c r="T2030" t="s">
        <v>373</v>
      </c>
      <c r="V2030" t="s">
        <v>225</v>
      </c>
      <c r="W2030" t="s">
        <v>443</v>
      </c>
      <c r="X2030" t="s">
        <v>229</v>
      </c>
      <c r="Y2030" t="s">
        <v>230</v>
      </c>
      <c r="Z2030" t="s">
        <v>2029</v>
      </c>
      <c r="AF2030" t="s">
        <v>1978</v>
      </c>
      <c r="AG2030" t="s">
        <v>142</v>
      </c>
      <c r="AH2030" t="b">
        <v>0</v>
      </c>
    </row>
    <row r="2031" spans="1:34">
      <c r="A2031" t="s">
        <v>1978</v>
      </c>
      <c r="R2031" t="s">
        <v>445</v>
      </c>
      <c r="T2031" t="s">
        <v>448</v>
      </c>
      <c r="V2031" t="s">
        <v>225</v>
      </c>
      <c r="W2031" t="s">
        <v>447</v>
      </c>
      <c r="X2031" t="s">
        <v>227</v>
      </c>
      <c r="Y2031" t="s">
        <v>230</v>
      </c>
      <c r="Z2031" t="s">
        <v>1879</v>
      </c>
      <c r="AF2031" t="s">
        <v>1978</v>
      </c>
      <c r="AG2031" t="s">
        <v>142</v>
      </c>
      <c r="AH2031" t="b">
        <v>0</v>
      </c>
    </row>
    <row r="2032" spans="1:34">
      <c r="A2032" t="s">
        <v>1978</v>
      </c>
      <c r="R2032" t="s">
        <v>450</v>
      </c>
      <c r="T2032" t="s">
        <v>451</v>
      </c>
      <c r="V2032" t="s">
        <v>225</v>
      </c>
      <c r="W2032" t="s">
        <v>235</v>
      </c>
      <c r="X2032" t="s">
        <v>234</v>
      </c>
      <c r="Y2032" t="s">
        <v>230</v>
      </c>
      <c r="Z2032" t="s">
        <v>2030</v>
      </c>
      <c r="AF2032" t="s">
        <v>1978</v>
      </c>
      <c r="AG2032" t="s">
        <v>142</v>
      </c>
      <c r="AH2032" t="b">
        <v>0</v>
      </c>
    </row>
    <row r="2033" spans="1:34">
      <c r="A2033" t="s">
        <v>1978</v>
      </c>
      <c r="R2033" t="s">
        <v>453</v>
      </c>
      <c r="T2033" t="s">
        <v>454</v>
      </c>
      <c r="V2033" t="s">
        <v>225</v>
      </c>
      <c r="W2033" t="s">
        <v>235</v>
      </c>
      <c r="X2033" t="s">
        <v>234</v>
      </c>
      <c r="Y2033" t="s">
        <v>230</v>
      </c>
      <c r="Z2033" t="s">
        <v>2031</v>
      </c>
      <c r="AF2033" t="s">
        <v>1978</v>
      </c>
      <c r="AG2033" t="s">
        <v>142</v>
      </c>
      <c r="AH2033" t="b">
        <v>0</v>
      </c>
    </row>
    <row r="2034" spans="1:34">
      <c r="A2034" t="s">
        <v>1978</v>
      </c>
      <c r="R2034" t="s">
        <v>456</v>
      </c>
      <c r="T2034" t="s">
        <v>459</v>
      </c>
      <c r="V2034" t="s">
        <v>225</v>
      </c>
      <c r="W2034" t="s">
        <v>458</v>
      </c>
      <c r="X2034" t="s">
        <v>227</v>
      </c>
      <c r="Y2034" t="s">
        <v>230</v>
      </c>
      <c r="Z2034" t="s">
        <v>1880</v>
      </c>
      <c r="AF2034" t="s">
        <v>1978</v>
      </c>
      <c r="AG2034" t="s">
        <v>142</v>
      </c>
      <c r="AH2034" t="b">
        <v>0</v>
      </c>
    </row>
    <row r="2035" spans="1:34">
      <c r="A2035" t="s">
        <v>1978</v>
      </c>
      <c r="R2035" t="s">
        <v>461</v>
      </c>
      <c r="T2035" t="s">
        <v>463</v>
      </c>
      <c r="V2035" t="s">
        <v>225</v>
      </c>
      <c r="W2035" t="s">
        <v>462</v>
      </c>
      <c r="X2035" t="s">
        <v>304</v>
      </c>
      <c r="Y2035" t="s">
        <v>230</v>
      </c>
      <c r="Z2035" t="s">
        <v>2032</v>
      </c>
      <c r="AF2035" t="s">
        <v>1978</v>
      </c>
      <c r="AG2035" t="s">
        <v>142</v>
      </c>
      <c r="AH2035" t="b">
        <v>0</v>
      </c>
    </row>
    <row r="2036" spans="1:34">
      <c r="A2036" t="s">
        <v>1978</v>
      </c>
      <c r="R2036" t="s">
        <v>465</v>
      </c>
      <c r="T2036" t="s">
        <v>467</v>
      </c>
      <c r="V2036" t="s">
        <v>225</v>
      </c>
      <c r="W2036" t="s">
        <v>466</v>
      </c>
      <c r="X2036" t="s">
        <v>272</v>
      </c>
      <c r="Y2036" t="s">
        <v>230</v>
      </c>
      <c r="Z2036" t="s">
        <v>2033</v>
      </c>
      <c r="AF2036" t="s">
        <v>1978</v>
      </c>
      <c r="AG2036" t="s">
        <v>142</v>
      </c>
      <c r="AH2036" t="b">
        <v>0</v>
      </c>
    </row>
    <row r="2037" spans="1:34">
      <c r="A2037" t="s">
        <v>1978</v>
      </c>
      <c r="R2037" t="s">
        <v>469</v>
      </c>
      <c r="T2037" t="s">
        <v>471</v>
      </c>
      <c r="V2037" t="s">
        <v>225</v>
      </c>
      <c r="W2037" t="s">
        <v>470</v>
      </c>
      <c r="X2037" t="s">
        <v>267</v>
      </c>
      <c r="Y2037" t="s">
        <v>230</v>
      </c>
      <c r="Z2037" t="s">
        <v>2034</v>
      </c>
      <c r="AF2037" t="s">
        <v>1978</v>
      </c>
      <c r="AG2037" t="s">
        <v>142</v>
      </c>
      <c r="AH2037" t="b">
        <v>0</v>
      </c>
    </row>
    <row r="2038" spans="1:34">
      <c r="A2038" t="s">
        <v>1978</v>
      </c>
      <c r="R2038" t="s">
        <v>473</v>
      </c>
      <c r="T2038" t="s">
        <v>476</v>
      </c>
      <c r="V2038" t="s">
        <v>225</v>
      </c>
      <c r="W2038" t="s">
        <v>474</v>
      </c>
      <c r="X2038" t="s">
        <v>475</v>
      </c>
      <c r="Y2038" t="s">
        <v>230</v>
      </c>
      <c r="Z2038" t="s">
        <v>2035</v>
      </c>
      <c r="AF2038" t="s">
        <v>1978</v>
      </c>
      <c r="AG2038" t="s">
        <v>142</v>
      </c>
      <c r="AH2038" t="b">
        <v>0</v>
      </c>
    </row>
    <row r="2039" spans="1:34">
      <c r="A2039" t="s">
        <v>1978</v>
      </c>
      <c r="R2039" t="s">
        <v>478</v>
      </c>
      <c r="T2039" t="s">
        <v>480</v>
      </c>
      <c r="V2039" t="s">
        <v>225</v>
      </c>
      <c r="W2039" t="s">
        <v>479</v>
      </c>
      <c r="X2039" t="s">
        <v>475</v>
      </c>
      <c r="Y2039" t="s">
        <v>230</v>
      </c>
      <c r="Z2039" t="s">
        <v>2036</v>
      </c>
      <c r="AF2039" t="s">
        <v>1978</v>
      </c>
      <c r="AG2039" t="s">
        <v>142</v>
      </c>
      <c r="AH2039" t="b">
        <v>0</v>
      </c>
    </row>
    <row r="2040" spans="1:34">
      <c r="A2040" t="s">
        <v>1978</v>
      </c>
      <c r="R2040" t="s">
        <v>482</v>
      </c>
      <c r="T2040" t="s">
        <v>430</v>
      </c>
      <c r="V2040" t="s">
        <v>225</v>
      </c>
      <c r="W2040" t="s">
        <v>483</v>
      </c>
      <c r="X2040" t="s">
        <v>349</v>
      </c>
      <c r="Y2040" t="s">
        <v>230</v>
      </c>
      <c r="Z2040" t="s">
        <v>2037</v>
      </c>
      <c r="AF2040" t="s">
        <v>1978</v>
      </c>
      <c r="AG2040" t="s">
        <v>142</v>
      </c>
      <c r="AH2040" t="b">
        <v>0</v>
      </c>
    </row>
    <row r="2041" spans="1:34">
      <c r="A2041" t="s">
        <v>1978</v>
      </c>
      <c r="R2041" t="s">
        <v>485</v>
      </c>
      <c r="T2041" t="s">
        <v>433</v>
      </c>
      <c r="V2041" t="s">
        <v>225</v>
      </c>
      <c r="W2041" t="s">
        <v>486</v>
      </c>
      <c r="X2041" t="s">
        <v>349</v>
      </c>
      <c r="Y2041" t="s">
        <v>230</v>
      </c>
      <c r="Z2041" t="s">
        <v>2038</v>
      </c>
      <c r="AF2041" t="s">
        <v>1978</v>
      </c>
      <c r="AG2041" t="s">
        <v>142</v>
      </c>
      <c r="AH2041" t="b">
        <v>0</v>
      </c>
    </row>
    <row r="2042" spans="1:34">
      <c r="A2042" t="s">
        <v>1978</v>
      </c>
      <c r="R2042" t="s">
        <v>488</v>
      </c>
      <c r="T2042" t="s">
        <v>490</v>
      </c>
      <c r="V2042" t="s">
        <v>225</v>
      </c>
      <c r="W2042" t="s">
        <v>489</v>
      </c>
      <c r="X2042" t="s">
        <v>349</v>
      </c>
      <c r="Y2042" t="s">
        <v>230</v>
      </c>
      <c r="Z2042" t="s">
        <v>2039</v>
      </c>
      <c r="AF2042" t="s">
        <v>1978</v>
      </c>
      <c r="AG2042" t="s">
        <v>142</v>
      </c>
      <c r="AH2042" t="b">
        <v>0</v>
      </c>
    </row>
    <row r="2043" spans="1:34">
      <c r="A2043" t="s">
        <v>1978</v>
      </c>
      <c r="R2043" t="s">
        <v>492</v>
      </c>
      <c r="T2043" t="s">
        <v>494</v>
      </c>
      <c r="V2043" t="s">
        <v>225</v>
      </c>
      <c r="W2043" t="s">
        <v>493</v>
      </c>
      <c r="X2043" t="s">
        <v>349</v>
      </c>
      <c r="Y2043" t="s">
        <v>230</v>
      </c>
      <c r="Z2043" t="s">
        <v>2040</v>
      </c>
      <c r="AF2043" t="s">
        <v>1978</v>
      </c>
      <c r="AG2043" t="s">
        <v>142</v>
      </c>
      <c r="AH2043" t="b">
        <v>0</v>
      </c>
    </row>
    <row r="2044" spans="1:34">
      <c r="A2044" t="s">
        <v>1978</v>
      </c>
      <c r="R2044" t="s">
        <v>496</v>
      </c>
      <c r="T2044" t="s">
        <v>436</v>
      </c>
      <c r="V2044" t="s">
        <v>225</v>
      </c>
      <c r="W2044" t="s">
        <v>497</v>
      </c>
      <c r="X2044" t="s">
        <v>349</v>
      </c>
      <c r="Y2044" t="s">
        <v>230</v>
      </c>
      <c r="Z2044" t="s">
        <v>2041</v>
      </c>
      <c r="AF2044" t="s">
        <v>1978</v>
      </c>
      <c r="AG2044" t="s">
        <v>142</v>
      </c>
      <c r="AH2044" t="b">
        <v>0</v>
      </c>
    </row>
    <row r="2045" spans="1:34">
      <c r="A2045" t="s">
        <v>1978</v>
      </c>
      <c r="R2045" t="s">
        <v>499</v>
      </c>
      <c r="T2045" t="s">
        <v>451</v>
      </c>
      <c r="V2045" t="s">
        <v>225</v>
      </c>
      <c r="W2045" t="s">
        <v>500</v>
      </c>
      <c r="X2045" t="s">
        <v>349</v>
      </c>
      <c r="Y2045" t="s">
        <v>230</v>
      </c>
      <c r="Z2045" t="s">
        <v>2042</v>
      </c>
      <c r="AF2045" t="s">
        <v>1978</v>
      </c>
      <c r="AG2045" t="s">
        <v>142</v>
      </c>
      <c r="AH2045" t="b">
        <v>0</v>
      </c>
    </row>
    <row r="2046" spans="1:34">
      <c r="A2046" t="s">
        <v>1978</v>
      </c>
      <c r="R2046" t="s">
        <v>502</v>
      </c>
      <c r="T2046" t="s">
        <v>504</v>
      </c>
      <c r="V2046" t="s">
        <v>225</v>
      </c>
      <c r="W2046" t="s">
        <v>503</v>
      </c>
      <c r="X2046" t="s">
        <v>349</v>
      </c>
      <c r="Y2046" t="s">
        <v>230</v>
      </c>
      <c r="Z2046" t="s">
        <v>2043</v>
      </c>
      <c r="AF2046" t="s">
        <v>1978</v>
      </c>
      <c r="AG2046" t="s">
        <v>142</v>
      </c>
      <c r="AH2046" t="b">
        <v>0</v>
      </c>
    </row>
    <row r="2047" spans="1:34">
      <c r="A2047" t="s">
        <v>1978</v>
      </c>
      <c r="R2047" t="s">
        <v>506</v>
      </c>
      <c r="T2047" t="s">
        <v>509</v>
      </c>
      <c r="V2047" t="s">
        <v>225</v>
      </c>
      <c r="W2047" t="s">
        <v>507</v>
      </c>
      <c r="X2047" t="s">
        <v>508</v>
      </c>
      <c r="Y2047" t="s">
        <v>230</v>
      </c>
      <c r="Z2047" t="s">
        <v>2044</v>
      </c>
      <c r="AF2047" t="s">
        <v>1978</v>
      </c>
      <c r="AG2047" t="s">
        <v>142</v>
      </c>
      <c r="AH2047" t="b">
        <v>0</v>
      </c>
    </row>
    <row r="2048" spans="1:34">
      <c r="A2048" t="s">
        <v>1978</v>
      </c>
      <c r="R2048" t="s">
        <v>511</v>
      </c>
      <c r="T2048" t="s">
        <v>513</v>
      </c>
      <c r="V2048" t="s">
        <v>225</v>
      </c>
      <c r="W2048" t="s">
        <v>512</v>
      </c>
      <c r="X2048" t="s">
        <v>508</v>
      </c>
      <c r="Y2048" t="s">
        <v>230</v>
      </c>
      <c r="Z2048" t="s">
        <v>2045</v>
      </c>
      <c r="AF2048" t="s">
        <v>1978</v>
      </c>
      <c r="AG2048" t="s">
        <v>142</v>
      </c>
      <c r="AH2048" t="b">
        <v>0</v>
      </c>
    </row>
    <row r="2049" spans="1:34">
      <c r="A2049" t="s">
        <v>1978</v>
      </c>
      <c r="R2049" t="s">
        <v>515</v>
      </c>
      <c r="T2049" t="s">
        <v>518</v>
      </c>
      <c r="V2049" t="s">
        <v>225</v>
      </c>
      <c r="W2049" t="s">
        <v>517</v>
      </c>
      <c r="X2049" t="s">
        <v>227</v>
      </c>
      <c r="Y2049" t="s">
        <v>230</v>
      </c>
      <c r="Z2049" t="s">
        <v>1881</v>
      </c>
      <c r="AF2049" t="s">
        <v>1978</v>
      </c>
      <c r="AG2049" t="s">
        <v>142</v>
      </c>
      <c r="AH2049" t="b">
        <v>0</v>
      </c>
    </row>
    <row r="2050" spans="1:34">
      <c r="A2050" t="s">
        <v>1978</v>
      </c>
      <c r="R2050" t="s">
        <v>520</v>
      </c>
      <c r="T2050" t="s">
        <v>520</v>
      </c>
      <c r="V2050" t="s">
        <v>225</v>
      </c>
      <c r="W2050" t="s">
        <v>521</v>
      </c>
      <c r="X2050" t="s">
        <v>227</v>
      </c>
      <c r="Y2050" t="s">
        <v>230</v>
      </c>
      <c r="Z2050" t="s">
        <v>2046</v>
      </c>
      <c r="AF2050" t="s">
        <v>1978</v>
      </c>
      <c r="AG2050" t="s">
        <v>142</v>
      </c>
      <c r="AH2050" t="b">
        <v>0</v>
      </c>
    </row>
    <row r="2051" spans="1:34">
      <c r="A2051" t="s">
        <v>1978</v>
      </c>
      <c r="R2051" t="s">
        <v>523</v>
      </c>
      <c r="T2051" t="s">
        <v>525</v>
      </c>
      <c r="V2051" t="s">
        <v>225</v>
      </c>
      <c r="W2051" t="s">
        <v>524</v>
      </c>
      <c r="X2051" t="s">
        <v>520</v>
      </c>
      <c r="Y2051" t="s">
        <v>230</v>
      </c>
      <c r="Z2051" t="s">
        <v>2047</v>
      </c>
      <c r="AF2051" t="s">
        <v>1978</v>
      </c>
      <c r="AG2051" t="s">
        <v>142</v>
      </c>
      <c r="AH2051" t="b">
        <v>0</v>
      </c>
    </row>
    <row r="2052" spans="1:34">
      <c r="A2052" t="s">
        <v>1978</v>
      </c>
      <c r="R2052" t="s">
        <v>527</v>
      </c>
      <c r="T2052" t="s">
        <v>273</v>
      </c>
      <c r="V2052" t="s">
        <v>225</v>
      </c>
      <c r="W2052" t="s">
        <v>528</v>
      </c>
      <c r="X2052" t="s">
        <v>520</v>
      </c>
      <c r="Y2052" t="s">
        <v>230</v>
      </c>
      <c r="Z2052" t="s">
        <v>2048</v>
      </c>
      <c r="AF2052" t="s">
        <v>1978</v>
      </c>
      <c r="AG2052" t="s">
        <v>142</v>
      </c>
      <c r="AH2052" t="b">
        <v>0</v>
      </c>
    </row>
    <row r="2053" spans="1:34">
      <c r="A2053" t="s">
        <v>1978</v>
      </c>
      <c r="R2053" t="s">
        <v>530</v>
      </c>
      <c r="T2053" t="s">
        <v>247</v>
      </c>
      <c r="V2053" t="s">
        <v>225</v>
      </c>
      <c r="W2053" t="s">
        <v>531</v>
      </c>
      <c r="X2053" t="s">
        <v>520</v>
      </c>
      <c r="Y2053" t="s">
        <v>230</v>
      </c>
      <c r="Z2053" t="s">
        <v>2049</v>
      </c>
      <c r="AF2053" t="s">
        <v>1978</v>
      </c>
      <c r="AG2053" t="s">
        <v>142</v>
      </c>
      <c r="AH2053" t="b">
        <v>0</v>
      </c>
    </row>
    <row r="2054" spans="1:34">
      <c r="A2054" t="s">
        <v>1978</v>
      </c>
      <c r="R2054" t="s">
        <v>533</v>
      </c>
      <c r="T2054" t="s">
        <v>535</v>
      </c>
      <c r="V2054" t="s">
        <v>225</v>
      </c>
      <c r="W2054" t="s">
        <v>534</v>
      </c>
      <c r="X2054" t="s">
        <v>520</v>
      </c>
      <c r="Y2054" t="s">
        <v>230</v>
      </c>
      <c r="Z2054" t="s">
        <v>2050</v>
      </c>
      <c r="AF2054" t="s">
        <v>1978</v>
      </c>
      <c r="AG2054" t="s">
        <v>142</v>
      </c>
      <c r="AH2054" t="b">
        <v>0</v>
      </c>
    </row>
    <row r="2055" spans="1:34">
      <c r="A2055" t="s">
        <v>1978</v>
      </c>
      <c r="R2055" t="s">
        <v>537</v>
      </c>
      <c r="T2055" t="s">
        <v>280</v>
      </c>
      <c r="V2055" t="s">
        <v>225</v>
      </c>
      <c r="W2055" t="s">
        <v>538</v>
      </c>
      <c r="X2055" t="s">
        <v>520</v>
      </c>
      <c r="Y2055" t="s">
        <v>230</v>
      </c>
      <c r="Z2055" t="s">
        <v>2051</v>
      </c>
      <c r="AF2055" t="s">
        <v>1978</v>
      </c>
      <c r="AG2055" t="s">
        <v>142</v>
      </c>
      <c r="AH2055" t="b">
        <v>0</v>
      </c>
    </row>
    <row r="2056" spans="1:34">
      <c r="A2056" t="s">
        <v>1978</v>
      </c>
      <c r="R2056" t="s">
        <v>540</v>
      </c>
      <c r="T2056" t="s">
        <v>284</v>
      </c>
      <c r="V2056" t="s">
        <v>225</v>
      </c>
      <c r="W2056" t="s">
        <v>541</v>
      </c>
      <c r="X2056" t="s">
        <v>520</v>
      </c>
      <c r="Y2056" t="s">
        <v>230</v>
      </c>
      <c r="Z2056" t="s">
        <v>2052</v>
      </c>
      <c r="AF2056" t="s">
        <v>1978</v>
      </c>
      <c r="AG2056" t="s">
        <v>142</v>
      </c>
      <c r="AH2056" t="b">
        <v>0</v>
      </c>
    </row>
    <row r="2057" spans="1:34">
      <c r="A2057" t="s">
        <v>1978</v>
      </c>
      <c r="R2057" t="s">
        <v>543</v>
      </c>
      <c r="T2057" t="s">
        <v>288</v>
      </c>
      <c r="V2057" t="s">
        <v>225</v>
      </c>
      <c r="W2057" t="s">
        <v>544</v>
      </c>
      <c r="X2057" t="s">
        <v>520</v>
      </c>
      <c r="Y2057" t="s">
        <v>230</v>
      </c>
      <c r="Z2057" t="s">
        <v>2053</v>
      </c>
      <c r="AF2057" t="s">
        <v>1978</v>
      </c>
      <c r="AG2057" t="s">
        <v>142</v>
      </c>
      <c r="AH2057" t="b">
        <v>0</v>
      </c>
    </row>
    <row r="2058" spans="1:34">
      <c r="A2058" t="s">
        <v>1978</v>
      </c>
      <c r="R2058" t="s">
        <v>546</v>
      </c>
      <c r="T2058" t="s">
        <v>381</v>
      </c>
      <c r="V2058" t="s">
        <v>225</v>
      </c>
      <c r="W2058" t="s">
        <v>547</v>
      </c>
      <c r="X2058" t="s">
        <v>520</v>
      </c>
      <c r="Y2058" t="s">
        <v>230</v>
      </c>
      <c r="Z2058" t="s">
        <v>2054</v>
      </c>
      <c r="AF2058" t="s">
        <v>1978</v>
      </c>
      <c r="AG2058" t="s">
        <v>142</v>
      </c>
      <c r="AH2058" t="b">
        <v>0</v>
      </c>
    </row>
    <row r="2059" spans="1:34">
      <c r="A2059" t="s">
        <v>1978</v>
      </c>
      <c r="R2059" t="s">
        <v>549</v>
      </c>
      <c r="T2059" t="s">
        <v>296</v>
      </c>
      <c r="V2059" t="s">
        <v>225</v>
      </c>
      <c r="W2059" t="s">
        <v>550</v>
      </c>
      <c r="X2059" t="s">
        <v>520</v>
      </c>
      <c r="Y2059" t="s">
        <v>230</v>
      </c>
      <c r="Z2059" t="s">
        <v>2055</v>
      </c>
      <c r="AF2059" t="s">
        <v>1978</v>
      </c>
      <c r="AG2059" t="s">
        <v>142</v>
      </c>
      <c r="AH2059" t="b">
        <v>0</v>
      </c>
    </row>
    <row r="2060" spans="1:34">
      <c r="A2060" t="s">
        <v>1978</v>
      </c>
      <c r="R2060" t="s">
        <v>552</v>
      </c>
      <c r="T2060" t="s">
        <v>300</v>
      </c>
      <c r="V2060" t="s">
        <v>225</v>
      </c>
      <c r="W2060" t="s">
        <v>553</v>
      </c>
      <c r="X2060" t="s">
        <v>520</v>
      </c>
      <c r="Y2060" t="s">
        <v>230</v>
      </c>
      <c r="Z2060" t="s">
        <v>2056</v>
      </c>
      <c r="AF2060" t="s">
        <v>1978</v>
      </c>
      <c r="AG2060" t="s">
        <v>142</v>
      </c>
      <c r="AH2060" t="b">
        <v>0</v>
      </c>
    </row>
    <row r="2061" spans="1:34">
      <c r="A2061" t="s">
        <v>1978</v>
      </c>
      <c r="R2061" t="s">
        <v>555</v>
      </c>
      <c r="T2061" t="s">
        <v>557</v>
      </c>
      <c r="V2061" t="s">
        <v>225</v>
      </c>
      <c r="W2061" t="s">
        <v>556</v>
      </c>
      <c r="X2061" t="s">
        <v>520</v>
      </c>
      <c r="Y2061" t="s">
        <v>230</v>
      </c>
      <c r="Z2061" t="s">
        <v>2057</v>
      </c>
      <c r="AF2061" t="s">
        <v>1978</v>
      </c>
      <c r="AG2061" t="s">
        <v>142</v>
      </c>
      <c r="AH2061" t="b">
        <v>0</v>
      </c>
    </row>
    <row r="2062" spans="1:34">
      <c r="A2062" t="s">
        <v>1978</v>
      </c>
      <c r="R2062" t="s">
        <v>559</v>
      </c>
      <c r="T2062" t="s">
        <v>561</v>
      </c>
      <c r="V2062" t="s">
        <v>225</v>
      </c>
      <c r="W2062" t="s">
        <v>560</v>
      </c>
      <c r="X2062" t="s">
        <v>520</v>
      </c>
      <c r="Y2062" t="s">
        <v>230</v>
      </c>
      <c r="Z2062" t="s">
        <v>2058</v>
      </c>
      <c r="AF2062" t="s">
        <v>1978</v>
      </c>
      <c r="AG2062" t="s">
        <v>142</v>
      </c>
      <c r="AH2062" t="b">
        <v>0</v>
      </c>
    </row>
    <row r="2063" spans="1:34">
      <c r="A2063" t="s">
        <v>1978</v>
      </c>
      <c r="R2063" t="s">
        <v>563</v>
      </c>
      <c r="T2063" t="s">
        <v>231</v>
      </c>
      <c r="V2063" t="s">
        <v>225</v>
      </c>
      <c r="W2063" t="s">
        <v>564</v>
      </c>
      <c r="X2063" t="s">
        <v>559</v>
      </c>
      <c r="Y2063" t="s">
        <v>230</v>
      </c>
      <c r="Z2063" t="s">
        <v>2059</v>
      </c>
      <c r="AF2063" t="s">
        <v>1978</v>
      </c>
      <c r="AG2063" t="s">
        <v>142</v>
      </c>
      <c r="AH2063" t="b">
        <v>0</v>
      </c>
    </row>
    <row r="2064" spans="1:34">
      <c r="A2064" t="s">
        <v>1978</v>
      </c>
      <c r="R2064" t="s">
        <v>566</v>
      </c>
      <c r="T2064" t="s">
        <v>236</v>
      </c>
      <c r="V2064" t="s">
        <v>225</v>
      </c>
      <c r="W2064" t="s">
        <v>567</v>
      </c>
      <c r="X2064" t="s">
        <v>559</v>
      </c>
      <c r="Y2064" t="s">
        <v>230</v>
      </c>
      <c r="Z2064" t="s">
        <v>2060</v>
      </c>
      <c r="AF2064" t="s">
        <v>1978</v>
      </c>
      <c r="AG2064" t="s">
        <v>142</v>
      </c>
      <c r="AH2064" t="b">
        <v>0</v>
      </c>
    </row>
    <row r="2065" spans="1:34">
      <c r="A2065" t="s">
        <v>1978</v>
      </c>
      <c r="R2065" t="s">
        <v>569</v>
      </c>
      <c r="T2065" t="s">
        <v>239</v>
      </c>
      <c r="V2065" t="s">
        <v>225</v>
      </c>
      <c r="W2065" t="s">
        <v>570</v>
      </c>
      <c r="X2065" t="s">
        <v>566</v>
      </c>
      <c r="Y2065" t="s">
        <v>230</v>
      </c>
      <c r="Z2065" t="s">
        <v>2061</v>
      </c>
      <c r="AF2065" t="s">
        <v>1978</v>
      </c>
      <c r="AG2065" t="s">
        <v>142</v>
      </c>
      <c r="AH2065" t="b">
        <v>0</v>
      </c>
    </row>
    <row r="2066" spans="1:34">
      <c r="A2066" t="s">
        <v>1978</v>
      </c>
      <c r="R2066" t="s">
        <v>572</v>
      </c>
      <c r="T2066" t="s">
        <v>242</v>
      </c>
      <c r="V2066" t="s">
        <v>225</v>
      </c>
      <c r="W2066" t="s">
        <v>573</v>
      </c>
      <c r="X2066" t="s">
        <v>566</v>
      </c>
      <c r="Y2066" t="s">
        <v>230</v>
      </c>
      <c r="Z2066" t="s">
        <v>2062</v>
      </c>
      <c r="AF2066" t="s">
        <v>1978</v>
      </c>
      <c r="AG2066" t="s">
        <v>142</v>
      </c>
      <c r="AH2066" t="b">
        <v>0</v>
      </c>
    </row>
    <row r="2067" spans="1:34">
      <c r="A2067" t="s">
        <v>1978</v>
      </c>
      <c r="R2067" t="s">
        <v>575</v>
      </c>
      <c r="T2067" t="s">
        <v>430</v>
      </c>
      <c r="V2067" t="s">
        <v>225</v>
      </c>
      <c r="W2067" t="s">
        <v>576</v>
      </c>
      <c r="X2067" t="s">
        <v>566</v>
      </c>
      <c r="Y2067" t="s">
        <v>230</v>
      </c>
      <c r="Z2067" t="s">
        <v>2063</v>
      </c>
      <c r="AF2067" t="s">
        <v>1978</v>
      </c>
      <c r="AG2067" t="s">
        <v>142</v>
      </c>
      <c r="AH2067" t="b">
        <v>0</v>
      </c>
    </row>
    <row r="2068" spans="1:34">
      <c r="A2068" t="s">
        <v>1978</v>
      </c>
      <c r="R2068" t="s">
        <v>578</v>
      </c>
      <c r="T2068" t="s">
        <v>433</v>
      </c>
      <c r="V2068" t="s">
        <v>225</v>
      </c>
      <c r="W2068" t="s">
        <v>579</v>
      </c>
      <c r="X2068" t="s">
        <v>566</v>
      </c>
      <c r="Y2068" t="s">
        <v>230</v>
      </c>
      <c r="Z2068" t="s">
        <v>2064</v>
      </c>
      <c r="AF2068" t="s">
        <v>1978</v>
      </c>
      <c r="AG2068" t="s">
        <v>142</v>
      </c>
      <c r="AH2068" t="b">
        <v>0</v>
      </c>
    </row>
    <row r="2069" spans="1:34">
      <c r="A2069" t="s">
        <v>1978</v>
      </c>
      <c r="R2069" t="s">
        <v>581</v>
      </c>
      <c r="T2069" t="s">
        <v>490</v>
      </c>
      <c r="V2069" t="s">
        <v>225</v>
      </c>
      <c r="W2069" t="s">
        <v>582</v>
      </c>
      <c r="X2069" t="s">
        <v>566</v>
      </c>
      <c r="Y2069" t="s">
        <v>230</v>
      </c>
      <c r="Z2069" t="s">
        <v>2065</v>
      </c>
      <c r="AF2069" t="s">
        <v>1978</v>
      </c>
      <c r="AG2069" t="s">
        <v>142</v>
      </c>
      <c r="AH2069" t="b">
        <v>0</v>
      </c>
    </row>
    <row r="2070" spans="1:34">
      <c r="A2070" t="s">
        <v>1978</v>
      </c>
      <c r="R2070" t="s">
        <v>584</v>
      </c>
      <c r="T2070" t="s">
        <v>494</v>
      </c>
      <c r="V2070" t="s">
        <v>225</v>
      </c>
      <c r="W2070" t="s">
        <v>585</v>
      </c>
      <c r="X2070" t="s">
        <v>566</v>
      </c>
      <c r="Y2070" t="s">
        <v>230</v>
      </c>
      <c r="Z2070" t="s">
        <v>2066</v>
      </c>
      <c r="AF2070" t="s">
        <v>1978</v>
      </c>
      <c r="AG2070" t="s">
        <v>142</v>
      </c>
      <c r="AH2070" t="b">
        <v>0</v>
      </c>
    </row>
    <row r="2071" spans="1:34">
      <c r="A2071" t="s">
        <v>1978</v>
      </c>
      <c r="R2071" t="s">
        <v>587</v>
      </c>
      <c r="T2071" t="s">
        <v>436</v>
      </c>
      <c r="V2071" t="s">
        <v>225</v>
      </c>
      <c r="W2071" t="s">
        <v>588</v>
      </c>
      <c r="X2071" t="s">
        <v>566</v>
      </c>
      <c r="Y2071" t="s">
        <v>230</v>
      </c>
      <c r="Z2071" t="s">
        <v>2067</v>
      </c>
      <c r="AF2071" t="s">
        <v>1978</v>
      </c>
      <c r="AG2071" t="s">
        <v>142</v>
      </c>
      <c r="AH2071" t="b">
        <v>0</v>
      </c>
    </row>
    <row r="2072" spans="1:34">
      <c r="A2072" t="s">
        <v>1978</v>
      </c>
      <c r="R2072" t="s">
        <v>590</v>
      </c>
      <c r="T2072" t="s">
        <v>451</v>
      </c>
      <c r="V2072" t="s">
        <v>225</v>
      </c>
      <c r="W2072" t="s">
        <v>591</v>
      </c>
      <c r="X2072" t="s">
        <v>566</v>
      </c>
      <c r="Y2072" t="s">
        <v>230</v>
      </c>
      <c r="Z2072" t="s">
        <v>2068</v>
      </c>
      <c r="AF2072" t="s">
        <v>1978</v>
      </c>
      <c r="AG2072" t="s">
        <v>142</v>
      </c>
      <c r="AH2072" t="b">
        <v>0</v>
      </c>
    </row>
    <row r="2073" spans="1:34">
      <c r="A2073" t="s">
        <v>1978</v>
      </c>
      <c r="R2073" t="s">
        <v>593</v>
      </c>
      <c r="T2073" t="s">
        <v>595</v>
      </c>
      <c r="V2073" t="s">
        <v>225</v>
      </c>
      <c r="W2073" t="s">
        <v>594</v>
      </c>
      <c r="X2073" t="s">
        <v>566</v>
      </c>
      <c r="Y2073" t="s">
        <v>230</v>
      </c>
      <c r="Z2073" t="s">
        <v>2069</v>
      </c>
      <c r="AF2073" t="s">
        <v>1978</v>
      </c>
      <c r="AG2073" t="s">
        <v>142</v>
      </c>
      <c r="AH2073" t="b">
        <v>0</v>
      </c>
    </row>
    <row r="2074" spans="1:34">
      <c r="A2074" t="s">
        <v>1978</v>
      </c>
      <c r="R2074" t="s">
        <v>597</v>
      </c>
      <c r="T2074" t="s">
        <v>247</v>
      </c>
      <c r="V2074" t="s">
        <v>225</v>
      </c>
      <c r="W2074" t="s">
        <v>598</v>
      </c>
      <c r="X2074" t="s">
        <v>559</v>
      </c>
      <c r="Y2074" t="s">
        <v>230</v>
      </c>
      <c r="Z2074" t="s">
        <v>2070</v>
      </c>
      <c r="AF2074" t="s">
        <v>1978</v>
      </c>
      <c r="AG2074" t="s">
        <v>142</v>
      </c>
      <c r="AH2074" t="b">
        <v>0</v>
      </c>
    </row>
    <row r="2075" spans="1:34">
      <c r="A2075" t="s">
        <v>1978</v>
      </c>
      <c r="R2075" t="s">
        <v>600</v>
      </c>
      <c r="T2075" t="s">
        <v>251</v>
      </c>
      <c r="V2075" t="s">
        <v>225</v>
      </c>
      <c r="W2075" t="s">
        <v>601</v>
      </c>
      <c r="X2075" t="s">
        <v>559</v>
      </c>
      <c r="Y2075" t="s">
        <v>230</v>
      </c>
      <c r="Z2075" t="s">
        <v>2071</v>
      </c>
      <c r="AF2075" t="s">
        <v>1978</v>
      </c>
      <c r="AG2075" t="s">
        <v>142</v>
      </c>
      <c r="AH2075" t="b">
        <v>0</v>
      </c>
    </row>
    <row r="2076" spans="1:34">
      <c r="A2076" t="s">
        <v>1978</v>
      </c>
      <c r="R2076" t="s">
        <v>603</v>
      </c>
      <c r="T2076" t="s">
        <v>255</v>
      </c>
      <c r="V2076" t="s">
        <v>225</v>
      </c>
      <c r="W2076" t="s">
        <v>604</v>
      </c>
      <c r="X2076" t="s">
        <v>559</v>
      </c>
      <c r="Y2076" t="s">
        <v>230</v>
      </c>
      <c r="Z2076" t="s">
        <v>2072</v>
      </c>
      <c r="AF2076" t="s">
        <v>1978</v>
      </c>
      <c r="AG2076" t="s">
        <v>142</v>
      </c>
      <c r="AH2076" t="b">
        <v>0</v>
      </c>
    </row>
    <row r="2077" spans="1:34">
      <c r="A2077" t="s">
        <v>1978</v>
      </c>
      <c r="R2077" t="s">
        <v>606</v>
      </c>
      <c r="T2077" t="s">
        <v>608</v>
      </c>
      <c r="V2077" t="s">
        <v>225</v>
      </c>
      <c r="W2077" t="s">
        <v>607</v>
      </c>
      <c r="X2077" t="s">
        <v>559</v>
      </c>
      <c r="Y2077" t="s">
        <v>230</v>
      </c>
      <c r="Z2077" t="s">
        <v>2073</v>
      </c>
      <c r="AF2077" t="s">
        <v>1978</v>
      </c>
      <c r="AG2077" t="s">
        <v>142</v>
      </c>
      <c r="AH2077" t="b">
        <v>0</v>
      </c>
    </row>
    <row r="2078" spans="1:34">
      <c r="A2078" t="s">
        <v>1978</v>
      </c>
      <c r="R2078" t="s">
        <v>610</v>
      </c>
      <c r="T2078" t="s">
        <v>612</v>
      </c>
      <c r="V2078" t="s">
        <v>225</v>
      </c>
      <c r="W2078" t="s">
        <v>611</v>
      </c>
      <c r="X2078" t="s">
        <v>559</v>
      </c>
      <c r="Y2078" t="s">
        <v>230</v>
      </c>
      <c r="Z2078" t="s">
        <v>2074</v>
      </c>
      <c r="AF2078" t="s">
        <v>1978</v>
      </c>
      <c r="AG2078" t="s">
        <v>142</v>
      </c>
      <c r="AH2078" t="b">
        <v>0</v>
      </c>
    </row>
    <row r="2079" spans="1:34">
      <c r="A2079" t="s">
        <v>1978</v>
      </c>
      <c r="R2079" t="s">
        <v>614</v>
      </c>
      <c r="T2079" t="s">
        <v>373</v>
      </c>
      <c r="V2079" t="s">
        <v>225</v>
      </c>
      <c r="W2079" t="s">
        <v>615</v>
      </c>
      <c r="X2079" t="s">
        <v>559</v>
      </c>
      <c r="Y2079" t="s">
        <v>230</v>
      </c>
      <c r="Z2079" t="s">
        <v>2075</v>
      </c>
      <c r="AF2079" t="s">
        <v>1978</v>
      </c>
      <c r="AG2079" t="s">
        <v>142</v>
      </c>
      <c r="AH2079" t="b">
        <v>0</v>
      </c>
    </row>
    <row r="2080" spans="1:34">
      <c r="A2080" t="s">
        <v>1978</v>
      </c>
      <c r="R2080" t="s">
        <v>617</v>
      </c>
      <c r="T2080" t="s">
        <v>619</v>
      </c>
      <c r="V2080" t="s">
        <v>225</v>
      </c>
      <c r="W2080" t="s">
        <v>618</v>
      </c>
      <c r="X2080" t="s">
        <v>227</v>
      </c>
      <c r="Y2080" t="s">
        <v>230</v>
      </c>
      <c r="Z2080" t="s">
        <v>2076</v>
      </c>
      <c r="AF2080" t="s">
        <v>1978</v>
      </c>
      <c r="AG2080" t="s">
        <v>142</v>
      </c>
      <c r="AH2080" t="b">
        <v>0</v>
      </c>
    </row>
    <row r="2081" spans="1:34">
      <c r="A2081" t="s">
        <v>1978</v>
      </c>
      <c r="R2081" t="s">
        <v>621</v>
      </c>
      <c r="T2081" t="s">
        <v>624</v>
      </c>
      <c r="V2081" t="s">
        <v>225</v>
      </c>
      <c r="W2081" t="s">
        <v>623</v>
      </c>
      <c r="X2081" t="s">
        <v>227</v>
      </c>
      <c r="Y2081" t="s">
        <v>230</v>
      </c>
      <c r="Z2081" t="s">
        <v>1935</v>
      </c>
      <c r="AF2081" t="s">
        <v>1978</v>
      </c>
      <c r="AG2081" t="s">
        <v>142</v>
      </c>
      <c r="AH2081" t="b">
        <v>0</v>
      </c>
    </row>
    <row r="2082" spans="1:34">
      <c r="A2082" t="s">
        <v>1978</v>
      </c>
      <c r="R2082" t="s">
        <v>626</v>
      </c>
      <c r="T2082" t="s">
        <v>629</v>
      </c>
      <c r="V2082" t="s">
        <v>225</v>
      </c>
      <c r="W2082" t="s">
        <v>628</v>
      </c>
      <c r="X2082" t="s">
        <v>227</v>
      </c>
      <c r="Y2082" t="s">
        <v>230</v>
      </c>
      <c r="Z2082" t="s">
        <v>1882</v>
      </c>
      <c r="AF2082" t="s">
        <v>1978</v>
      </c>
      <c r="AG2082" t="s">
        <v>142</v>
      </c>
      <c r="AH2082" t="b">
        <v>0</v>
      </c>
    </row>
    <row r="2083" spans="1:34">
      <c r="A2083" t="s">
        <v>1978</v>
      </c>
      <c r="R2083" t="s">
        <v>631</v>
      </c>
      <c r="T2083" t="s">
        <v>634</v>
      </c>
      <c r="V2083" t="s">
        <v>225</v>
      </c>
      <c r="W2083" t="s">
        <v>633</v>
      </c>
      <c r="X2083" t="s">
        <v>227</v>
      </c>
      <c r="Y2083" t="s">
        <v>230</v>
      </c>
      <c r="Z2083" t="s">
        <v>1883</v>
      </c>
      <c r="AF2083" t="s">
        <v>1978</v>
      </c>
      <c r="AG2083" t="s">
        <v>142</v>
      </c>
      <c r="AH2083" t="b">
        <v>0</v>
      </c>
    </row>
    <row r="2084" spans="1:34">
      <c r="A2084" t="s">
        <v>1978</v>
      </c>
      <c r="R2084" t="s">
        <v>636</v>
      </c>
      <c r="T2084" t="s">
        <v>639</v>
      </c>
      <c r="V2084" t="s">
        <v>225</v>
      </c>
      <c r="W2084" t="s">
        <v>638</v>
      </c>
      <c r="X2084" t="s">
        <v>227</v>
      </c>
      <c r="Y2084" t="s">
        <v>230</v>
      </c>
      <c r="Z2084" t="s">
        <v>1884</v>
      </c>
      <c r="AF2084" t="s">
        <v>1978</v>
      </c>
      <c r="AG2084" t="s">
        <v>142</v>
      </c>
      <c r="AH2084" t="b">
        <v>0</v>
      </c>
    </row>
    <row r="2085" spans="1:34">
      <c r="A2085" t="s">
        <v>1978</v>
      </c>
      <c r="R2085" t="s">
        <v>641</v>
      </c>
      <c r="T2085" t="s">
        <v>644</v>
      </c>
      <c r="V2085" t="s">
        <v>225</v>
      </c>
      <c r="W2085" t="s">
        <v>643</v>
      </c>
      <c r="X2085" t="s">
        <v>227</v>
      </c>
      <c r="Y2085" t="s">
        <v>230</v>
      </c>
      <c r="Z2085" t="s">
        <v>1885</v>
      </c>
      <c r="AF2085" t="s">
        <v>1978</v>
      </c>
      <c r="AG2085" t="s">
        <v>142</v>
      </c>
      <c r="AH2085" t="b">
        <v>0</v>
      </c>
    </row>
    <row r="2086" spans="1:34">
      <c r="A2086" t="s">
        <v>1978</v>
      </c>
      <c r="R2086" t="s">
        <v>646</v>
      </c>
      <c r="T2086" t="s">
        <v>649</v>
      </c>
      <c r="V2086" t="s">
        <v>225</v>
      </c>
      <c r="W2086" t="s">
        <v>648</v>
      </c>
      <c r="X2086" t="s">
        <v>227</v>
      </c>
      <c r="Y2086" t="s">
        <v>230</v>
      </c>
      <c r="Z2086" t="s">
        <v>1886</v>
      </c>
      <c r="AF2086" t="s">
        <v>1978</v>
      </c>
      <c r="AG2086" t="s">
        <v>142</v>
      </c>
      <c r="AH2086" t="b">
        <v>0</v>
      </c>
    </row>
    <row r="2087" spans="1:34">
      <c r="A2087" t="s">
        <v>1978</v>
      </c>
      <c r="R2087" t="s">
        <v>651</v>
      </c>
      <c r="T2087" t="s">
        <v>654</v>
      </c>
      <c r="V2087" t="s">
        <v>225</v>
      </c>
      <c r="W2087" t="s">
        <v>653</v>
      </c>
      <c r="X2087" t="s">
        <v>227</v>
      </c>
      <c r="Y2087" t="s">
        <v>230</v>
      </c>
      <c r="Z2087" t="s">
        <v>1887</v>
      </c>
      <c r="AF2087" t="s">
        <v>1978</v>
      </c>
      <c r="AG2087" t="s">
        <v>142</v>
      </c>
      <c r="AH2087" t="b">
        <v>0</v>
      </c>
    </row>
    <row r="2088" spans="1:34">
      <c r="A2088" t="s">
        <v>1978</v>
      </c>
      <c r="R2088" t="s">
        <v>656</v>
      </c>
      <c r="T2088" t="s">
        <v>658</v>
      </c>
      <c r="V2088" t="s">
        <v>225</v>
      </c>
      <c r="W2088" t="s">
        <v>657</v>
      </c>
      <c r="X2088" t="s">
        <v>307</v>
      </c>
      <c r="Y2088" t="s">
        <v>230</v>
      </c>
      <c r="Z2088" t="s">
        <v>2077</v>
      </c>
      <c r="AF2088" t="s">
        <v>1978</v>
      </c>
      <c r="AG2088" t="s">
        <v>142</v>
      </c>
      <c r="AH2088" t="b">
        <v>0</v>
      </c>
    </row>
    <row r="2089" spans="1:34">
      <c r="A2089" t="s">
        <v>1978</v>
      </c>
      <c r="R2089" t="s">
        <v>660</v>
      </c>
      <c r="T2089" t="s">
        <v>662</v>
      </c>
      <c r="V2089" t="s">
        <v>225</v>
      </c>
      <c r="W2089" t="s">
        <v>661</v>
      </c>
      <c r="X2089" t="s">
        <v>227</v>
      </c>
      <c r="Y2089" t="s">
        <v>230</v>
      </c>
      <c r="Z2089" t="s">
        <v>2078</v>
      </c>
      <c r="AF2089" t="s">
        <v>1978</v>
      </c>
      <c r="AG2089" t="s">
        <v>142</v>
      </c>
      <c r="AH2089" t="b">
        <v>0</v>
      </c>
    </row>
    <row r="2090" spans="1:34">
      <c r="A2090" t="s">
        <v>1978</v>
      </c>
      <c r="R2090" t="s">
        <v>664</v>
      </c>
      <c r="T2090" t="s">
        <v>667</v>
      </c>
      <c r="V2090" t="s">
        <v>225</v>
      </c>
      <c r="W2090" t="s">
        <v>666</v>
      </c>
      <c r="X2090" t="s">
        <v>227</v>
      </c>
      <c r="Y2090" t="s">
        <v>230</v>
      </c>
      <c r="Z2090" t="s">
        <v>1936</v>
      </c>
      <c r="AF2090" t="s">
        <v>1978</v>
      </c>
      <c r="AG2090" t="s">
        <v>142</v>
      </c>
      <c r="AH2090" t="b">
        <v>0</v>
      </c>
    </row>
    <row r="2091" spans="1:34">
      <c r="A2091" t="s">
        <v>1978</v>
      </c>
      <c r="R2091" t="s">
        <v>669</v>
      </c>
      <c r="T2091" t="s">
        <v>672</v>
      </c>
      <c r="V2091" t="s">
        <v>225</v>
      </c>
      <c r="W2091" t="s">
        <v>671</v>
      </c>
      <c r="X2091" t="s">
        <v>227</v>
      </c>
      <c r="Y2091" t="s">
        <v>230</v>
      </c>
      <c r="Z2091" t="s">
        <v>1888</v>
      </c>
      <c r="AF2091" t="s">
        <v>1978</v>
      </c>
      <c r="AG2091" t="s">
        <v>142</v>
      </c>
      <c r="AH2091" t="b">
        <v>0</v>
      </c>
    </row>
    <row r="2092" spans="1:34">
      <c r="A2092" t="s">
        <v>1978</v>
      </c>
      <c r="R2092" t="s">
        <v>674</v>
      </c>
      <c r="T2092" t="s">
        <v>676</v>
      </c>
      <c r="V2092" t="s">
        <v>225</v>
      </c>
      <c r="W2092" t="s">
        <v>675</v>
      </c>
      <c r="X2092" t="s">
        <v>227</v>
      </c>
      <c r="Y2092" t="s">
        <v>230</v>
      </c>
      <c r="Z2092" t="s">
        <v>2079</v>
      </c>
      <c r="AF2092" t="s">
        <v>1978</v>
      </c>
      <c r="AG2092" t="s">
        <v>142</v>
      </c>
      <c r="AH2092" t="b">
        <v>0</v>
      </c>
    </row>
    <row r="2093" spans="1:34">
      <c r="A2093" t="s">
        <v>1978</v>
      </c>
      <c r="R2093" t="s">
        <v>678</v>
      </c>
      <c r="T2093" t="s">
        <v>680</v>
      </c>
      <c r="V2093" t="s">
        <v>225</v>
      </c>
      <c r="W2093" t="s">
        <v>679</v>
      </c>
      <c r="X2093" t="s">
        <v>227</v>
      </c>
      <c r="Y2093" t="s">
        <v>230</v>
      </c>
      <c r="Z2093" t="s">
        <v>2080</v>
      </c>
      <c r="AF2093" t="s">
        <v>1978</v>
      </c>
      <c r="AG2093" t="s">
        <v>142</v>
      </c>
      <c r="AH2093" t="b">
        <v>0</v>
      </c>
    </row>
    <row r="2094" spans="1:34">
      <c r="A2094" t="s">
        <v>1978</v>
      </c>
      <c r="R2094" t="s">
        <v>682</v>
      </c>
      <c r="T2094" t="s">
        <v>684</v>
      </c>
      <c r="V2094" t="s">
        <v>225</v>
      </c>
      <c r="W2094" t="s">
        <v>683</v>
      </c>
      <c r="X2094" t="s">
        <v>227</v>
      </c>
      <c r="Y2094" t="s">
        <v>230</v>
      </c>
      <c r="Z2094" t="s">
        <v>2081</v>
      </c>
      <c r="AF2094" t="s">
        <v>1978</v>
      </c>
      <c r="AG2094" t="s">
        <v>142</v>
      </c>
      <c r="AH2094" t="b">
        <v>0</v>
      </c>
    </row>
    <row r="2095" spans="1:34">
      <c r="A2095" t="s">
        <v>1978</v>
      </c>
      <c r="R2095" t="s">
        <v>686</v>
      </c>
      <c r="T2095" t="s">
        <v>688</v>
      </c>
      <c r="V2095" t="s">
        <v>225</v>
      </c>
      <c r="W2095" t="s">
        <v>687</v>
      </c>
      <c r="X2095" t="s">
        <v>227</v>
      </c>
      <c r="Y2095" t="s">
        <v>230</v>
      </c>
      <c r="Z2095" t="s">
        <v>2082</v>
      </c>
      <c r="AF2095" t="s">
        <v>1978</v>
      </c>
      <c r="AG2095" t="s">
        <v>142</v>
      </c>
      <c r="AH2095" t="b">
        <v>0</v>
      </c>
    </row>
    <row r="2096" spans="1:34">
      <c r="A2096" t="s">
        <v>1978</v>
      </c>
      <c r="R2096" t="s">
        <v>690</v>
      </c>
      <c r="T2096" t="s">
        <v>693</v>
      </c>
      <c r="V2096" t="s">
        <v>225</v>
      </c>
      <c r="W2096" t="s">
        <v>692</v>
      </c>
      <c r="X2096" t="s">
        <v>227</v>
      </c>
      <c r="Y2096" t="s">
        <v>230</v>
      </c>
      <c r="Z2096" t="s">
        <v>1889</v>
      </c>
      <c r="AF2096" t="s">
        <v>1978</v>
      </c>
      <c r="AG2096" t="s">
        <v>142</v>
      </c>
      <c r="AH2096" t="b">
        <v>0</v>
      </c>
    </row>
    <row r="2097" spans="1:34">
      <c r="A2097" t="s">
        <v>1978</v>
      </c>
      <c r="R2097" t="s">
        <v>695</v>
      </c>
      <c r="T2097" t="s">
        <v>698</v>
      </c>
      <c r="V2097" t="s">
        <v>225</v>
      </c>
      <c r="W2097" t="s">
        <v>697</v>
      </c>
      <c r="X2097" t="s">
        <v>227</v>
      </c>
      <c r="Y2097" t="s">
        <v>230</v>
      </c>
      <c r="Z2097" t="s">
        <v>1890</v>
      </c>
      <c r="AF2097" t="s">
        <v>1978</v>
      </c>
      <c r="AG2097" t="s">
        <v>142</v>
      </c>
      <c r="AH2097" t="b">
        <v>0</v>
      </c>
    </row>
    <row r="2098" spans="1:34">
      <c r="A2098" t="s">
        <v>1978</v>
      </c>
      <c r="R2098" t="s">
        <v>700</v>
      </c>
      <c r="T2098" t="s">
        <v>703</v>
      </c>
      <c r="V2098" t="s">
        <v>225</v>
      </c>
      <c r="W2098" t="s">
        <v>702</v>
      </c>
      <c r="X2098" t="s">
        <v>227</v>
      </c>
      <c r="Y2098" t="s">
        <v>230</v>
      </c>
      <c r="Z2098" t="s">
        <v>1891</v>
      </c>
      <c r="AF2098" t="s">
        <v>1978</v>
      </c>
      <c r="AG2098" t="s">
        <v>142</v>
      </c>
      <c r="AH2098" t="b">
        <v>0</v>
      </c>
    </row>
    <row r="2099" spans="1:34">
      <c r="A2099" t="s">
        <v>1978</v>
      </c>
      <c r="R2099" t="s">
        <v>705</v>
      </c>
      <c r="T2099" t="s">
        <v>708</v>
      </c>
      <c r="V2099" t="s">
        <v>225</v>
      </c>
      <c r="W2099" t="s">
        <v>707</v>
      </c>
      <c r="X2099" t="s">
        <v>227</v>
      </c>
      <c r="Y2099" t="s">
        <v>230</v>
      </c>
      <c r="Z2099" t="s">
        <v>1892</v>
      </c>
      <c r="AF2099" t="s">
        <v>1978</v>
      </c>
      <c r="AG2099" t="s">
        <v>142</v>
      </c>
      <c r="AH2099" t="b">
        <v>0</v>
      </c>
    </row>
    <row r="2100" spans="1:34">
      <c r="A2100" t="s">
        <v>1978</v>
      </c>
      <c r="R2100" t="s">
        <v>710</v>
      </c>
      <c r="T2100" t="s">
        <v>713</v>
      </c>
      <c r="V2100" t="s">
        <v>225</v>
      </c>
      <c r="W2100" t="s">
        <v>712</v>
      </c>
      <c r="X2100" t="s">
        <v>227</v>
      </c>
      <c r="Y2100" t="s">
        <v>230</v>
      </c>
      <c r="Z2100" t="s">
        <v>1893</v>
      </c>
      <c r="AF2100" t="s">
        <v>1978</v>
      </c>
      <c r="AG2100" t="s">
        <v>142</v>
      </c>
      <c r="AH2100" t="b">
        <v>0</v>
      </c>
    </row>
    <row r="2101" spans="1:34">
      <c r="A2101" t="s">
        <v>1978</v>
      </c>
      <c r="R2101" t="s">
        <v>715</v>
      </c>
      <c r="T2101" t="s">
        <v>718</v>
      </c>
      <c r="V2101" t="s">
        <v>225</v>
      </c>
      <c r="W2101" t="s">
        <v>717</v>
      </c>
      <c r="X2101" t="s">
        <v>227</v>
      </c>
      <c r="Y2101" t="s">
        <v>230</v>
      </c>
      <c r="Z2101" t="s">
        <v>1894</v>
      </c>
      <c r="AF2101" t="s">
        <v>1978</v>
      </c>
      <c r="AG2101" t="s">
        <v>142</v>
      </c>
      <c r="AH2101" t="b">
        <v>0</v>
      </c>
    </row>
    <row r="2102" spans="1:34">
      <c r="A2102" t="s">
        <v>1978</v>
      </c>
      <c r="R2102" t="s">
        <v>720</v>
      </c>
      <c r="T2102" t="s">
        <v>723</v>
      </c>
      <c r="V2102" t="s">
        <v>225</v>
      </c>
      <c r="W2102" t="s">
        <v>722</v>
      </c>
      <c r="X2102" t="s">
        <v>227</v>
      </c>
      <c r="Y2102" t="s">
        <v>230</v>
      </c>
      <c r="Z2102" t="s">
        <v>1895</v>
      </c>
      <c r="AF2102" t="s">
        <v>1978</v>
      </c>
      <c r="AG2102" t="s">
        <v>142</v>
      </c>
      <c r="AH2102" t="b">
        <v>0</v>
      </c>
    </row>
    <row r="2103" spans="1:34">
      <c r="A2103" t="s">
        <v>1978</v>
      </c>
      <c r="R2103" t="s">
        <v>725</v>
      </c>
      <c r="T2103" t="s">
        <v>728</v>
      </c>
      <c r="V2103" t="s">
        <v>225</v>
      </c>
      <c r="W2103" t="s">
        <v>727</v>
      </c>
      <c r="X2103" t="s">
        <v>227</v>
      </c>
      <c r="Y2103" t="s">
        <v>230</v>
      </c>
      <c r="Z2103" t="s">
        <v>1937</v>
      </c>
      <c r="AF2103" t="s">
        <v>1978</v>
      </c>
      <c r="AG2103" t="s">
        <v>142</v>
      </c>
      <c r="AH2103" t="b">
        <v>0</v>
      </c>
    </row>
    <row r="2104" spans="1:34">
      <c r="A2104" t="s">
        <v>1978</v>
      </c>
      <c r="R2104" t="s">
        <v>730</v>
      </c>
      <c r="T2104" t="s">
        <v>733</v>
      </c>
      <c r="V2104" t="s">
        <v>225</v>
      </c>
      <c r="W2104" t="s">
        <v>732</v>
      </c>
      <c r="X2104" t="s">
        <v>227</v>
      </c>
      <c r="Y2104" t="s">
        <v>230</v>
      </c>
      <c r="Z2104" t="s">
        <v>1896</v>
      </c>
      <c r="AF2104" t="s">
        <v>1978</v>
      </c>
      <c r="AG2104" t="s">
        <v>142</v>
      </c>
      <c r="AH2104" t="b">
        <v>0</v>
      </c>
    </row>
    <row r="2105" spans="1:34">
      <c r="A2105" t="s">
        <v>1978</v>
      </c>
      <c r="R2105" t="s">
        <v>735</v>
      </c>
      <c r="T2105" t="s">
        <v>738</v>
      </c>
      <c r="V2105" t="s">
        <v>225</v>
      </c>
      <c r="W2105" t="s">
        <v>737</v>
      </c>
      <c r="X2105" t="s">
        <v>227</v>
      </c>
      <c r="Y2105" t="s">
        <v>230</v>
      </c>
      <c r="Z2105" t="s">
        <v>1897</v>
      </c>
      <c r="AF2105" t="s">
        <v>1978</v>
      </c>
      <c r="AG2105" t="s">
        <v>142</v>
      </c>
      <c r="AH2105" t="b">
        <v>0</v>
      </c>
    </row>
    <row r="2106" spans="1:34">
      <c r="A2106" t="s">
        <v>1978</v>
      </c>
      <c r="R2106" t="s">
        <v>740</v>
      </c>
      <c r="T2106" t="s">
        <v>743</v>
      </c>
      <c r="V2106" t="s">
        <v>225</v>
      </c>
      <c r="W2106" t="s">
        <v>742</v>
      </c>
      <c r="X2106" t="s">
        <v>227</v>
      </c>
      <c r="Y2106" t="s">
        <v>230</v>
      </c>
      <c r="Z2106" t="s">
        <v>1898</v>
      </c>
      <c r="AF2106" t="s">
        <v>1978</v>
      </c>
      <c r="AG2106" t="s">
        <v>142</v>
      </c>
      <c r="AH2106" t="b">
        <v>0</v>
      </c>
    </row>
    <row r="2107" spans="1:34">
      <c r="A2107" t="s">
        <v>1978</v>
      </c>
      <c r="R2107" t="s">
        <v>745</v>
      </c>
      <c r="T2107" t="s">
        <v>748</v>
      </c>
      <c r="V2107" t="s">
        <v>225</v>
      </c>
      <c r="W2107" t="s">
        <v>747</v>
      </c>
      <c r="X2107" t="s">
        <v>227</v>
      </c>
      <c r="Y2107" t="s">
        <v>230</v>
      </c>
      <c r="Z2107" t="s">
        <v>1899</v>
      </c>
      <c r="AF2107" t="s">
        <v>1978</v>
      </c>
      <c r="AG2107" t="s">
        <v>142</v>
      </c>
      <c r="AH2107" t="b">
        <v>0</v>
      </c>
    </row>
    <row r="2108" spans="1:34">
      <c r="A2108" t="s">
        <v>1978</v>
      </c>
      <c r="R2108" t="s">
        <v>750</v>
      </c>
      <c r="T2108" t="s">
        <v>752</v>
      </c>
      <c r="V2108" t="s">
        <v>225</v>
      </c>
      <c r="W2108" t="s">
        <v>751</v>
      </c>
      <c r="X2108" t="s">
        <v>267</v>
      </c>
      <c r="Y2108" t="s">
        <v>230</v>
      </c>
      <c r="Z2108" t="s">
        <v>2083</v>
      </c>
      <c r="AF2108" t="s">
        <v>1978</v>
      </c>
      <c r="AG2108" t="s">
        <v>142</v>
      </c>
      <c r="AH2108" t="b">
        <v>0</v>
      </c>
    </row>
    <row r="2109" spans="1:34">
      <c r="A2109" t="s">
        <v>1978</v>
      </c>
      <c r="R2109" t="s">
        <v>754</v>
      </c>
      <c r="T2109" t="s">
        <v>754</v>
      </c>
      <c r="V2109" t="s">
        <v>225</v>
      </c>
      <c r="W2109" t="s">
        <v>755</v>
      </c>
      <c r="X2109" t="s">
        <v>227</v>
      </c>
      <c r="Y2109" t="s">
        <v>230</v>
      </c>
      <c r="Z2109" t="s">
        <v>2084</v>
      </c>
      <c r="AF2109" t="s">
        <v>1978</v>
      </c>
      <c r="AG2109" t="s">
        <v>142</v>
      </c>
      <c r="AH2109" t="b">
        <v>0</v>
      </c>
    </row>
    <row r="2110" spans="1:34">
      <c r="A2110" t="s">
        <v>1978</v>
      </c>
      <c r="R2110" t="s">
        <v>757</v>
      </c>
      <c r="T2110" t="s">
        <v>525</v>
      </c>
      <c r="V2110" t="s">
        <v>225</v>
      </c>
      <c r="W2110" t="s">
        <v>758</v>
      </c>
      <c r="X2110" t="s">
        <v>754</v>
      </c>
      <c r="Y2110" t="s">
        <v>230</v>
      </c>
      <c r="Z2110" t="s">
        <v>2085</v>
      </c>
      <c r="AF2110" t="s">
        <v>1978</v>
      </c>
      <c r="AG2110" t="s">
        <v>142</v>
      </c>
      <c r="AH2110" t="b">
        <v>0</v>
      </c>
    </row>
    <row r="2111" spans="1:34">
      <c r="A2111" t="s">
        <v>1978</v>
      </c>
      <c r="R2111" t="s">
        <v>760</v>
      </c>
      <c r="T2111" t="s">
        <v>273</v>
      </c>
      <c r="V2111" t="s">
        <v>225</v>
      </c>
      <c r="W2111" t="s">
        <v>761</v>
      </c>
      <c r="X2111" t="s">
        <v>754</v>
      </c>
      <c r="Y2111" t="s">
        <v>230</v>
      </c>
      <c r="Z2111" t="s">
        <v>2086</v>
      </c>
      <c r="AF2111" t="s">
        <v>1978</v>
      </c>
      <c r="AG2111" t="s">
        <v>142</v>
      </c>
      <c r="AH2111" t="b">
        <v>0</v>
      </c>
    </row>
    <row r="2112" spans="1:34">
      <c r="A2112" t="s">
        <v>1978</v>
      </c>
      <c r="R2112" t="s">
        <v>763</v>
      </c>
      <c r="T2112" t="s">
        <v>247</v>
      </c>
      <c r="V2112" t="s">
        <v>225</v>
      </c>
      <c r="W2112" t="s">
        <v>764</v>
      </c>
      <c r="X2112" t="s">
        <v>754</v>
      </c>
      <c r="Y2112" t="s">
        <v>230</v>
      </c>
      <c r="Z2112" t="s">
        <v>2087</v>
      </c>
      <c r="AF2112" t="s">
        <v>1978</v>
      </c>
      <c r="AG2112" t="s">
        <v>142</v>
      </c>
      <c r="AH2112" t="b">
        <v>0</v>
      </c>
    </row>
    <row r="2113" spans="1:34">
      <c r="A2113" t="s">
        <v>1978</v>
      </c>
      <c r="R2113" t="s">
        <v>766</v>
      </c>
      <c r="T2113" t="s">
        <v>535</v>
      </c>
      <c r="V2113" t="s">
        <v>225</v>
      </c>
      <c r="W2113" t="s">
        <v>767</v>
      </c>
      <c r="X2113" t="s">
        <v>754</v>
      </c>
      <c r="Y2113" t="s">
        <v>230</v>
      </c>
      <c r="Z2113" t="s">
        <v>2088</v>
      </c>
      <c r="AF2113" t="s">
        <v>1978</v>
      </c>
      <c r="AG2113" t="s">
        <v>142</v>
      </c>
      <c r="AH2113" t="b">
        <v>0</v>
      </c>
    </row>
    <row r="2114" spans="1:34">
      <c r="A2114" t="s">
        <v>1978</v>
      </c>
      <c r="R2114" t="s">
        <v>769</v>
      </c>
      <c r="T2114" t="s">
        <v>280</v>
      </c>
      <c r="V2114" t="s">
        <v>225</v>
      </c>
      <c r="W2114" t="s">
        <v>770</v>
      </c>
      <c r="X2114" t="s">
        <v>754</v>
      </c>
      <c r="Y2114" t="s">
        <v>230</v>
      </c>
      <c r="Z2114" t="s">
        <v>2089</v>
      </c>
      <c r="AF2114" t="s">
        <v>1978</v>
      </c>
      <c r="AG2114" t="s">
        <v>142</v>
      </c>
      <c r="AH2114" t="b">
        <v>0</v>
      </c>
    </row>
    <row r="2115" spans="1:34">
      <c r="A2115" t="s">
        <v>1978</v>
      </c>
      <c r="R2115" t="s">
        <v>772</v>
      </c>
      <c r="T2115" t="s">
        <v>284</v>
      </c>
      <c r="V2115" t="s">
        <v>225</v>
      </c>
      <c r="W2115" t="s">
        <v>773</v>
      </c>
      <c r="X2115" t="s">
        <v>754</v>
      </c>
      <c r="Y2115" t="s">
        <v>230</v>
      </c>
      <c r="Z2115" t="s">
        <v>2090</v>
      </c>
      <c r="AF2115" t="s">
        <v>1978</v>
      </c>
      <c r="AG2115" t="s">
        <v>142</v>
      </c>
      <c r="AH2115" t="b">
        <v>0</v>
      </c>
    </row>
    <row r="2116" spans="1:34">
      <c r="A2116" t="s">
        <v>1978</v>
      </c>
      <c r="R2116" t="s">
        <v>775</v>
      </c>
      <c r="T2116" t="s">
        <v>288</v>
      </c>
      <c r="V2116" t="s">
        <v>225</v>
      </c>
      <c r="W2116" t="s">
        <v>776</v>
      </c>
      <c r="X2116" t="s">
        <v>754</v>
      </c>
      <c r="Y2116" t="s">
        <v>230</v>
      </c>
      <c r="Z2116" t="s">
        <v>2091</v>
      </c>
      <c r="AF2116" t="s">
        <v>1978</v>
      </c>
      <c r="AG2116" t="s">
        <v>142</v>
      </c>
      <c r="AH2116" t="b">
        <v>0</v>
      </c>
    </row>
    <row r="2117" spans="1:34">
      <c r="A2117" t="s">
        <v>1978</v>
      </c>
      <c r="R2117" t="s">
        <v>778</v>
      </c>
      <c r="T2117" t="s">
        <v>381</v>
      </c>
      <c r="V2117" t="s">
        <v>225</v>
      </c>
      <c r="W2117" t="s">
        <v>779</v>
      </c>
      <c r="X2117" t="s">
        <v>754</v>
      </c>
      <c r="Y2117" t="s">
        <v>230</v>
      </c>
      <c r="Z2117" t="s">
        <v>2092</v>
      </c>
      <c r="AF2117" t="s">
        <v>1978</v>
      </c>
      <c r="AG2117" t="s">
        <v>142</v>
      </c>
      <c r="AH2117" t="b">
        <v>0</v>
      </c>
    </row>
    <row r="2118" spans="1:34">
      <c r="A2118" t="s">
        <v>1978</v>
      </c>
      <c r="R2118" t="s">
        <v>781</v>
      </c>
      <c r="T2118" t="s">
        <v>296</v>
      </c>
      <c r="V2118" t="s">
        <v>225</v>
      </c>
      <c r="W2118" t="s">
        <v>782</v>
      </c>
      <c r="X2118" t="s">
        <v>754</v>
      </c>
      <c r="Y2118" t="s">
        <v>230</v>
      </c>
      <c r="Z2118" t="s">
        <v>2093</v>
      </c>
      <c r="AF2118" t="s">
        <v>1978</v>
      </c>
      <c r="AG2118" t="s">
        <v>142</v>
      </c>
      <c r="AH2118" t="b">
        <v>0</v>
      </c>
    </row>
    <row r="2119" spans="1:34">
      <c r="A2119" t="s">
        <v>1978</v>
      </c>
      <c r="R2119" t="s">
        <v>784</v>
      </c>
      <c r="T2119" t="s">
        <v>300</v>
      </c>
      <c r="V2119" t="s">
        <v>225</v>
      </c>
      <c r="W2119" t="s">
        <v>785</v>
      </c>
      <c r="X2119" t="s">
        <v>754</v>
      </c>
      <c r="Y2119" t="s">
        <v>230</v>
      </c>
      <c r="Z2119" t="s">
        <v>2094</v>
      </c>
      <c r="AF2119" t="s">
        <v>1978</v>
      </c>
      <c r="AG2119" t="s">
        <v>142</v>
      </c>
      <c r="AH2119" t="b">
        <v>0</v>
      </c>
    </row>
    <row r="2120" spans="1:34">
      <c r="A2120" t="s">
        <v>1978</v>
      </c>
      <c r="R2120" t="s">
        <v>787</v>
      </c>
      <c r="T2120" t="s">
        <v>557</v>
      </c>
      <c r="V2120" t="s">
        <v>225</v>
      </c>
      <c r="W2120" t="s">
        <v>788</v>
      </c>
      <c r="X2120" t="s">
        <v>754</v>
      </c>
      <c r="Y2120" t="s">
        <v>230</v>
      </c>
      <c r="Z2120" t="s">
        <v>2095</v>
      </c>
      <c r="AF2120" t="s">
        <v>1978</v>
      </c>
      <c r="AG2120" t="s">
        <v>142</v>
      </c>
      <c r="AH2120" t="b">
        <v>0</v>
      </c>
    </row>
    <row r="2121" spans="1:34">
      <c r="A2121" t="s">
        <v>1978</v>
      </c>
      <c r="R2121" t="s">
        <v>790</v>
      </c>
      <c r="T2121" t="s">
        <v>561</v>
      </c>
      <c r="V2121" t="s">
        <v>225</v>
      </c>
      <c r="W2121" t="s">
        <v>791</v>
      </c>
      <c r="X2121" t="s">
        <v>754</v>
      </c>
      <c r="Y2121" t="s">
        <v>230</v>
      </c>
      <c r="Z2121" t="s">
        <v>2096</v>
      </c>
      <c r="AF2121" t="s">
        <v>1978</v>
      </c>
      <c r="AG2121" t="s">
        <v>142</v>
      </c>
      <c r="AH2121" t="b">
        <v>0</v>
      </c>
    </row>
    <row r="2122" spans="1:34">
      <c r="A2122" t="s">
        <v>1978</v>
      </c>
      <c r="R2122" t="s">
        <v>793</v>
      </c>
      <c r="T2122" t="s">
        <v>231</v>
      </c>
      <c r="V2122" t="s">
        <v>225</v>
      </c>
      <c r="W2122" t="s">
        <v>794</v>
      </c>
      <c r="X2122" t="s">
        <v>790</v>
      </c>
      <c r="Y2122" t="s">
        <v>230</v>
      </c>
      <c r="Z2122" t="s">
        <v>2097</v>
      </c>
      <c r="AF2122" t="s">
        <v>1978</v>
      </c>
      <c r="AG2122" t="s">
        <v>142</v>
      </c>
      <c r="AH2122" t="b">
        <v>0</v>
      </c>
    </row>
    <row r="2123" spans="1:34">
      <c r="A2123" t="s">
        <v>1978</v>
      </c>
      <c r="R2123" t="s">
        <v>796</v>
      </c>
      <c r="T2123" t="s">
        <v>236</v>
      </c>
      <c r="V2123" t="s">
        <v>225</v>
      </c>
      <c r="W2123" t="s">
        <v>797</v>
      </c>
      <c r="X2123" t="s">
        <v>790</v>
      </c>
      <c r="Y2123" t="s">
        <v>230</v>
      </c>
      <c r="Z2123" t="s">
        <v>2098</v>
      </c>
      <c r="AF2123" t="s">
        <v>1978</v>
      </c>
      <c r="AG2123" t="s">
        <v>142</v>
      </c>
      <c r="AH2123" t="b">
        <v>0</v>
      </c>
    </row>
    <row r="2124" spans="1:34">
      <c r="A2124" t="s">
        <v>1978</v>
      </c>
      <c r="R2124" t="s">
        <v>799</v>
      </c>
      <c r="T2124" t="s">
        <v>247</v>
      </c>
      <c r="V2124" t="s">
        <v>225</v>
      </c>
      <c r="W2124" t="s">
        <v>800</v>
      </c>
      <c r="X2124" t="s">
        <v>790</v>
      </c>
      <c r="Y2124" t="s">
        <v>230</v>
      </c>
      <c r="Z2124" t="s">
        <v>2099</v>
      </c>
      <c r="AF2124" t="s">
        <v>1978</v>
      </c>
      <c r="AG2124" t="s">
        <v>142</v>
      </c>
      <c r="AH2124" t="b">
        <v>0</v>
      </c>
    </row>
    <row r="2125" spans="1:34">
      <c r="A2125" t="s">
        <v>1978</v>
      </c>
      <c r="R2125" t="s">
        <v>802</v>
      </c>
      <c r="T2125" t="s">
        <v>251</v>
      </c>
      <c r="V2125" t="s">
        <v>225</v>
      </c>
      <c r="W2125" t="s">
        <v>803</v>
      </c>
      <c r="X2125" t="s">
        <v>790</v>
      </c>
      <c r="Y2125" t="s">
        <v>230</v>
      </c>
      <c r="Z2125" t="s">
        <v>2100</v>
      </c>
      <c r="AF2125" t="s">
        <v>1978</v>
      </c>
      <c r="AG2125" t="s">
        <v>142</v>
      </c>
      <c r="AH2125" t="b">
        <v>0</v>
      </c>
    </row>
    <row r="2126" spans="1:34">
      <c r="A2126" t="s">
        <v>1978</v>
      </c>
      <c r="R2126" t="s">
        <v>805</v>
      </c>
      <c r="T2126" t="s">
        <v>255</v>
      </c>
      <c r="V2126" t="s">
        <v>225</v>
      </c>
      <c r="W2126" t="s">
        <v>806</v>
      </c>
      <c r="X2126" t="s">
        <v>790</v>
      </c>
      <c r="Y2126" t="s">
        <v>230</v>
      </c>
      <c r="Z2126" t="s">
        <v>2101</v>
      </c>
      <c r="AF2126" t="s">
        <v>1978</v>
      </c>
      <c r="AG2126" t="s">
        <v>142</v>
      </c>
      <c r="AH2126" t="b">
        <v>0</v>
      </c>
    </row>
    <row r="2127" spans="1:34">
      <c r="A2127" t="s">
        <v>1978</v>
      </c>
      <c r="R2127" t="s">
        <v>808</v>
      </c>
      <c r="T2127" t="s">
        <v>608</v>
      </c>
      <c r="V2127" t="s">
        <v>225</v>
      </c>
      <c r="W2127" t="s">
        <v>809</v>
      </c>
      <c r="X2127" t="s">
        <v>790</v>
      </c>
      <c r="Y2127" t="s">
        <v>230</v>
      </c>
      <c r="Z2127" t="s">
        <v>2102</v>
      </c>
      <c r="AF2127" t="s">
        <v>1978</v>
      </c>
      <c r="AG2127" t="s">
        <v>142</v>
      </c>
      <c r="AH2127" t="b">
        <v>0</v>
      </c>
    </row>
    <row r="2128" spans="1:34">
      <c r="A2128" t="s">
        <v>1978</v>
      </c>
      <c r="R2128" t="s">
        <v>811</v>
      </c>
      <c r="T2128" t="s">
        <v>612</v>
      </c>
      <c r="V2128" t="s">
        <v>225</v>
      </c>
      <c r="W2128" t="s">
        <v>812</v>
      </c>
      <c r="X2128" t="s">
        <v>790</v>
      </c>
      <c r="Y2128" t="s">
        <v>230</v>
      </c>
      <c r="Z2128" t="s">
        <v>2103</v>
      </c>
      <c r="AF2128" t="s">
        <v>1978</v>
      </c>
      <c r="AG2128" t="s">
        <v>142</v>
      </c>
      <c r="AH2128" t="b">
        <v>0</v>
      </c>
    </row>
    <row r="2129" spans="1:34">
      <c r="A2129" t="s">
        <v>1978</v>
      </c>
      <c r="R2129" t="s">
        <v>814</v>
      </c>
      <c r="T2129" t="s">
        <v>373</v>
      </c>
      <c r="V2129" t="s">
        <v>225</v>
      </c>
      <c r="W2129" t="s">
        <v>815</v>
      </c>
      <c r="X2129" t="s">
        <v>790</v>
      </c>
      <c r="Y2129" t="s">
        <v>230</v>
      </c>
      <c r="Z2129" t="s">
        <v>2104</v>
      </c>
      <c r="AF2129" t="s">
        <v>1978</v>
      </c>
      <c r="AG2129" t="s">
        <v>142</v>
      </c>
      <c r="AH2129" t="b">
        <v>0</v>
      </c>
    </row>
    <row r="2130" spans="1:34">
      <c r="A2130" t="s">
        <v>1978</v>
      </c>
      <c r="R2130" t="s">
        <v>817</v>
      </c>
      <c r="T2130" t="s">
        <v>239</v>
      </c>
      <c r="V2130" t="s">
        <v>225</v>
      </c>
      <c r="W2130" t="s">
        <v>818</v>
      </c>
      <c r="X2130" t="s">
        <v>796</v>
      </c>
      <c r="Y2130" t="s">
        <v>230</v>
      </c>
      <c r="Z2130" t="s">
        <v>2105</v>
      </c>
      <c r="AF2130" t="s">
        <v>1978</v>
      </c>
      <c r="AG2130" t="s">
        <v>142</v>
      </c>
      <c r="AH2130" t="b">
        <v>0</v>
      </c>
    </row>
    <row r="2131" spans="1:34">
      <c r="A2131" t="s">
        <v>1978</v>
      </c>
      <c r="R2131" t="s">
        <v>820</v>
      </c>
      <c r="T2131" t="s">
        <v>242</v>
      </c>
      <c r="V2131" t="s">
        <v>225</v>
      </c>
      <c r="W2131" t="s">
        <v>821</v>
      </c>
      <c r="X2131" t="s">
        <v>796</v>
      </c>
      <c r="Y2131" t="s">
        <v>230</v>
      </c>
      <c r="Z2131" t="s">
        <v>2106</v>
      </c>
      <c r="AF2131" t="s">
        <v>1978</v>
      </c>
      <c r="AG2131" t="s">
        <v>142</v>
      </c>
      <c r="AH2131" t="b">
        <v>0</v>
      </c>
    </row>
    <row r="2132" spans="1:34">
      <c r="A2132" t="s">
        <v>1978</v>
      </c>
      <c r="R2132" t="s">
        <v>823</v>
      </c>
      <c r="T2132" t="s">
        <v>430</v>
      </c>
      <c r="V2132" t="s">
        <v>225</v>
      </c>
      <c r="W2132" t="s">
        <v>824</v>
      </c>
      <c r="X2132" t="s">
        <v>796</v>
      </c>
      <c r="Y2132" t="s">
        <v>230</v>
      </c>
      <c r="Z2132" t="s">
        <v>2107</v>
      </c>
      <c r="AF2132" t="s">
        <v>1978</v>
      </c>
      <c r="AG2132" t="s">
        <v>142</v>
      </c>
      <c r="AH2132" t="b">
        <v>0</v>
      </c>
    </row>
    <row r="2133" spans="1:34">
      <c r="A2133" t="s">
        <v>1978</v>
      </c>
      <c r="R2133" t="s">
        <v>826</v>
      </c>
      <c r="T2133" t="s">
        <v>433</v>
      </c>
      <c r="V2133" t="s">
        <v>225</v>
      </c>
      <c r="W2133" t="s">
        <v>827</v>
      </c>
      <c r="X2133" t="s">
        <v>796</v>
      </c>
      <c r="Y2133" t="s">
        <v>230</v>
      </c>
      <c r="Z2133" t="s">
        <v>2108</v>
      </c>
      <c r="AF2133" t="s">
        <v>1978</v>
      </c>
      <c r="AG2133" t="s">
        <v>142</v>
      </c>
      <c r="AH2133" t="b">
        <v>0</v>
      </c>
    </row>
    <row r="2134" spans="1:34">
      <c r="A2134" t="s">
        <v>1978</v>
      </c>
      <c r="R2134" t="s">
        <v>829</v>
      </c>
      <c r="T2134" t="s">
        <v>490</v>
      </c>
      <c r="V2134" t="s">
        <v>225</v>
      </c>
      <c r="W2134" t="s">
        <v>830</v>
      </c>
      <c r="X2134" t="s">
        <v>796</v>
      </c>
      <c r="Y2134" t="s">
        <v>230</v>
      </c>
      <c r="Z2134" t="s">
        <v>2109</v>
      </c>
      <c r="AF2134" t="s">
        <v>1978</v>
      </c>
      <c r="AG2134" t="s">
        <v>142</v>
      </c>
      <c r="AH2134" t="b">
        <v>0</v>
      </c>
    </row>
    <row r="2135" spans="1:34">
      <c r="A2135" t="s">
        <v>1978</v>
      </c>
      <c r="R2135" t="s">
        <v>832</v>
      </c>
      <c r="T2135" t="s">
        <v>494</v>
      </c>
      <c r="V2135" t="s">
        <v>225</v>
      </c>
      <c r="W2135" t="s">
        <v>833</v>
      </c>
      <c r="X2135" t="s">
        <v>796</v>
      </c>
      <c r="Y2135" t="s">
        <v>230</v>
      </c>
      <c r="Z2135" t="s">
        <v>2110</v>
      </c>
      <c r="AF2135" t="s">
        <v>1978</v>
      </c>
      <c r="AG2135" t="s">
        <v>142</v>
      </c>
      <c r="AH2135" t="b">
        <v>0</v>
      </c>
    </row>
    <row r="2136" spans="1:34">
      <c r="A2136" t="s">
        <v>1978</v>
      </c>
      <c r="R2136" t="s">
        <v>835</v>
      </c>
      <c r="T2136" t="s">
        <v>436</v>
      </c>
      <c r="V2136" t="s">
        <v>225</v>
      </c>
      <c r="W2136" t="s">
        <v>836</v>
      </c>
      <c r="X2136" t="s">
        <v>796</v>
      </c>
      <c r="Y2136" t="s">
        <v>230</v>
      </c>
      <c r="Z2136" t="s">
        <v>2111</v>
      </c>
      <c r="AF2136" t="s">
        <v>1978</v>
      </c>
      <c r="AG2136" t="s">
        <v>142</v>
      </c>
      <c r="AH2136" t="b">
        <v>0</v>
      </c>
    </row>
    <row r="2137" spans="1:34">
      <c r="A2137" t="s">
        <v>1978</v>
      </c>
      <c r="R2137" t="s">
        <v>838</v>
      </c>
      <c r="T2137" t="s">
        <v>451</v>
      </c>
      <c r="V2137" t="s">
        <v>225</v>
      </c>
      <c r="W2137" t="s">
        <v>839</v>
      </c>
      <c r="X2137" t="s">
        <v>796</v>
      </c>
      <c r="Y2137" t="s">
        <v>230</v>
      </c>
      <c r="Z2137" t="s">
        <v>2112</v>
      </c>
      <c r="AF2137" t="s">
        <v>1978</v>
      </c>
      <c r="AG2137" t="s">
        <v>142</v>
      </c>
      <c r="AH2137" t="b">
        <v>0</v>
      </c>
    </row>
    <row r="2138" spans="1:34">
      <c r="A2138" t="s">
        <v>1978</v>
      </c>
      <c r="R2138" t="s">
        <v>841</v>
      </c>
      <c r="T2138" t="s">
        <v>595</v>
      </c>
      <c r="V2138" t="s">
        <v>225</v>
      </c>
      <c r="W2138" t="s">
        <v>842</v>
      </c>
      <c r="X2138" t="s">
        <v>796</v>
      </c>
      <c r="Y2138" t="s">
        <v>230</v>
      </c>
      <c r="Z2138" t="s">
        <v>2113</v>
      </c>
      <c r="AF2138" t="s">
        <v>1978</v>
      </c>
      <c r="AG2138" t="s">
        <v>142</v>
      </c>
      <c r="AH2138" t="b">
        <v>0</v>
      </c>
    </row>
    <row r="2139" spans="1:34">
      <c r="A2139" t="s">
        <v>1978</v>
      </c>
      <c r="R2139" t="s">
        <v>844</v>
      </c>
      <c r="T2139" t="s">
        <v>847</v>
      </c>
      <c r="V2139" t="s">
        <v>225</v>
      </c>
      <c r="W2139" t="s">
        <v>846</v>
      </c>
      <c r="X2139" t="s">
        <v>227</v>
      </c>
      <c r="Y2139" t="s">
        <v>230</v>
      </c>
      <c r="Z2139" t="s">
        <v>1938</v>
      </c>
      <c r="AF2139" t="s">
        <v>1978</v>
      </c>
      <c r="AG2139" t="s">
        <v>142</v>
      </c>
      <c r="AH2139" t="b">
        <v>0</v>
      </c>
    </row>
    <row r="2140" spans="1:34">
      <c r="A2140" t="s">
        <v>1978</v>
      </c>
      <c r="R2140" t="s">
        <v>849</v>
      </c>
      <c r="T2140" t="s">
        <v>852</v>
      </c>
      <c r="V2140" t="s">
        <v>225</v>
      </c>
      <c r="W2140" t="s">
        <v>851</v>
      </c>
      <c r="X2140" t="s">
        <v>227</v>
      </c>
      <c r="Y2140" t="s">
        <v>230</v>
      </c>
      <c r="Z2140" t="s">
        <v>1900</v>
      </c>
      <c r="AF2140" t="s">
        <v>1978</v>
      </c>
      <c r="AG2140" t="s">
        <v>142</v>
      </c>
      <c r="AH2140" t="b">
        <v>0</v>
      </c>
    </row>
    <row r="2141" spans="1:34">
      <c r="A2141" t="s">
        <v>1978</v>
      </c>
      <c r="R2141" t="s">
        <v>854</v>
      </c>
      <c r="T2141" t="s">
        <v>857</v>
      </c>
      <c r="V2141" t="s">
        <v>225</v>
      </c>
      <c r="W2141" t="s">
        <v>856</v>
      </c>
      <c r="X2141" t="s">
        <v>227</v>
      </c>
      <c r="Y2141" t="s">
        <v>230</v>
      </c>
      <c r="Z2141" t="s">
        <v>1901</v>
      </c>
      <c r="AF2141" t="s">
        <v>1978</v>
      </c>
      <c r="AG2141" t="s">
        <v>142</v>
      </c>
      <c r="AH2141" t="b">
        <v>0</v>
      </c>
    </row>
    <row r="2142" spans="1:34">
      <c r="A2142" t="s">
        <v>1978</v>
      </c>
      <c r="R2142" t="s">
        <v>859</v>
      </c>
      <c r="T2142" t="s">
        <v>862</v>
      </c>
      <c r="V2142" t="s">
        <v>225</v>
      </c>
      <c r="W2142" t="s">
        <v>861</v>
      </c>
      <c r="X2142" t="s">
        <v>227</v>
      </c>
      <c r="Y2142" t="s">
        <v>230</v>
      </c>
      <c r="Z2142" t="s">
        <v>1939</v>
      </c>
      <c r="AF2142" t="s">
        <v>1978</v>
      </c>
      <c r="AG2142" t="s">
        <v>142</v>
      </c>
      <c r="AH2142" t="b">
        <v>0</v>
      </c>
    </row>
    <row r="2143" spans="1:34">
      <c r="A2143" t="s">
        <v>1978</v>
      </c>
      <c r="R2143" t="s">
        <v>864</v>
      </c>
      <c r="T2143" t="s">
        <v>867</v>
      </c>
      <c r="V2143" t="s">
        <v>225</v>
      </c>
      <c r="W2143" t="s">
        <v>866</v>
      </c>
      <c r="X2143" t="s">
        <v>227</v>
      </c>
      <c r="Y2143" t="s">
        <v>230</v>
      </c>
      <c r="Z2143" t="s">
        <v>1902</v>
      </c>
      <c r="AF2143" t="s">
        <v>1978</v>
      </c>
      <c r="AG2143" t="s">
        <v>142</v>
      </c>
      <c r="AH2143" t="b">
        <v>0</v>
      </c>
    </row>
    <row r="2144" spans="1:34">
      <c r="A2144" t="s">
        <v>1978</v>
      </c>
      <c r="R2144" t="s">
        <v>869</v>
      </c>
      <c r="T2144" t="s">
        <v>871</v>
      </c>
      <c r="V2144" t="s">
        <v>225</v>
      </c>
      <c r="W2144" t="s">
        <v>870</v>
      </c>
      <c r="X2144" t="s">
        <v>227</v>
      </c>
      <c r="Y2144" t="s">
        <v>230</v>
      </c>
      <c r="Z2144" t="s">
        <v>2114</v>
      </c>
      <c r="AF2144" t="s">
        <v>1978</v>
      </c>
      <c r="AG2144" t="s">
        <v>142</v>
      </c>
      <c r="AH2144" t="b">
        <v>0</v>
      </c>
    </row>
    <row r="2145" spans="1:34">
      <c r="A2145" t="s">
        <v>1978</v>
      </c>
      <c r="R2145" t="s">
        <v>873</v>
      </c>
      <c r="T2145" t="s">
        <v>875</v>
      </c>
      <c r="V2145" t="s">
        <v>225</v>
      </c>
      <c r="W2145" t="s">
        <v>874</v>
      </c>
      <c r="X2145" t="s">
        <v>227</v>
      </c>
      <c r="Y2145" t="s">
        <v>230</v>
      </c>
      <c r="Z2145" t="s">
        <v>2115</v>
      </c>
      <c r="AF2145" t="s">
        <v>1978</v>
      </c>
      <c r="AG2145" t="s">
        <v>142</v>
      </c>
      <c r="AH2145" t="b">
        <v>0</v>
      </c>
    </row>
    <row r="2146" spans="1:34">
      <c r="A2146" t="s">
        <v>1978</v>
      </c>
      <c r="R2146" t="s">
        <v>877</v>
      </c>
      <c r="T2146" t="s">
        <v>880</v>
      </c>
      <c r="V2146" t="s">
        <v>225</v>
      </c>
      <c r="W2146" t="s">
        <v>879</v>
      </c>
      <c r="X2146" t="s">
        <v>227</v>
      </c>
      <c r="Y2146" t="s">
        <v>230</v>
      </c>
      <c r="Z2146" t="s">
        <v>1903</v>
      </c>
      <c r="AF2146" t="s">
        <v>1978</v>
      </c>
      <c r="AG2146" t="s">
        <v>142</v>
      </c>
      <c r="AH2146" t="b">
        <v>0</v>
      </c>
    </row>
    <row r="2147" spans="1:34">
      <c r="A2147" t="s">
        <v>1978</v>
      </c>
      <c r="R2147" t="s">
        <v>882</v>
      </c>
      <c r="T2147" t="s">
        <v>885</v>
      </c>
      <c r="V2147" t="s">
        <v>225</v>
      </c>
      <c r="W2147" t="s">
        <v>884</v>
      </c>
      <c r="X2147" t="s">
        <v>227</v>
      </c>
      <c r="Y2147" t="s">
        <v>230</v>
      </c>
      <c r="Z2147" t="s">
        <v>1904</v>
      </c>
      <c r="AF2147" t="s">
        <v>1978</v>
      </c>
      <c r="AG2147" t="s">
        <v>142</v>
      </c>
      <c r="AH2147" t="b">
        <v>0</v>
      </c>
    </row>
    <row r="2148" spans="1:34">
      <c r="A2148" t="s">
        <v>1978</v>
      </c>
      <c r="R2148" t="s">
        <v>887</v>
      </c>
      <c r="T2148" t="s">
        <v>890</v>
      </c>
      <c r="V2148" t="s">
        <v>225</v>
      </c>
      <c r="W2148" t="s">
        <v>889</v>
      </c>
      <c r="X2148" t="s">
        <v>227</v>
      </c>
      <c r="Y2148" t="s">
        <v>230</v>
      </c>
      <c r="Z2148" t="s">
        <v>1905</v>
      </c>
      <c r="AF2148" t="s">
        <v>1978</v>
      </c>
      <c r="AG2148" t="s">
        <v>142</v>
      </c>
      <c r="AH2148" t="b">
        <v>0</v>
      </c>
    </row>
    <row r="2149" spans="1:34">
      <c r="A2149" t="s">
        <v>1978</v>
      </c>
      <c r="R2149" t="s">
        <v>892</v>
      </c>
      <c r="T2149" t="s">
        <v>895</v>
      </c>
      <c r="V2149" t="s">
        <v>225</v>
      </c>
      <c r="W2149" t="s">
        <v>894</v>
      </c>
      <c r="X2149" t="s">
        <v>227</v>
      </c>
      <c r="Y2149" t="s">
        <v>230</v>
      </c>
      <c r="Z2149" t="s">
        <v>1940</v>
      </c>
      <c r="AF2149" t="s">
        <v>1978</v>
      </c>
      <c r="AG2149" t="s">
        <v>142</v>
      </c>
      <c r="AH2149" t="b">
        <v>0</v>
      </c>
    </row>
    <row r="2150" spans="1:34">
      <c r="A2150" t="s">
        <v>1978</v>
      </c>
      <c r="R2150" t="s">
        <v>897</v>
      </c>
      <c r="T2150" t="s">
        <v>899</v>
      </c>
      <c r="V2150" t="s">
        <v>225</v>
      </c>
      <c r="W2150" t="s">
        <v>898</v>
      </c>
      <c r="X2150" t="s">
        <v>520</v>
      </c>
      <c r="Y2150" t="s">
        <v>230</v>
      </c>
      <c r="Z2150" t="s">
        <v>2116</v>
      </c>
      <c r="AF2150" t="s">
        <v>1978</v>
      </c>
      <c r="AG2150" t="s">
        <v>142</v>
      </c>
      <c r="AH2150" t="b">
        <v>0</v>
      </c>
    </row>
    <row r="2151" spans="1:34">
      <c r="A2151" t="s">
        <v>1978</v>
      </c>
      <c r="R2151" t="s">
        <v>901</v>
      </c>
      <c r="T2151" t="s">
        <v>904</v>
      </c>
      <c r="V2151" t="s">
        <v>225</v>
      </c>
      <c r="W2151" t="s">
        <v>903</v>
      </c>
      <c r="X2151" t="s">
        <v>227</v>
      </c>
      <c r="Y2151" t="s">
        <v>230</v>
      </c>
      <c r="Z2151" t="s">
        <v>1941</v>
      </c>
      <c r="AF2151" t="s">
        <v>1978</v>
      </c>
      <c r="AG2151" t="s">
        <v>142</v>
      </c>
      <c r="AH2151" t="b">
        <v>0</v>
      </c>
    </row>
    <row r="2152" spans="1:34">
      <c r="A2152" t="s">
        <v>1978</v>
      </c>
      <c r="R2152" t="s">
        <v>906</v>
      </c>
      <c r="T2152" t="s">
        <v>909</v>
      </c>
      <c r="V2152" t="s">
        <v>225</v>
      </c>
      <c r="W2152" t="s">
        <v>908</v>
      </c>
      <c r="X2152" t="s">
        <v>227</v>
      </c>
      <c r="Y2152" t="s">
        <v>230</v>
      </c>
      <c r="Z2152" t="s">
        <v>1906</v>
      </c>
      <c r="AF2152" t="s">
        <v>1978</v>
      </c>
      <c r="AG2152" t="s">
        <v>142</v>
      </c>
      <c r="AH2152" t="b">
        <v>0</v>
      </c>
    </row>
    <row r="2153" spans="1:34">
      <c r="A2153" t="s">
        <v>1978</v>
      </c>
      <c r="R2153" t="s">
        <v>911</v>
      </c>
      <c r="T2153" t="s">
        <v>914</v>
      </c>
      <c r="V2153" t="s">
        <v>225</v>
      </c>
      <c r="W2153" t="s">
        <v>913</v>
      </c>
      <c r="X2153" t="s">
        <v>227</v>
      </c>
      <c r="Y2153" t="s">
        <v>230</v>
      </c>
      <c r="Z2153" t="s">
        <v>1942</v>
      </c>
      <c r="AF2153" t="s">
        <v>1978</v>
      </c>
      <c r="AG2153" t="s">
        <v>142</v>
      </c>
      <c r="AH2153" t="b">
        <v>0</v>
      </c>
    </row>
    <row r="2154" spans="1:34">
      <c r="A2154" t="s">
        <v>1978</v>
      </c>
      <c r="R2154" t="s">
        <v>916</v>
      </c>
      <c r="T2154" t="s">
        <v>919</v>
      </c>
      <c r="V2154" t="s">
        <v>225</v>
      </c>
      <c r="W2154" t="s">
        <v>918</v>
      </c>
      <c r="X2154" t="s">
        <v>227</v>
      </c>
      <c r="Y2154" t="s">
        <v>230</v>
      </c>
      <c r="Z2154" t="s">
        <v>1907</v>
      </c>
      <c r="AF2154" t="s">
        <v>1978</v>
      </c>
      <c r="AG2154" t="s">
        <v>142</v>
      </c>
      <c r="AH2154" t="b">
        <v>0</v>
      </c>
    </row>
    <row r="2155" spans="1:34">
      <c r="A2155" t="s">
        <v>1978</v>
      </c>
      <c r="R2155" t="s">
        <v>921</v>
      </c>
      <c r="T2155" t="s">
        <v>924</v>
      </c>
      <c r="V2155" t="s">
        <v>225</v>
      </c>
      <c r="W2155" t="s">
        <v>923</v>
      </c>
      <c r="X2155" t="s">
        <v>227</v>
      </c>
      <c r="Y2155" t="s">
        <v>230</v>
      </c>
      <c r="Z2155" t="s">
        <v>1908</v>
      </c>
      <c r="AF2155" t="s">
        <v>1978</v>
      </c>
      <c r="AG2155" t="s">
        <v>142</v>
      </c>
      <c r="AH2155" t="b">
        <v>0</v>
      </c>
    </row>
    <row r="2156" spans="1:34">
      <c r="A2156" t="s">
        <v>1978</v>
      </c>
      <c r="R2156" t="s">
        <v>926</v>
      </c>
      <c r="T2156" t="s">
        <v>929</v>
      </c>
      <c r="V2156" t="s">
        <v>225</v>
      </c>
      <c r="W2156" t="s">
        <v>928</v>
      </c>
      <c r="X2156" t="s">
        <v>227</v>
      </c>
      <c r="Y2156" t="s">
        <v>230</v>
      </c>
      <c r="Z2156" t="s">
        <v>1909</v>
      </c>
      <c r="AF2156" t="s">
        <v>1978</v>
      </c>
      <c r="AG2156" t="s">
        <v>142</v>
      </c>
      <c r="AH2156" t="b">
        <v>0</v>
      </c>
    </row>
    <row r="2157" spans="1:34">
      <c r="A2157" t="s">
        <v>1978</v>
      </c>
      <c r="R2157" t="s">
        <v>931</v>
      </c>
      <c r="T2157" t="s">
        <v>934</v>
      </c>
      <c r="V2157" t="s">
        <v>225</v>
      </c>
      <c r="W2157" t="s">
        <v>933</v>
      </c>
      <c r="X2157" t="s">
        <v>227</v>
      </c>
      <c r="Y2157" t="s">
        <v>230</v>
      </c>
      <c r="Z2157" t="s">
        <v>1910</v>
      </c>
      <c r="AF2157" t="s">
        <v>1978</v>
      </c>
      <c r="AG2157" t="s">
        <v>142</v>
      </c>
      <c r="AH2157" t="b">
        <v>0</v>
      </c>
    </row>
    <row r="2158" spans="1:34">
      <c r="A2158" t="s">
        <v>1978</v>
      </c>
      <c r="R2158" t="s">
        <v>936</v>
      </c>
      <c r="T2158" t="s">
        <v>939</v>
      </c>
      <c r="V2158" t="s">
        <v>225</v>
      </c>
      <c r="W2158" t="s">
        <v>938</v>
      </c>
      <c r="X2158" t="s">
        <v>227</v>
      </c>
      <c r="Y2158" t="s">
        <v>230</v>
      </c>
      <c r="Z2158" t="s">
        <v>1944</v>
      </c>
      <c r="AF2158" t="s">
        <v>1978</v>
      </c>
      <c r="AG2158" t="s">
        <v>142</v>
      </c>
      <c r="AH2158" t="b">
        <v>0</v>
      </c>
    </row>
    <row r="2159" spans="1:34">
      <c r="A2159" t="s">
        <v>1978</v>
      </c>
      <c r="R2159" t="s">
        <v>941</v>
      </c>
      <c r="T2159" t="s">
        <v>944</v>
      </c>
      <c r="V2159" t="s">
        <v>225</v>
      </c>
      <c r="W2159" t="s">
        <v>943</v>
      </c>
      <c r="X2159" t="s">
        <v>227</v>
      </c>
      <c r="Y2159" t="s">
        <v>230</v>
      </c>
      <c r="Z2159" t="s">
        <v>1945</v>
      </c>
      <c r="AF2159" t="s">
        <v>1978</v>
      </c>
      <c r="AG2159" t="s">
        <v>142</v>
      </c>
      <c r="AH2159" t="b">
        <v>0</v>
      </c>
    </row>
    <row r="2160" spans="1:34">
      <c r="A2160" t="s">
        <v>1978</v>
      </c>
      <c r="R2160" t="s">
        <v>946</v>
      </c>
      <c r="T2160" t="s">
        <v>949</v>
      </c>
      <c r="V2160" t="s">
        <v>225</v>
      </c>
      <c r="W2160" t="s">
        <v>948</v>
      </c>
      <c r="X2160" t="s">
        <v>227</v>
      </c>
      <c r="Y2160" t="s">
        <v>230</v>
      </c>
      <c r="Z2160" t="s">
        <v>1911</v>
      </c>
      <c r="AF2160" t="s">
        <v>1978</v>
      </c>
      <c r="AG2160" t="s">
        <v>142</v>
      </c>
      <c r="AH2160" t="b">
        <v>0</v>
      </c>
    </row>
    <row r="2161" spans="1:34">
      <c r="A2161" t="s">
        <v>1978</v>
      </c>
      <c r="R2161" t="s">
        <v>951</v>
      </c>
      <c r="T2161" t="s">
        <v>954</v>
      </c>
      <c r="V2161" t="s">
        <v>225</v>
      </c>
      <c r="W2161" t="s">
        <v>953</v>
      </c>
      <c r="X2161" t="s">
        <v>227</v>
      </c>
      <c r="Y2161" t="s">
        <v>230</v>
      </c>
      <c r="Z2161" t="s">
        <v>1912</v>
      </c>
      <c r="AF2161" t="s">
        <v>1978</v>
      </c>
      <c r="AG2161" t="s">
        <v>142</v>
      </c>
      <c r="AH2161" t="b">
        <v>0</v>
      </c>
    </row>
    <row r="2162" spans="1:34">
      <c r="A2162" t="s">
        <v>1978</v>
      </c>
      <c r="R2162" t="s">
        <v>956</v>
      </c>
      <c r="T2162" t="s">
        <v>959</v>
      </c>
      <c r="V2162" t="s">
        <v>225</v>
      </c>
      <c r="W2162" t="s">
        <v>958</v>
      </c>
      <c r="X2162" t="s">
        <v>227</v>
      </c>
      <c r="Y2162" t="s">
        <v>230</v>
      </c>
      <c r="Z2162" t="s">
        <v>1913</v>
      </c>
      <c r="AF2162" t="s">
        <v>1978</v>
      </c>
      <c r="AG2162" t="s">
        <v>142</v>
      </c>
      <c r="AH2162" t="b">
        <v>0</v>
      </c>
    </row>
    <row r="2163" spans="1:34">
      <c r="A2163" t="s">
        <v>1978</v>
      </c>
      <c r="R2163" t="s">
        <v>961</v>
      </c>
      <c r="T2163" t="s">
        <v>964</v>
      </c>
      <c r="V2163" t="s">
        <v>225</v>
      </c>
      <c r="W2163" t="s">
        <v>963</v>
      </c>
      <c r="X2163" t="s">
        <v>227</v>
      </c>
      <c r="Y2163" t="s">
        <v>230</v>
      </c>
      <c r="Z2163" t="s">
        <v>1946</v>
      </c>
      <c r="AF2163" t="s">
        <v>1978</v>
      </c>
      <c r="AG2163" t="s">
        <v>142</v>
      </c>
      <c r="AH2163" t="b">
        <v>0</v>
      </c>
    </row>
    <row r="2164" spans="1:34">
      <c r="A2164" t="s">
        <v>1978</v>
      </c>
      <c r="R2164" t="s">
        <v>966</v>
      </c>
      <c r="T2164" t="s">
        <v>969</v>
      </c>
      <c r="V2164" t="s">
        <v>225</v>
      </c>
      <c r="W2164" t="s">
        <v>968</v>
      </c>
      <c r="X2164" t="s">
        <v>227</v>
      </c>
      <c r="Y2164" t="s">
        <v>230</v>
      </c>
      <c r="Z2164" t="s">
        <v>1914</v>
      </c>
      <c r="AF2164" t="s">
        <v>1978</v>
      </c>
      <c r="AG2164" t="s">
        <v>142</v>
      </c>
      <c r="AH2164" t="b">
        <v>0</v>
      </c>
    </row>
    <row r="2165" spans="1:34">
      <c r="A2165" t="s">
        <v>1978</v>
      </c>
      <c r="R2165" t="s">
        <v>971</v>
      </c>
      <c r="T2165" t="s">
        <v>974</v>
      </c>
      <c r="V2165" t="s">
        <v>225</v>
      </c>
      <c r="W2165" t="s">
        <v>973</v>
      </c>
      <c r="X2165" t="s">
        <v>227</v>
      </c>
      <c r="Y2165" t="s">
        <v>230</v>
      </c>
      <c r="Z2165" t="s">
        <v>1947</v>
      </c>
      <c r="AF2165" t="s">
        <v>1978</v>
      </c>
      <c r="AG2165" t="s">
        <v>142</v>
      </c>
      <c r="AH2165" t="b">
        <v>0</v>
      </c>
    </row>
    <row r="2166" spans="1:34">
      <c r="A2166" t="s">
        <v>1978</v>
      </c>
      <c r="R2166" t="s">
        <v>976</v>
      </c>
      <c r="T2166" t="s">
        <v>979</v>
      </c>
      <c r="V2166" t="s">
        <v>225</v>
      </c>
      <c r="W2166" t="s">
        <v>978</v>
      </c>
      <c r="X2166" t="s">
        <v>227</v>
      </c>
      <c r="Y2166" t="s">
        <v>230</v>
      </c>
      <c r="Z2166" t="s">
        <v>1943</v>
      </c>
      <c r="AF2166" t="s">
        <v>1978</v>
      </c>
      <c r="AG2166" t="s">
        <v>142</v>
      </c>
      <c r="AH2166" t="b">
        <v>0</v>
      </c>
    </row>
    <row r="2167" spans="1:34">
      <c r="A2167" t="s">
        <v>1978</v>
      </c>
      <c r="R2167" t="s">
        <v>981</v>
      </c>
      <c r="T2167" t="s">
        <v>984</v>
      </c>
      <c r="V2167" t="s">
        <v>225</v>
      </c>
      <c r="W2167" t="s">
        <v>983</v>
      </c>
      <c r="X2167" t="s">
        <v>227</v>
      </c>
      <c r="Y2167" t="s">
        <v>230</v>
      </c>
      <c r="Z2167" t="s">
        <v>1948</v>
      </c>
      <c r="AF2167" t="s">
        <v>1978</v>
      </c>
      <c r="AG2167" t="s">
        <v>142</v>
      </c>
      <c r="AH2167" t="b">
        <v>0</v>
      </c>
    </row>
    <row r="2168" spans="1:34">
      <c r="A2168" t="s">
        <v>1978</v>
      </c>
      <c r="R2168" t="s">
        <v>986</v>
      </c>
      <c r="T2168" t="s">
        <v>989</v>
      </c>
      <c r="V2168" t="s">
        <v>225</v>
      </c>
      <c r="W2168" t="s">
        <v>988</v>
      </c>
      <c r="X2168" t="s">
        <v>227</v>
      </c>
      <c r="Y2168" t="s">
        <v>230</v>
      </c>
      <c r="Z2168" t="s">
        <v>1915</v>
      </c>
      <c r="AF2168" t="s">
        <v>1978</v>
      </c>
      <c r="AG2168" t="s">
        <v>142</v>
      </c>
      <c r="AH2168" t="b">
        <v>0</v>
      </c>
    </row>
    <row r="2169" spans="1:34">
      <c r="A2169" t="s">
        <v>1978</v>
      </c>
      <c r="R2169" t="s">
        <v>991</v>
      </c>
      <c r="T2169" t="s">
        <v>994</v>
      </c>
      <c r="V2169" t="s">
        <v>225</v>
      </c>
      <c r="W2169" t="s">
        <v>993</v>
      </c>
      <c r="X2169" t="s">
        <v>227</v>
      </c>
      <c r="Y2169" t="s">
        <v>230</v>
      </c>
      <c r="Z2169" t="s">
        <v>1916</v>
      </c>
      <c r="AF2169" t="s">
        <v>1978</v>
      </c>
      <c r="AG2169" t="s">
        <v>142</v>
      </c>
      <c r="AH2169" t="b">
        <v>0</v>
      </c>
    </row>
    <row r="2170" spans="1:34">
      <c r="A2170" t="s">
        <v>1978</v>
      </c>
      <c r="R2170" t="s">
        <v>996</v>
      </c>
      <c r="T2170" t="s">
        <v>999</v>
      </c>
      <c r="V2170" t="s">
        <v>225</v>
      </c>
      <c r="W2170" t="s">
        <v>998</v>
      </c>
      <c r="X2170" t="s">
        <v>227</v>
      </c>
      <c r="Y2170" t="s">
        <v>230</v>
      </c>
      <c r="Z2170" t="s">
        <v>1917</v>
      </c>
      <c r="AF2170" t="s">
        <v>1978</v>
      </c>
      <c r="AG2170" t="s">
        <v>142</v>
      </c>
      <c r="AH2170" t="b">
        <v>0</v>
      </c>
    </row>
    <row r="2171" spans="1:34">
      <c r="A2171" t="s">
        <v>1978</v>
      </c>
      <c r="R2171" t="s">
        <v>1001</v>
      </c>
      <c r="T2171" t="s">
        <v>1004</v>
      </c>
      <c r="V2171" t="s">
        <v>225</v>
      </c>
      <c r="W2171" t="s">
        <v>1003</v>
      </c>
      <c r="X2171" t="s">
        <v>227</v>
      </c>
      <c r="Y2171" t="s">
        <v>230</v>
      </c>
      <c r="Z2171" t="s">
        <v>1949</v>
      </c>
      <c r="AF2171" t="s">
        <v>1978</v>
      </c>
      <c r="AG2171" t="s">
        <v>142</v>
      </c>
      <c r="AH2171" t="b">
        <v>0</v>
      </c>
    </row>
    <row r="2172" spans="1:34">
      <c r="A2172" t="s">
        <v>1978</v>
      </c>
      <c r="R2172" t="s">
        <v>1006</v>
      </c>
      <c r="T2172" t="s">
        <v>1009</v>
      </c>
      <c r="V2172" t="s">
        <v>225</v>
      </c>
      <c r="W2172" t="s">
        <v>1008</v>
      </c>
      <c r="X2172" t="s">
        <v>227</v>
      </c>
      <c r="Y2172" t="s">
        <v>230</v>
      </c>
      <c r="Z2172" t="s">
        <v>1950</v>
      </c>
      <c r="AF2172" t="s">
        <v>1978</v>
      </c>
      <c r="AG2172" t="s">
        <v>142</v>
      </c>
      <c r="AH2172" t="b">
        <v>0</v>
      </c>
    </row>
    <row r="2173" spans="1:34">
      <c r="A2173" t="s">
        <v>1978</v>
      </c>
      <c r="R2173" t="s">
        <v>1011</v>
      </c>
      <c r="T2173" t="s">
        <v>1014</v>
      </c>
      <c r="V2173" t="s">
        <v>225</v>
      </c>
      <c r="W2173" t="s">
        <v>1013</v>
      </c>
      <c r="X2173" t="s">
        <v>227</v>
      </c>
      <c r="Y2173" t="s">
        <v>230</v>
      </c>
      <c r="Z2173" t="s">
        <v>1918</v>
      </c>
      <c r="AF2173" t="s">
        <v>1978</v>
      </c>
      <c r="AG2173" t="s">
        <v>142</v>
      </c>
      <c r="AH2173" t="b">
        <v>0</v>
      </c>
    </row>
    <row r="2174" spans="1:34">
      <c r="A2174" t="s">
        <v>1978</v>
      </c>
      <c r="R2174" t="s">
        <v>1016</v>
      </c>
      <c r="T2174" t="s">
        <v>1019</v>
      </c>
      <c r="V2174" t="s">
        <v>225</v>
      </c>
      <c r="W2174" t="s">
        <v>1018</v>
      </c>
      <c r="X2174" t="s">
        <v>227</v>
      </c>
      <c r="Y2174" t="s">
        <v>230</v>
      </c>
      <c r="Z2174" t="s">
        <v>1951</v>
      </c>
      <c r="AF2174" t="s">
        <v>1978</v>
      </c>
      <c r="AG2174" t="s">
        <v>142</v>
      </c>
      <c r="AH2174" t="b">
        <v>0</v>
      </c>
    </row>
    <row r="2175" spans="1:34">
      <c r="A2175" t="s">
        <v>1978</v>
      </c>
      <c r="R2175" t="s">
        <v>1021</v>
      </c>
      <c r="T2175" t="s">
        <v>1023</v>
      </c>
      <c r="V2175" t="s">
        <v>225</v>
      </c>
      <c r="W2175" t="s">
        <v>1022</v>
      </c>
      <c r="X2175" t="s">
        <v>227</v>
      </c>
      <c r="Y2175" t="s">
        <v>230</v>
      </c>
      <c r="Z2175" t="s">
        <v>2117</v>
      </c>
      <c r="AF2175" t="s">
        <v>1978</v>
      </c>
      <c r="AG2175" t="s">
        <v>142</v>
      </c>
      <c r="AH2175" t="b">
        <v>0</v>
      </c>
    </row>
    <row r="2176" spans="1:34">
      <c r="A2176" t="s">
        <v>1978</v>
      </c>
      <c r="R2176" t="s">
        <v>1025</v>
      </c>
      <c r="T2176" t="s">
        <v>1028</v>
      </c>
      <c r="V2176" t="s">
        <v>225</v>
      </c>
      <c r="W2176" t="s">
        <v>1027</v>
      </c>
      <c r="X2176" t="s">
        <v>227</v>
      </c>
      <c r="Y2176" t="s">
        <v>230</v>
      </c>
      <c r="Z2176" t="s">
        <v>1919</v>
      </c>
      <c r="AF2176" t="s">
        <v>1978</v>
      </c>
      <c r="AG2176" t="s">
        <v>142</v>
      </c>
      <c r="AH2176" t="b">
        <v>0</v>
      </c>
    </row>
    <row r="2177" spans="1:34">
      <c r="A2177" t="s">
        <v>1978</v>
      </c>
      <c r="R2177" t="s">
        <v>1030</v>
      </c>
      <c r="T2177" t="s">
        <v>1033</v>
      </c>
      <c r="V2177" t="s">
        <v>225</v>
      </c>
      <c r="W2177" t="s">
        <v>1032</v>
      </c>
      <c r="X2177" t="s">
        <v>227</v>
      </c>
      <c r="Y2177" t="s">
        <v>230</v>
      </c>
      <c r="Z2177" t="s">
        <v>1920</v>
      </c>
      <c r="AF2177" t="s">
        <v>1978</v>
      </c>
      <c r="AG2177" t="s">
        <v>142</v>
      </c>
      <c r="AH2177" t="b">
        <v>0</v>
      </c>
    </row>
    <row r="2178" spans="1:34">
      <c r="A2178" t="s">
        <v>1978</v>
      </c>
      <c r="R2178" t="s">
        <v>1035</v>
      </c>
      <c r="T2178" t="s">
        <v>1038</v>
      </c>
      <c r="V2178" t="s">
        <v>225</v>
      </c>
      <c r="W2178" t="s">
        <v>1037</v>
      </c>
      <c r="X2178" t="s">
        <v>227</v>
      </c>
      <c r="Y2178" t="s">
        <v>230</v>
      </c>
      <c r="Z2178" t="s">
        <v>1952</v>
      </c>
      <c r="AF2178" t="s">
        <v>1978</v>
      </c>
      <c r="AG2178" t="s">
        <v>142</v>
      </c>
      <c r="AH2178" t="b">
        <v>0</v>
      </c>
    </row>
    <row r="2179" spans="1:34">
      <c r="A2179" t="s">
        <v>1978</v>
      </c>
      <c r="R2179" t="s">
        <v>1040</v>
      </c>
      <c r="T2179" t="s">
        <v>639</v>
      </c>
      <c r="V2179" t="s">
        <v>225</v>
      </c>
      <c r="W2179" t="s">
        <v>1042</v>
      </c>
      <c r="X2179" t="s">
        <v>227</v>
      </c>
      <c r="Y2179" t="s">
        <v>230</v>
      </c>
      <c r="Z2179" t="s">
        <v>1953</v>
      </c>
      <c r="AF2179" t="s">
        <v>1978</v>
      </c>
      <c r="AG2179" t="s">
        <v>142</v>
      </c>
      <c r="AH2179" t="b">
        <v>0</v>
      </c>
    </row>
    <row r="2180" spans="1:34">
      <c r="A2180" t="s">
        <v>1978</v>
      </c>
      <c r="R2180" t="s">
        <v>1044</v>
      </c>
      <c r="T2180" t="s">
        <v>1046</v>
      </c>
      <c r="V2180" t="s">
        <v>225</v>
      </c>
      <c r="W2180" t="s">
        <v>1045</v>
      </c>
      <c r="X2180" t="s">
        <v>227</v>
      </c>
      <c r="Y2180" t="s">
        <v>230</v>
      </c>
      <c r="Z2180" t="s">
        <v>2118</v>
      </c>
      <c r="AF2180" t="s">
        <v>1978</v>
      </c>
      <c r="AG2180" t="s">
        <v>142</v>
      </c>
      <c r="AH2180" t="b">
        <v>0</v>
      </c>
    </row>
    <row r="2181" spans="1:34">
      <c r="A2181" t="s">
        <v>1978</v>
      </c>
      <c r="R2181" t="s">
        <v>1048</v>
      </c>
      <c r="T2181" t="s">
        <v>1051</v>
      </c>
      <c r="V2181" t="s">
        <v>225</v>
      </c>
      <c r="W2181" t="s">
        <v>1050</v>
      </c>
      <c r="X2181" t="s">
        <v>227</v>
      </c>
      <c r="Y2181" t="s">
        <v>230</v>
      </c>
      <c r="Z2181" t="s">
        <v>1921</v>
      </c>
      <c r="AF2181" t="s">
        <v>1978</v>
      </c>
      <c r="AG2181" t="s">
        <v>142</v>
      </c>
      <c r="AH2181" t="b">
        <v>0</v>
      </c>
    </row>
    <row r="2182" spans="1:34">
      <c r="A2182" t="s">
        <v>1978</v>
      </c>
      <c r="R2182" t="s">
        <v>1053</v>
      </c>
      <c r="T2182" t="s">
        <v>1055</v>
      </c>
      <c r="V2182" t="s">
        <v>225</v>
      </c>
      <c r="W2182" t="s">
        <v>1054</v>
      </c>
      <c r="X2182" t="s">
        <v>227</v>
      </c>
      <c r="Y2182" t="s">
        <v>230</v>
      </c>
      <c r="Z2182" t="s">
        <v>2119</v>
      </c>
      <c r="AF2182" t="s">
        <v>1978</v>
      </c>
      <c r="AG2182" t="s">
        <v>142</v>
      </c>
      <c r="AH2182" t="b">
        <v>0</v>
      </c>
    </row>
    <row r="2183" spans="1:34">
      <c r="A2183" t="s">
        <v>1978</v>
      </c>
      <c r="R2183" t="s">
        <v>1057</v>
      </c>
      <c r="T2183" t="s">
        <v>1060</v>
      </c>
      <c r="V2183" t="s">
        <v>225</v>
      </c>
      <c r="W2183" t="s">
        <v>1059</v>
      </c>
      <c r="X2183" t="s">
        <v>227</v>
      </c>
      <c r="Y2183" t="s">
        <v>230</v>
      </c>
      <c r="Z2183" t="s">
        <v>1956</v>
      </c>
      <c r="AF2183" t="s">
        <v>1978</v>
      </c>
      <c r="AG2183" t="s">
        <v>142</v>
      </c>
      <c r="AH2183" t="b">
        <v>0</v>
      </c>
    </row>
    <row r="2184" spans="1:34">
      <c r="A2184" t="s">
        <v>1978</v>
      </c>
      <c r="R2184" t="s">
        <v>1062</v>
      </c>
      <c r="T2184" t="s">
        <v>1065</v>
      </c>
      <c r="V2184" t="s">
        <v>225</v>
      </c>
      <c r="W2184" t="s">
        <v>1064</v>
      </c>
      <c r="X2184" t="s">
        <v>227</v>
      </c>
      <c r="Y2184" t="s">
        <v>230</v>
      </c>
      <c r="Z2184" t="s">
        <v>1957</v>
      </c>
      <c r="AF2184" t="s">
        <v>1978</v>
      </c>
      <c r="AG2184" t="s">
        <v>142</v>
      </c>
      <c r="AH2184" t="b">
        <v>0</v>
      </c>
    </row>
    <row r="2185" spans="1:34">
      <c r="A2185" t="s">
        <v>1978</v>
      </c>
      <c r="R2185" t="s">
        <v>1067</v>
      </c>
      <c r="T2185" t="s">
        <v>1069</v>
      </c>
      <c r="V2185" t="s">
        <v>225</v>
      </c>
      <c r="W2185" t="s">
        <v>1068</v>
      </c>
      <c r="X2185" t="s">
        <v>227</v>
      </c>
      <c r="Y2185" t="s">
        <v>230</v>
      </c>
      <c r="Z2185" t="s">
        <v>2120</v>
      </c>
      <c r="AF2185" t="s">
        <v>1978</v>
      </c>
      <c r="AG2185" t="s">
        <v>142</v>
      </c>
      <c r="AH2185" t="b">
        <v>0</v>
      </c>
    </row>
    <row r="2186" spans="1:34">
      <c r="A2186" t="s">
        <v>1978</v>
      </c>
      <c r="R2186" t="s">
        <v>1071</v>
      </c>
      <c r="T2186" t="s">
        <v>1074</v>
      </c>
      <c r="V2186" t="s">
        <v>225</v>
      </c>
      <c r="W2186" t="s">
        <v>1073</v>
      </c>
      <c r="X2186" t="s">
        <v>227</v>
      </c>
      <c r="Y2186" t="s">
        <v>230</v>
      </c>
      <c r="Z2186" t="s">
        <v>1922</v>
      </c>
      <c r="AF2186" t="s">
        <v>1978</v>
      </c>
      <c r="AG2186" t="s">
        <v>142</v>
      </c>
      <c r="AH2186" t="b">
        <v>0</v>
      </c>
    </row>
    <row r="2187" spans="1:34">
      <c r="A2187" t="s">
        <v>1978</v>
      </c>
      <c r="R2187" t="s">
        <v>1076</v>
      </c>
      <c r="T2187" t="s">
        <v>1079</v>
      </c>
      <c r="V2187" t="s">
        <v>225</v>
      </c>
      <c r="W2187" t="s">
        <v>1078</v>
      </c>
      <c r="X2187" t="s">
        <v>227</v>
      </c>
      <c r="Y2187" t="s">
        <v>230</v>
      </c>
      <c r="Z2187" t="s">
        <v>1923</v>
      </c>
      <c r="AF2187" t="s">
        <v>1978</v>
      </c>
      <c r="AG2187" t="s">
        <v>142</v>
      </c>
      <c r="AH2187" t="b">
        <v>0</v>
      </c>
    </row>
    <row r="2188" spans="1:34">
      <c r="A2188" t="s">
        <v>1978</v>
      </c>
      <c r="R2188" t="s">
        <v>1081</v>
      </c>
      <c r="T2188" t="s">
        <v>1084</v>
      </c>
      <c r="V2188" t="s">
        <v>225</v>
      </c>
      <c r="W2188" t="s">
        <v>1083</v>
      </c>
      <c r="X2188" t="s">
        <v>227</v>
      </c>
      <c r="Y2188" t="s">
        <v>230</v>
      </c>
      <c r="Z2188" t="s">
        <v>1955</v>
      </c>
      <c r="AF2188" t="s">
        <v>1978</v>
      </c>
      <c r="AG2188" t="s">
        <v>142</v>
      </c>
      <c r="AH2188" t="b">
        <v>0</v>
      </c>
    </row>
    <row r="2189" spans="1:34">
      <c r="A2189" t="s">
        <v>1978</v>
      </c>
      <c r="R2189" t="s">
        <v>1086</v>
      </c>
      <c r="T2189" t="s">
        <v>1089</v>
      </c>
      <c r="V2189" t="s">
        <v>225</v>
      </c>
      <c r="W2189" t="s">
        <v>1087</v>
      </c>
      <c r="X2189" t="s">
        <v>1088</v>
      </c>
      <c r="Y2189" t="s">
        <v>230</v>
      </c>
      <c r="Z2189" t="s">
        <v>2121</v>
      </c>
      <c r="AF2189" t="s">
        <v>1978</v>
      </c>
      <c r="AG2189" t="s">
        <v>142</v>
      </c>
      <c r="AH2189" t="b">
        <v>0</v>
      </c>
    </row>
    <row r="2190" spans="1:34">
      <c r="A2190" t="s">
        <v>1978</v>
      </c>
      <c r="R2190" t="s">
        <v>1091</v>
      </c>
      <c r="T2190" t="s">
        <v>1094</v>
      </c>
      <c r="V2190" t="s">
        <v>225</v>
      </c>
      <c r="W2190" t="s">
        <v>1093</v>
      </c>
      <c r="X2190" t="s">
        <v>227</v>
      </c>
      <c r="Y2190" t="s">
        <v>230</v>
      </c>
      <c r="Z2190" t="s">
        <v>1924</v>
      </c>
      <c r="AF2190" t="s">
        <v>1978</v>
      </c>
      <c r="AG2190" t="s">
        <v>142</v>
      </c>
      <c r="AH2190" t="b">
        <v>0</v>
      </c>
    </row>
    <row r="2191" spans="1:34">
      <c r="A2191" t="s">
        <v>1978</v>
      </c>
      <c r="R2191" t="s">
        <v>1096</v>
      </c>
      <c r="T2191" t="s">
        <v>1099</v>
      </c>
      <c r="V2191" t="s">
        <v>225</v>
      </c>
      <c r="W2191" t="s">
        <v>1098</v>
      </c>
      <c r="X2191" t="s">
        <v>227</v>
      </c>
      <c r="Y2191" t="s">
        <v>230</v>
      </c>
      <c r="Z2191" t="s">
        <v>1925</v>
      </c>
      <c r="AF2191" t="s">
        <v>1978</v>
      </c>
      <c r="AG2191" t="s">
        <v>142</v>
      </c>
      <c r="AH2191" t="b">
        <v>0</v>
      </c>
    </row>
    <row r="2192" spans="1:34">
      <c r="A2192" t="s">
        <v>1978</v>
      </c>
      <c r="R2192" t="s">
        <v>1101</v>
      </c>
      <c r="T2192" t="s">
        <v>1104</v>
      </c>
      <c r="V2192" t="s">
        <v>225</v>
      </c>
      <c r="W2192" t="s">
        <v>1103</v>
      </c>
      <c r="X2192" t="s">
        <v>227</v>
      </c>
      <c r="Y2192" t="s">
        <v>230</v>
      </c>
      <c r="Z2192" t="s">
        <v>1958</v>
      </c>
      <c r="AF2192" t="s">
        <v>1978</v>
      </c>
      <c r="AG2192" t="s">
        <v>142</v>
      </c>
      <c r="AH2192" t="b">
        <v>0</v>
      </c>
    </row>
    <row r="2193" spans="1:34">
      <c r="A2193" t="s">
        <v>1978</v>
      </c>
      <c r="R2193" t="s">
        <v>1106</v>
      </c>
      <c r="T2193" t="s">
        <v>1109</v>
      </c>
      <c r="V2193" t="s">
        <v>225</v>
      </c>
      <c r="W2193" t="s">
        <v>1108</v>
      </c>
      <c r="X2193" t="s">
        <v>227</v>
      </c>
      <c r="Y2193" t="s">
        <v>230</v>
      </c>
      <c r="Z2193" t="s">
        <v>1926</v>
      </c>
      <c r="AF2193" t="s">
        <v>1978</v>
      </c>
      <c r="AG2193" t="s">
        <v>142</v>
      </c>
      <c r="AH2193" t="b">
        <v>0</v>
      </c>
    </row>
    <row r="2194" spans="1:34">
      <c r="A2194" t="s">
        <v>1978</v>
      </c>
      <c r="R2194" t="s">
        <v>1111</v>
      </c>
      <c r="T2194" t="s">
        <v>1114</v>
      </c>
      <c r="V2194" t="s">
        <v>225</v>
      </c>
      <c r="W2194" t="s">
        <v>1113</v>
      </c>
      <c r="X2194" t="s">
        <v>227</v>
      </c>
      <c r="Y2194" t="s">
        <v>230</v>
      </c>
      <c r="Z2194" t="s">
        <v>1959</v>
      </c>
      <c r="AF2194" t="s">
        <v>1978</v>
      </c>
      <c r="AG2194" t="s">
        <v>142</v>
      </c>
      <c r="AH2194" t="b">
        <v>0</v>
      </c>
    </row>
    <row r="2195" spans="1:34">
      <c r="A2195" t="s">
        <v>1978</v>
      </c>
      <c r="R2195" t="s">
        <v>1116</v>
      </c>
      <c r="T2195" t="s">
        <v>1119</v>
      </c>
      <c r="V2195" t="s">
        <v>225</v>
      </c>
      <c r="W2195" t="s">
        <v>1118</v>
      </c>
      <c r="X2195" t="s">
        <v>227</v>
      </c>
      <c r="Y2195" t="s">
        <v>230</v>
      </c>
      <c r="Z2195" t="s">
        <v>1960</v>
      </c>
      <c r="AF2195" t="s">
        <v>1978</v>
      </c>
      <c r="AG2195" t="s">
        <v>142</v>
      </c>
      <c r="AH2195" t="b">
        <v>0</v>
      </c>
    </row>
    <row r="2196" spans="1:34">
      <c r="A2196" t="s">
        <v>1978</v>
      </c>
      <c r="R2196" t="s">
        <v>1121</v>
      </c>
      <c r="T2196" t="s">
        <v>1124</v>
      </c>
      <c r="V2196" t="s">
        <v>225</v>
      </c>
      <c r="W2196" t="s">
        <v>1123</v>
      </c>
      <c r="X2196" t="s">
        <v>227</v>
      </c>
      <c r="Y2196" t="s">
        <v>230</v>
      </c>
      <c r="Z2196" t="s">
        <v>1961</v>
      </c>
      <c r="AF2196" t="s">
        <v>1978</v>
      </c>
      <c r="AG2196" t="s">
        <v>142</v>
      </c>
      <c r="AH2196" t="b">
        <v>0</v>
      </c>
    </row>
    <row r="2197" spans="1:34">
      <c r="A2197" t="s">
        <v>1978</v>
      </c>
      <c r="R2197" t="s">
        <v>1126</v>
      </c>
      <c r="T2197" t="s">
        <v>1129</v>
      </c>
      <c r="V2197" t="s">
        <v>225</v>
      </c>
      <c r="W2197" t="s">
        <v>1128</v>
      </c>
      <c r="X2197" t="s">
        <v>227</v>
      </c>
      <c r="Y2197" t="s">
        <v>230</v>
      </c>
      <c r="Z2197" t="s">
        <v>1954</v>
      </c>
      <c r="AF2197" t="s">
        <v>1978</v>
      </c>
      <c r="AG2197" t="s">
        <v>142</v>
      </c>
      <c r="AH2197" t="b">
        <v>0</v>
      </c>
    </row>
    <row r="2198" spans="1:34">
      <c r="A2198" t="s">
        <v>1978</v>
      </c>
      <c r="R2198" t="s">
        <v>1131</v>
      </c>
      <c r="T2198" t="s">
        <v>1104</v>
      </c>
      <c r="V2198" t="s">
        <v>225</v>
      </c>
      <c r="W2198" t="s">
        <v>1133</v>
      </c>
      <c r="X2198" t="s">
        <v>227</v>
      </c>
      <c r="Y2198" t="s">
        <v>230</v>
      </c>
      <c r="Z2198" t="s">
        <v>1927</v>
      </c>
      <c r="AF2198" t="s">
        <v>1978</v>
      </c>
      <c r="AG2198" t="s">
        <v>142</v>
      </c>
      <c r="AH2198" t="b">
        <v>0</v>
      </c>
    </row>
    <row r="2199" spans="1:34">
      <c r="A2199" t="s">
        <v>1978</v>
      </c>
      <c r="R2199" t="s">
        <v>1135</v>
      </c>
      <c r="T2199" t="s">
        <v>1138</v>
      </c>
      <c r="V2199" t="s">
        <v>225</v>
      </c>
      <c r="W2199" t="s">
        <v>1137</v>
      </c>
      <c r="X2199" t="s">
        <v>227</v>
      </c>
      <c r="Y2199" t="s">
        <v>230</v>
      </c>
      <c r="Z2199" t="s">
        <v>1928</v>
      </c>
      <c r="AF2199" t="s">
        <v>1978</v>
      </c>
      <c r="AG2199" t="s">
        <v>142</v>
      </c>
      <c r="AH2199" t="b">
        <v>0</v>
      </c>
    </row>
    <row r="2200" spans="1:34">
      <c r="A2200" t="s">
        <v>1978</v>
      </c>
      <c r="R2200" t="s">
        <v>1140</v>
      </c>
      <c r="T2200" t="s">
        <v>1143</v>
      </c>
      <c r="V2200" t="s">
        <v>225</v>
      </c>
      <c r="W2200" t="s">
        <v>1142</v>
      </c>
      <c r="X2200" t="s">
        <v>227</v>
      </c>
      <c r="Y2200" t="s">
        <v>230</v>
      </c>
      <c r="Z2200" t="s">
        <v>1929</v>
      </c>
      <c r="AF2200" t="s">
        <v>1978</v>
      </c>
      <c r="AG2200" t="s">
        <v>142</v>
      </c>
      <c r="AH2200" t="b">
        <v>0</v>
      </c>
    </row>
    <row r="2201" spans="1:34">
      <c r="A2201" t="s">
        <v>1978</v>
      </c>
      <c r="R2201" t="s">
        <v>1145</v>
      </c>
      <c r="T2201" t="s">
        <v>1148</v>
      </c>
      <c r="V2201" t="s">
        <v>225</v>
      </c>
      <c r="W2201" t="s">
        <v>1147</v>
      </c>
      <c r="X2201" t="s">
        <v>227</v>
      </c>
      <c r="Y2201" t="s">
        <v>230</v>
      </c>
      <c r="Z2201" t="s">
        <v>1962</v>
      </c>
      <c r="AF2201" t="s">
        <v>1978</v>
      </c>
      <c r="AG2201" t="s">
        <v>142</v>
      </c>
      <c r="AH2201" t="b">
        <v>0</v>
      </c>
    </row>
    <row r="2202" spans="1:34">
      <c r="A2202" t="s">
        <v>1978</v>
      </c>
      <c r="R2202" t="s">
        <v>1150</v>
      </c>
      <c r="T2202" t="s">
        <v>1153</v>
      </c>
      <c r="V2202" t="s">
        <v>225</v>
      </c>
      <c r="W2202" t="s">
        <v>1152</v>
      </c>
      <c r="X2202" t="s">
        <v>227</v>
      </c>
      <c r="Y2202" t="s">
        <v>230</v>
      </c>
      <c r="Z2202" t="s">
        <v>1963</v>
      </c>
      <c r="AF2202" t="s">
        <v>1978</v>
      </c>
      <c r="AG2202" t="s">
        <v>142</v>
      </c>
      <c r="AH2202" t="b">
        <v>0</v>
      </c>
    </row>
    <row r="2203" spans="1:34">
      <c r="A2203" t="s">
        <v>1978</v>
      </c>
      <c r="R2203" t="s">
        <v>1155</v>
      </c>
      <c r="T2203" t="s">
        <v>1124</v>
      </c>
      <c r="V2203" t="s">
        <v>225</v>
      </c>
      <c r="W2203" t="s">
        <v>1157</v>
      </c>
      <c r="X2203" t="s">
        <v>227</v>
      </c>
      <c r="Y2203" t="s">
        <v>230</v>
      </c>
      <c r="Z2203" t="s">
        <v>1930</v>
      </c>
      <c r="AF2203" t="s">
        <v>1978</v>
      </c>
      <c r="AG2203" t="s">
        <v>142</v>
      </c>
      <c r="AH2203" t="b">
        <v>0</v>
      </c>
    </row>
    <row r="2204" spans="1:34">
      <c r="A2204" t="s">
        <v>1978</v>
      </c>
      <c r="R2204" t="s">
        <v>1159</v>
      </c>
      <c r="T2204" t="s">
        <v>1162</v>
      </c>
      <c r="V2204" t="s">
        <v>225</v>
      </c>
      <c r="W2204" t="s">
        <v>1161</v>
      </c>
      <c r="X2204" t="s">
        <v>227</v>
      </c>
      <c r="Y2204" t="s">
        <v>230</v>
      </c>
      <c r="Z2204" t="s">
        <v>1964</v>
      </c>
      <c r="AF2204" t="s">
        <v>1978</v>
      </c>
      <c r="AG2204" t="s">
        <v>142</v>
      </c>
      <c r="AH2204" t="b">
        <v>0</v>
      </c>
    </row>
    <row r="2205" spans="1:34">
      <c r="A2205" t="s">
        <v>1978</v>
      </c>
      <c r="R2205" t="s">
        <v>1164</v>
      </c>
      <c r="T2205" t="s">
        <v>1167</v>
      </c>
      <c r="V2205" t="s">
        <v>225</v>
      </c>
      <c r="W2205" t="s">
        <v>1166</v>
      </c>
      <c r="X2205" t="s">
        <v>227</v>
      </c>
      <c r="Y2205" t="s">
        <v>230</v>
      </c>
      <c r="Z2205" t="s">
        <v>1965</v>
      </c>
      <c r="AF2205" t="s">
        <v>1978</v>
      </c>
      <c r="AG2205" t="s">
        <v>142</v>
      </c>
      <c r="AH2205" t="b">
        <v>0</v>
      </c>
    </row>
    <row r="2206" spans="1:34">
      <c r="A2206" t="s">
        <v>1978</v>
      </c>
      <c r="R2206" t="s">
        <v>1169</v>
      </c>
      <c r="T2206" t="s">
        <v>1172</v>
      </c>
      <c r="V2206" t="s">
        <v>225</v>
      </c>
      <c r="W2206" t="s">
        <v>1171</v>
      </c>
      <c r="X2206" t="s">
        <v>227</v>
      </c>
      <c r="Y2206" t="s">
        <v>230</v>
      </c>
      <c r="Z2206" t="s">
        <v>1966</v>
      </c>
      <c r="AF2206" t="s">
        <v>1978</v>
      </c>
      <c r="AG2206" t="s">
        <v>142</v>
      </c>
      <c r="AH2206" t="b">
        <v>0</v>
      </c>
    </row>
    <row r="2207" spans="1:34">
      <c r="A2207" t="s">
        <v>1978</v>
      </c>
      <c r="R2207" t="s">
        <v>1174</v>
      </c>
      <c r="T2207" t="s">
        <v>1176</v>
      </c>
      <c r="V2207" t="s">
        <v>225</v>
      </c>
      <c r="W2207" t="s">
        <v>1175</v>
      </c>
      <c r="X2207" t="s">
        <v>475</v>
      </c>
      <c r="Y2207" t="s">
        <v>230</v>
      </c>
      <c r="Z2207" t="s">
        <v>2122</v>
      </c>
      <c r="AF2207" t="s">
        <v>1978</v>
      </c>
      <c r="AG2207" t="s">
        <v>142</v>
      </c>
      <c r="AH2207" t="b">
        <v>0</v>
      </c>
    </row>
    <row r="2208" spans="1:34">
      <c r="A2208" t="s">
        <v>1978</v>
      </c>
      <c r="R2208" t="s">
        <v>1178</v>
      </c>
      <c r="T2208" t="s">
        <v>1181</v>
      </c>
      <c r="V2208" t="s">
        <v>225</v>
      </c>
      <c r="W2208" t="s">
        <v>1180</v>
      </c>
      <c r="X2208" t="s">
        <v>227</v>
      </c>
      <c r="Y2208" t="s">
        <v>230</v>
      </c>
      <c r="Z2208" t="s">
        <v>39</v>
      </c>
      <c r="AF2208" t="s">
        <v>1978</v>
      </c>
      <c r="AG2208" t="s">
        <v>142</v>
      </c>
      <c r="AH2208" t="b">
        <v>0</v>
      </c>
    </row>
    <row r="2209" spans="1:34">
      <c r="A2209" t="s">
        <v>1978</v>
      </c>
      <c r="R2209" t="s">
        <v>1183</v>
      </c>
      <c r="T2209" t="s">
        <v>1186</v>
      </c>
      <c r="V2209" t="s">
        <v>225</v>
      </c>
      <c r="W2209" t="s">
        <v>1185</v>
      </c>
      <c r="X2209" t="s">
        <v>227</v>
      </c>
      <c r="Y2209" t="s">
        <v>230</v>
      </c>
      <c r="Z2209" t="s">
        <v>1967</v>
      </c>
      <c r="AF2209" t="s">
        <v>1978</v>
      </c>
      <c r="AG2209" t="s">
        <v>142</v>
      </c>
      <c r="AH2209" t="b">
        <v>0</v>
      </c>
    </row>
    <row r="2210" spans="1:34">
      <c r="A2210" t="s">
        <v>1978</v>
      </c>
      <c r="R2210" t="s">
        <v>1188</v>
      </c>
      <c r="T2210" t="s">
        <v>1191</v>
      </c>
      <c r="V2210" t="s">
        <v>225</v>
      </c>
      <c r="W2210" t="s">
        <v>1190</v>
      </c>
      <c r="X2210" t="s">
        <v>227</v>
      </c>
      <c r="Y2210" t="s">
        <v>230</v>
      </c>
      <c r="Z2210" t="s">
        <v>1931</v>
      </c>
      <c r="AF2210" t="s">
        <v>1978</v>
      </c>
      <c r="AG2210" t="s">
        <v>142</v>
      </c>
      <c r="AH2210" t="b">
        <v>0</v>
      </c>
    </row>
    <row r="2211" spans="1:34">
      <c r="A2211" t="s">
        <v>1978</v>
      </c>
      <c r="R2211" t="s">
        <v>1193</v>
      </c>
      <c r="T2211" t="s">
        <v>1196</v>
      </c>
      <c r="V2211" t="s">
        <v>225</v>
      </c>
      <c r="W2211" t="s">
        <v>1195</v>
      </c>
      <c r="X2211" t="s">
        <v>227</v>
      </c>
      <c r="Y2211" t="s">
        <v>230</v>
      </c>
      <c r="Z2211" t="s">
        <v>1932</v>
      </c>
      <c r="AF2211" t="s">
        <v>1978</v>
      </c>
      <c r="AG2211" t="s">
        <v>142</v>
      </c>
      <c r="AH2211" t="b">
        <v>0</v>
      </c>
    </row>
    <row r="2212" spans="1:34">
      <c r="A2212" t="s">
        <v>1978</v>
      </c>
      <c r="R2212" t="s">
        <v>1198</v>
      </c>
      <c r="T2212" t="s">
        <v>1201</v>
      </c>
      <c r="V2212" t="s">
        <v>225</v>
      </c>
      <c r="W2212" t="s">
        <v>1200</v>
      </c>
      <c r="X2212" t="s">
        <v>227</v>
      </c>
      <c r="Y2212" t="s">
        <v>230</v>
      </c>
      <c r="Z2212" t="s">
        <v>1933</v>
      </c>
      <c r="AF2212" t="s">
        <v>1978</v>
      </c>
      <c r="AG2212" t="s">
        <v>142</v>
      </c>
      <c r="AH2212" t="b">
        <v>0</v>
      </c>
    </row>
    <row r="2213" spans="1:34">
      <c r="A2213" t="s">
        <v>1978</v>
      </c>
      <c r="R2213" t="s">
        <v>1203</v>
      </c>
      <c r="T2213" t="s">
        <v>1206</v>
      </c>
      <c r="V2213" t="s">
        <v>225</v>
      </c>
      <c r="W2213" t="s">
        <v>1205</v>
      </c>
      <c r="X2213" t="s">
        <v>227</v>
      </c>
      <c r="Y2213" t="s">
        <v>230</v>
      </c>
      <c r="Z2213" t="s">
        <v>1973</v>
      </c>
      <c r="AF2213" t="s">
        <v>1978</v>
      </c>
      <c r="AG2213" t="s">
        <v>142</v>
      </c>
      <c r="AH2213" t="b">
        <v>0</v>
      </c>
    </row>
    <row r="2214" spans="1:34">
      <c r="A2214" t="s">
        <v>1978</v>
      </c>
      <c r="R2214" t="s">
        <v>1208</v>
      </c>
      <c r="T2214" t="s">
        <v>1211</v>
      </c>
      <c r="V2214" t="s">
        <v>225</v>
      </c>
      <c r="W2214" t="s">
        <v>1210</v>
      </c>
      <c r="X2214" t="s">
        <v>227</v>
      </c>
      <c r="Y2214" t="s">
        <v>230</v>
      </c>
      <c r="Z2214" t="s">
        <v>1970</v>
      </c>
      <c r="AF2214" t="s">
        <v>1978</v>
      </c>
      <c r="AG2214" t="s">
        <v>142</v>
      </c>
      <c r="AH2214" t="b">
        <v>0</v>
      </c>
    </row>
    <row r="2215" spans="1:34">
      <c r="A2215" t="s">
        <v>1978</v>
      </c>
      <c r="R2215" t="s">
        <v>1213</v>
      </c>
      <c r="T2215" t="s">
        <v>1216</v>
      </c>
      <c r="V2215" t="s">
        <v>225</v>
      </c>
      <c r="W2215" t="s">
        <v>1215</v>
      </c>
      <c r="X2215" t="s">
        <v>227</v>
      </c>
      <c r="Y2215" t="s">
        <v>230</v>
      </c>
      <c r="Z2215" t="s">
        <v>1971</v>
      </c>
      <c r="AF2215" t="s">
        <v>1978</v>
      </c>
      <c r="AG2215" t="s">
        <v>142</v>
      </c>
      <c r="AH2215" t="b">
        <v>0</v>
      </c>
    </row>
    <row r="2216" spans="1:34">
      <c r="A2216" t="s">
        <v>1978</v>
      </c>
      <c r="R2216" t="s">
        <v>1218</v>
      </c>
      <c r="T2216" t="s">
        <v>1221</v>
      </c>
      <c r="V2216" t="s">
        <v>225</v>
      </c>
      <c r="W2216" t="s">
        <v>1220</v>
      </c>
      <c r="X2216" t="s">
        <v>227</v>
      </c>
      <c r="Y2216" t="s">
        <v>230</v>
      </c>
      <c r="Z2216" t="s">
        <v>1968</v>
      </c>
      <c r="AF2216" t="s">
        <v>1978</v>
      </c>
      <c r="AG2216" t="s">
        <v>142</v>
      </c>
      <c r="AH2216" t="b">
        <v>0</v>
      </c>
    </row>
    <row r="2217" spans="1:34">
      <c r="A2217" t="s">
        <v>1978</v>
      </c>
      <c r="R2217" t="s">
        <v>1223</v>
      </c>
      <c r="T2217" t="s">
        <v>1226</v>
      </c>
      <c r="V2217" t="s">
        <v>225</v>
      </c>
      <c r="W2217" t="s">
        <v>1225</v>
      </c>
      <c r="X2217" t="s">
        <v>227</v>
      </c>
      <c r="Y2217" t="s">
        <v>230</v>
      </c>
      <c r="Z2217" t="s">
        <v>1969</v>
      </c>
      <c r="AF2217" t="s">
        <v>1978</v>
      </c>
      <c r="AG2217" t="s">
        <v>142</v>
      </c>
      <c r="AH2217" t="b">
        <v>0</v>
      </c>
    </row>
    <row r="2218" spans="1:34">
      <c r="A2218" t="s">
        <v>1978</v>
      </c>
      <c r="R2218" t="s">
        <v>1228</v>
      </c>
      <c r="T2218" t="s">
        <v>1231</v>
      </c>
      <c r="V2218" t="s">
        <v>225</v>
      </c>
      <c r="W2218" t="s">
        <v>1230</v>
      </c>
      <c r="X2218" t="s">
        <v>227</v>
      </c>
      <c r="Y2218" t="s">
        <v>230</v>
      </c>
      <c r="Z2218" t="s">
        <v>1972</v>
      </c>
      <c r="AF2218" t="s">
        <v>1978</v>
      </c>
      <c r="AG2218" t="s">
        <v>142</v>
      </c>
      <c r="AH2218" t="b">
        <v>0</v>
      </c>
    </row>
    <row r="2219" spans="1:34">
      <c r="A2219" t="s">
        <v>1978</v>
      </c>
      <c r="R2219" t="s">
        <v>1233</v>
      </c>
      <c r="T2219" t="s">
        <v>1236</v>
      </c>
      <c r="V2219" t="s">
        <v>225</v>
      </c>
      <c r="W2219" t="s">
        <v>1235</v>
      </c>
      <c r="X2219" t="s">
        <v>227</v>
      </c>
      <c r="Y2219" t="s">
        <v>230</v>
      </c>
      <c r="Z2219" t="s">
        <v>1934</v>
      </c>
      <c r="AF2219" t="s">
        <v>1978</v>
      </c>
      <c r="AG2219" t="s">
        <v>142</v>
      </c>
      <c r="AH2219" t="b">
        <v>0</v>
      </c>
    </row>
    <row r="2220" spans="1:34">
      <c r="A2220" t="s">
        <v>1978</v>
      </c>
      <c r="R2220" t="s">
        <v>1238</v>
      </c>
      <c r="T2220" t="s">
        <v>1241</v>
      </c>
      <c r="V2220" t="s">
        <v>225</v>
      </c>
      <c r="W2220" t="s">
        <v>1240</v>
      </c>
      <c r="X2220" t="s">
        <v>227</v>
      </c>
      <c r="Y2220" t="s">
        <v>230</v>
      </c>
      <c r="Z2220" t="s">
        <v>1974</v>
      </c>
      <c r="AF2220" t="s">
        <v>1978</v>
      </c>
      <c r="AG2220" t="s">
        <v>142</v>
      </c>
      <c r="AH2220" t="b">
        <v>0</v>
      </c>
    </row>
    <row r="2221" spans="1:34">
      <c r="A2221" t="s">
        <v>1978</v>
      </c>
      <c r="R2221" t="s">
        <v>1243</v>
      </c>
      <c r="T2221" t="s">
        <v>1246</v>
      </c>
      <c r="V2221" t="s">
        <v>225</v>
      </c>
      <c r="W2221" t="s">
        <v>1245</v>
      </c>
      <c r="X2221" t="s">
        <v>227</v>
      </c>
      <c r="Y2221" t="s">
        <v>230</v>
      </c>
      <c r="Z2221" t="s">
        <v>1975</v>
      </c>
      <c r="AF2221" t="s">
        <v>1978</v>
      </c>
      <c r="AG2221" t="s">
        <v>142</v>
      </c>
      <c r="AH2221" t="b">
        <v>0</v>
      </c>
    </row>
    <row r="2222" spans="1:34">
      <c r="A2222" t="s">
        <v>2123</v>
      </c>
      <c r="L2222" t="s">
        <v>10</v>
      </c>
      <c r="AF2222" t="s">
        <v>2123</v>
      </c>
      <c r="AG2222" t="s">
        <v>142</v>
      </c>
      <c r="AH2222" t="b">
        <v>0</v>
      </c>
    </row>
    <row r="2223" spans="1:34">
      <c r="A2223" t="s">
        <v>2123</v>
      </c>
      <c r="L2223" t="s">
        <v>37</v>
      </c>
      <c r="AF2223" t="s">
        <v>2123</v>
      </c>
      <c r="AG2223" t="s">
        <v>142</v>
      </c>
      <c r="AH2223" t="b">
        <v>0</v>
      </c>
    </row>
    <row r="2224" spans="1:34">
      <c r="A2224" t="s">
        <v>2123</v>
      </c>
      <c r="L2224" t="s">
        <v>192</v>
      </c>
      <c r="AF2224" t="s">
        <v>2123</v>
      </c>
      <c r="AG2224" t="s">
        <v>142</v>
      </c>
      <c r="AH2224" t="b">
        <v>0</v>
      </c>
    </row>
    <row r="2225" spans="1:34">
      <c r="A2225" t="s">
        <v>2123</v>
      </c>
      <c r="L2225" t="s">
        <v>193</v>
      </c>
      <c r="AF2225" t="s">
        <v>2123</v>
      </c>
      <c r="AG2225" t="s">
        <v>142</v>
      </c>
      <c r="AH2225" t="b">
        <v>0</v>
      </c>
    </row>
    <row r="2226" spans="1:34">
      <c r="A2226" t="s">
        <v>2123</v>
      </c>
      <c r="L2226" t="s">
        <v>194</v>
      </c>
      <c r="AF2226" t="s">
        <v>2123</v>
      </c>
      <c r="AG2226" t="s">
        <v>142</v>
      </c>
      <c r="AH2226" t="b">
        <v>0</v>
      </c>
    </row>
    <row r="2227" spans="1:34">
      <c r="A2227" t="s">
        <v>2124</v>
      </c>
      <c r="B2227" t="s">
        <v>12</v>
      </c>
      <c r="AF2227" t="s">
        <v>2124</v>
      </c>
      <c r="AG2227" t="s">
        <v>2125</v>
      </c>
      <c r="AH2227" t="b">
        <v>0</v>
      </c>
    </row>
    <row r="2228" spans="1:34">
      <c r="A2228" t="s">
        <v>2124</v>
      </c>
      <c r="B2228" t="s">
        <v>196</v>
      </c>
      <c r="AF2228" t="s">
        <v>2124</v>
      </c>
      <c r="AG2228" t="s">
        <v>2125</v>
      </c>
      <c r="AH2228" t="b">
        <v>0</v>
      </c>
    </row>
    <row r="2229" spans="1:34">
      <c r="A2229" t="s">
        <v>2124</v>
      </c>
      <c r="B2229" t="s">
        <v>197</v>
      </c>
      <c r="AF2229" t="s">
        <v>2124</v>
      </c>
      <c r="AG2229" t="s">
        <v>2125</v>
      </c>
      <c r="AH2229" t="b">
        <v>0</v>
      </c>
    </row>
    <row r="2230" spans="1:34">
      <c r="A2230" t="s">
        <v>2124</v>
      </c>
      <c r="B2230" t="s">
        <v>198</v>
      </c>
      <c r="AF2230" t="s">
        <v>2124</v>
      </c>
      <c r="AG2230" t="s">
        <v>2125</v>
      </c>
      <c r="AH2230" t="b">
        <v>0</v>
      </c>
    </row>
    <row r="2231" spans="1:34">
      <c r="A2231" t="s">
        <v>2126</v>
      </c>
      <c r="B2231" t="s">
        <v>10</v>
      </c>
      <c r="AF2231" t="s">
        <v>2126</v>
      </c>
      <c r="AG2231" t="s">
        <v>2125</v>
      </c>
      <c r="AH2231" t="b">
        <v>0</v>
      </c>
    </row>
    <row r="2232" spans="1:34">
      <c r="A2232" t="s">
        <v>2126</v>
      </c>
      <c r="B2232" t="s">
        <v>37</v>
      </c>
      <c r="AF2232" t="s">
        <v>2126</v>
      </c>
      <c r="AG2232" t="s">
        <v>2125</v>
      </c>
      <c r="AH2232" t="b">
        <v>0</v>
      </c>
    </row>
    <row r="2233" spans="1:34">
      <c r="A2233" t="s">
        <v>2126</v>
      </c>
      <c r="B2233" t="s">
        <v>192</v>
      </c>
      <c r="AF2233" t="s">
        <v>2126</v>
      </c>
      <c r="AG2233" t="s">
        <v>2125</v>
      </c>
      <c r="AH2233" t="b">
        <v>0</v>
      </c>
    </row>
    <row r="2234" spans="1:34">
      <c r="A2234" t="s">
        <v>2126</v>
      </c>
      <c r="B2234" t="s">
        <v>193</v>
      </c>
      <c r="AF2234" t="s">
        <v>2126</v>
      </c>
      <c r="AG2234" t="s">
        <v>2125</v>
      </c>
      <c r="AH2234" t="b">
        <v>0</v>
      </c>
    </row>
    <row r="2235" spans="1:34">
      <c r="A2235" t="s">
        <v>2126</v>
      </c>
      <c r="B2235" t="s">
        <v>194</v>
      </c>
      <c r="AF2235" t="s">
        <v>2126</v>
      </c>
      <c r="AG2235" t="s">
        <v>2125</v>
      </c>
      <c r="AH2235" t="b">
        <v>0</v>
      </c>
    </row>
    <row r="2236" spans="1:34">
      <c r="A2236" t="s">
        <v>2127</v>
      </c>
      <c r="B2236" t="s">
        <v>205</v>
      </c>
      <c r="AF2236" t="s">
        <v>2127</v>
      </c>
      <c r="AG2236" t="s">
        <v>2125</v>
      </c>
      <c r="AH2236" t="b">
        <v>0</v>
      </c>
    </row>
    <row r="2237" spans="1:34">
      <c r="A2237" t="s">
        <v>2127</v>
      </c>
      <c r="B2237" t="s">
        <v>206</v>
      </c>
      <c r="AF2237" t="s">
        <v>2127</v>
      </c>
      <c r="AG2237" t="s">
        <v>2125</v>
      </c>
      <c r="AH2237" t="b">
        <v>0</v>
      </c>
    </row>
    <row r="2238" spans="1:34">
      <c r="A2238" t="s">
        <v>2128</v>
      </c>
      <c r="B2238" t="s">
        <v>209</v>
      </c>
      <c r="AF2238" t="s">
        <v>2128</v>
      </c>
      <c r="AG2238" t="s">
        <v>2125</v>
      </c>
      <c r="AH2238" t="b">
        <v>0</v>
      </c>
    </row>
    <row r="2239" spans="1:34">
      <c r="A2239" t="s">
        <v>2128</v>
      </c>
      <c r="B2239" t="s">
        <v>211</v>
      </c>
      <c r="AF2239" t="s">
        <v>2128</v>
      </c>
      <c r="AG2239" t="s">
        <v>2125</v>
      </c>
      <c r="AH2239" t="b">
        <v>0</v>
      </c>
    </row>
    <row r="2240" spans="1:34">
      <c r="A2240" t="s">
        <v>2128</v>
      </c>
      <c r="B2240" t="s">
        <v>206</v>
      </c>
      <c r="AF2240" t="s">
        <v>2128</v>
      </c>
      <c r="AG2240" t="s">
        <v>2125</v>
      </c>
      <c r="AH2240" t="b">
        <v>0</v>
      </c>
    </row>
    <row r="2241" spans="1:34">
      <c r="A2241" t="s">
        <v>2128</v>
      </c>
      <c r="B2241" t="s">
        <v>214</v>
      </c>
      <c r="AF2241" t="s">
        <v>2128</v>
      </c>
      <c r="AG2241" t="s">
        <v>2125</v>
      </c>
      <c r="AH2241" t="b">
        <v>0</v>
      </c>
    </row>
    <row r="2242" spans="1:34">
      <c r="A2242" t="s">
        <v>2129</v>
      </c>
      <c r="B2242" t="s">
        <v>8</v>
      </c>
      <c r="AF2242" t="s">
        <v>2129</v>
      </c>
      <c r="AG2242" t="s">
        <v>2125</v>
      </c>
      <c r="AH2242" t="b">
        <v>0</v>
      </c>
    </row>
    <row r="2243" spans="1:34">
      <c r="A2243" t="s">
        <v>2129</v>
      </c>
      <c r="B2243" t="s">
        <v>207</v>
      </c>
      <c r="AF2243" t="s">
        <v>2129</v>
      </c>
      <c r="AG2243" t="s">
        <v>2125</v>
      </c>
      <c r="AH2243" t="b">
        <v>0</v>
      </c>
    </row>
    <row r="2244" spans="1:34">
      <c r="A2244" t="s">
        <v>2129</v>
      </c>
      <c r="B2244" t="s">
        <v>210</v>
      </c>
      <c r="AF2244" t="s">
        <v>2129</v>
      </c>
      <c r="AG2244" t="s">
        <v>2125</v>
      </c>
      <c r="AH2244" t="b">
        <v>0</v>
      </c>
    </row>
    <row r="2245" spans="1:34">
      <c r="A2245" t="s">
        <v>2129</v>
      </c>
      <c r="B2245" t="s">
        <v>212</v>
      </c>
      <c r="AF2245" t="s">
        <v>2129</v>
      </c>
      <c r="AG2245" t="s">
        <v>2125</v>
      </c>
      <c r="AH2245" t="b">
        <v>0</v>
      </c>
    </row>
    <row r="2246" spans="1:34">
      <c r="A2246" t="s">
        <v>2129</v>
      </c>
      <c r="B2246" t="s">
        <v>213</v>
      </c>
      <c r="AF2246" t="s">
        <v>2129</v>
      </c>
      <c r="AG2246" t="s">
        <v>2125</v>
      </c>
      <c r="AH2246" t="b">
        <v>0</v>
      </c>
    </row>
    <row r="2247" spans="1:34">
      <c r="A2247" t="s">
        <v>2129</v>
      </c>
      <c r="B2247" t="s">
        <v>215</v>
      </c>
      <c r="AF2247" t="s">
        <v>2129</v>
      </c>
      <c r="AG2247" t="s">
        <v>2125</v>
      </c>
      <c r="AH2247" t="b">
        <v>0</v>
      </c>
    </row>
    <row r="2248" spans="1:34">
      <c r="A2248" t="s">
        <v>2130</v>
      </c>
      <c r="B2248" t="s">
        <v>1875</v>
      </c>
      <c r="AF2248" t="s">
        <v>2130</v>
      </c>
      <c r="AG2248" t="s">
        <v>2125</v>
      </c>
      <c r="AH2248" t="b">
        <v>0</v>
      </c>
    </row>
    <row r="2249" spans="1:34">
      <c r="A2249" t="s">
        <v>2130</v>
      </c>
      <c r="B2249" t="s">
        <v>1876</v>
      </c>
      <c r="AF2249" t="s">
        <v>2130</v>
      </c>
      <c r="AG2249" t="s">
        <v>2125</v>
      </c>
      <c r="AH2249" t="b">
        <v>0</v>
      </c>
    </row>
    <row r="2250" spans="1:34">
      <c r="A2250" t="s">
        <v>2130</v>
      </c>
      <c r="B2250" t="s">
        <v>1877</v>
      </c>
      <c r="AF2250" t="s">
        <v>2130</v>
      </c>
      <c r="AG2250" t="s">
        <v>2125</v>
      </c>
      <c r="AH2250" t="b">
        <v>0</v>
      </c>
    </row>
    <row r="2251" spans="1:34">
      <c r="A2251" t="s">
        <v>2130</v>
      </c>
      <c r="B2251" t="s">
        <v>1878</v>
      </c>
      <c r="AF2251" t="s">
        <v>2130</v>
      </c>
      <c r="AG2251" t="s">
        <v>2125</v>
      </c>
      <c r="AH2251" t="b">
        <v>0</v>
      </c>
    </row>
    <row r="2252" spans="1:34">
      <c r="A2252" t="s">
        <v>2130</v>
      </c>
      <c r="B2252" t="s">
        <v>1879</v>
      </c>
      <c r="AF2252" t="s">
        <v>2130</v>
      </c>
      <c r="AG2252" t="s">
        <v>2125</v>
      </c>
      <c r="AH2252" t="b">
        <v>0</v>
      </c>
    </row>
    <row r="2253" spans="1:34">
      <c r="A2253" t="s">
        <v>2130</v>
      </c>
      <c r="B2253" t="s">
        <v>1880</v>
      </c>
      <c r="AF2253" t="s">
        <v>2130</v>
      </c>
      <c r="AG2253" t="s">
        <v>2125</v>
      </c>
      <c r="AH2253" t="b">
        <v>0</v>
      </c>
    </row>
    <row r="2254" spans="1:34">
      <c r="A2254" t="s">
        <v>2130</v>
      </c>
      <c r="B2254" t="s">
        <v>1881</v>
      </c>
      <c r="AF2254" t="s">
        <v>2130</v>
      </c>
      <c r="AG2254" t="s">
        <v>2125</v>
      </c>
      <c r="AH2254" t="b">
        <v>0</v>
      </c>
    </row>
    <row r="2255" spans="1:34">
      <c r="A2255" t="s">
        <v>2130</v>
      </c>
      <c r="B2255" t="s">
        <v>1882</v>
      </c>
      <c r="AF2255" t="s">
        <v>2130</v>
      </c>
      <c r="AG2255" t="s">
        <v>2125</v>
      </c>
      <c r="AH2255" t="b">
        <v>0</v>
      </c>
    </row>
    <row r="2256" spans="1:34">
      <c r="A2256" t="s">
        <v>2130</v>
      </c>
      <c r="B2256" t="s">
        <v>1883</v>
      </c>
      <c r="AF2256" t="s">
        <v>2130</v>
      </c>
      <c r="AG2256" t="s">
        <v>2125</v>
      </c>
      <c r="AH2256" t="b">
        <v>0</v>
      </c>
    </row>
    <row r="2257" spans="1:34">
      <c r="A2257" t="s">
        <v>2130</v>
      </c>
      <c r="B2257" t="s">
        <v>1884</v>
      </c>
      <c r="AF2257" t="s">
        <v>2130</v>
      </c>
      <c r="AG2257" t="s">
        <v>2125</v>
      </c>
      <c r="AH2257" t="b">
        <v>0</v>
      </c>
    </row>
    <row r="2258" spans="1:34">
      <c r="A2258" t="s">
        <v>2130</v>
      </c>
      <c r="B2258" t="s">
        <v>1885</v>
      </c>
      <c r="AF2258" t="s">
        <v>2130</v>
      </c>
      <c r="AG2258" t="s">
        <v>2125</v>
      </c>
      <c r="AH2258" t="b">
        <v>0</v>
      </c>
    </row>
    <row r="2259" spans="1:34">
      <c r="A2259" t="s">
        <v>2130</v>
      </c>
      <c r="B2259" t="s">
        <v>1886</v>
      </c>
      <c r="AF2259" t="s">
        <v>2130</v>
      </c>
      <c r="AG2259" t="s">
        <v>2125</v>
      </c>
      <c r="AH2259" t="b">
        <v>0</v>
      </c>
    </row>
    <row r="2260" spans="1:34">
      <c r="A2260" t="s">
        <v>2130</v>
      </c>
      <c r="B2260" t="s">
        <v>1887</v>
      </c>
      <c r="AF2260" t="s">
        <v>2130</v>
      </c>
      <c r="AG2260" t="s">
        <v>2125</v>
      </c>
      <c r="AH2260" t="b">
        <v>0</v>
      </c>
    </row>
    <row r="2261" spans="1:34">
      <c r="A2261" t="s">
        <v>2130</v>
      </c>
      <c r="B2261" t="s">
        <v>1888</v>
      </c>
      <c r="AF2261" t="s">
        <v>2130</v>
      </c>
      <c r="AG2261" t="s">
        <v>2125</v>
      </c>
      <c r="AH2261" t="b">
        <v>0</v>
      </c>
    </row>
    <row r="2262" spans="1:34">
      <c r="A2262" t="s">
        <v>2130</v>
      </c>
      <c r="B2262" t="s">
        <v>1889</v>
      </c>
      <c r="AF2262" t="s">
        <v>2130</v>
      </c>
      <c r="AG2262" t="s">
        <v>2125</v>
      </c>
      <c r="AH2262" t="b">
        <v>0</v>
      </c>
    </row>
    <row r="2263" spans="1:34">
      <c r="A2263" t="s">
        <v>2130</v>
      </c>
      <c r="B2263" t="s">
        <v>1890</v>
      </c>
      <c r="AF2263" t="s">
        <v>2130</v>
      </c>
      <c r="AG2263" t="s">
        <v>2125</v>
      </c>
      <c r="AH2263" t="b">
        <v>0</v>
      </c>
    </row>
    <row r="2264" spans="1:34">
      <c r="A2264" t="s">
        <v>2130</v>
      </c>
      <c r="B2264" t="s">
        <v>1891</v>
      </c>
      <c r="AF2264" t="s">
        <v>2130</v>
      </c>
      <c r="AG2264" t="s">
        <v>2125</v>
      </c>
      <c r="AH2264" t="b">
        <v>0</v>
      </c>
    </row>
    <row r="2265" spans="1:34">
      <c r="A2265" t="s">
        <v>2130</v>
      </c>
      <c r="B2265" t="s">
        <v>1892</v>
      </c>
      <c r="AF2265" t="s">
        <v>2130</v>
      </c>
      <c r="AG2265" t="s">
        <v>2125</v>
      </c>
      <c r="AH2265" t="b">
        <v>0</v>
      </c>
    </row>
    <row r="2266" spans="1:34">
      <c r="A2266" t="s">
        <v>2130</v>
      </c>
      <c r="B2266" t="s">
        <v>1893</v>
      </c>
      <c r="AF2266" t="s">
        <v>2130</v>
      </c>
      <c r="AG2266" t="s">
        <v>2125</v>
      </c>
      <c r="AH2266" t="b">
        <v>0</v>
      </c>
    </row>
    <row r="2267" spans="1:34">
      <c r="A2267" t="s">
        <v>2130</v>
      </c>
      <c r="B2267" t="s">
        <v>1894</v>
      </c>
      <c r="AF2267" t="s">
        <v>2130</v>
      </c>
      <c r="AG2267" t="s">
        <v>2125</v>
      </c>
      <c r="AH2267" t="b">
        <v>0</v>
      </c>
    </row>
    <row r="2268" spans="1:34">
      <c r="A2268" t="s">
        <v>2130</v>
      </c>
      <c r="B2268" t="s">
        <v>1895</v>
      </c>
      <c r="AF2268" t="s">
        <v>2130</v>
      </c>
      <c r="AG2268" t="s">
        <v>2125</v>
      </c>
      <c r="AH2268" t="b">
        <v>0</v>
      </c>
    </row>
    <row r="2269" spans="1:34">
      <c r="A2269" t="s">
        <v>2130</v>
      </c>
      <c r="B2269" t="s">
        <v>1896</v>
      </c>
      <c r="AF2269" t="s">
        <v>2130</v>
      </c>
      <c r="AG2269" t="s">
        <v>2125</v>
      </c>
      <c r="AH2269" t="b">
        <v>0</v>
      </c>
    </row>
    <row r="2270" spans="1:34">
      <c r="A2270" t="s">
        <v>2130</v>
      </c>
      <c r="B2270" t="s">
        <v>1897</v>
      </c>
      <c r="AF2270" t="s">
        <v>2130</v>
      </c>
      <c r="AG2270" t="s">
        <v>2125</v>
      </c>
      <c r="AH2270" t="b">
        <v>0</v>
      </c>
    </row>
    <row r="2271" spans="1:34">
      <c r="A2271" t="s">
        <v>2130</v>
      </c>
      <c r="B2271" t="s">
        <v>1898</v>
      </c>
      <c r="AF2271" t="s">
        <v>2130</v>
      </c>
      <c r="AG2271" t="s">
        <v>2125</v>
      </c>
      <c r="AH2271" t="b">
        <v>0</v>
      </c>
    </row>
    <row r="2272" spans="1:34">
      <c r="A2272" t="s">
        <v>2130</v>
      </c>
      <c r="B2272" t="s">
        <v>1899</v>
      </c>
      <c r="AF2272" t="s">
        <v>2130</v>
      </c>
      <c r="AG2272" t="s">
        <v>2125</v>
      </c>
      <c r="AH2272" t="b">
        <v>0</v>
      </c>
    </row>
    <row r="2273" spans="1:34">
      <c r="A2273" t="s">
        <v>2130</v>
      </c>
      <c r="B2273" t="s">
        <v>1900</v>
      </c>
      <c r="AF2273" t="s">
        <v>2130</v>
      </c>
      <c r="AG2273" t="s">
        <v>2125</v>
      </c>
      <c r="AH2273" t="b">
        <v>0</v>
      </c>
    </row>
    <row r="2274" spans="1:34">
      <c r="A2274" t="s">
        <v>2130</v>
      </c>
      <c r="B2274" t="s">
        <v>1901</v>
      </c>
      <c r="AF2274" t="s">
        <v>2130</v>
      </c>
      <c r="AG2274" t="s">
        <v>2125</v>
      </c>
      <c r="AH2274" t="b">
        <v>0</v>
      </c>
    </row>
    <row r="2275" spans="1:34">
      <c r="A2275" t="s">
        <v>2130</v>
      </c>
      <c r="B2275" t="s">
        <v>1902</v>
      </c>
      <c r="AF2275" t="s">
        <v>2130</v>
      </c>
      <c r="AG2275" t="s">
        <v>2125</v>
      </c>
      <c r="AH2275" t="b">
        <v>0</v>
      </c>
    </row>
    <row r="2276" spans="1:34">
      <c r="A2276" t="s">
        <v>2130</v>
      </c>
      <c r="B2276" t="s">
        <v>1903</v>
      </c>
      <c r="AF2276" t="s">
        <v>2130</v>
      </c>
      <c r="AG2276" t="s">
        <v>2125</v>
      </c>
      <c r="AH2276" t="b">
        <v>0</v>
      </c>
    </row>
    <row r="2277" spans="1:34">
      <c r="A2277" t="s">
        <v>2130</v>
      </c>
      <c r="B2277" t="s">
        <v>1904</v>
      </c>
      <c r="AF2277" t="s">
        <v>2130</v>
      </c>
      <c r="AG2277" t="s">
        <v>2125</v>
      </c>
      <c r="AH2277" t="b">
        <v>0</v>
      </c>
    </row>
    <row r="2278" spans="1:34">
      <c r="A2278" t="s">
        <v>2130</v>
      </c>
      <c r="B2278" t="s">
        <v>1905</v>
      </c>
      <c r="AF2278" t="s">
        <v>2130</v>
      </c>
      <c r="AG2278" t="s">
        <v>2125</v>
      </c>
      <c r="AH2278" t="b">
        <v>0</v>
      </c>
    </row>
    <row r="2279" spans="1:34">
      <c r="A2279" t="s">
        <v>2130</v>
      </c>
      <c r="B2279" t="s">
        <v>1906</v>
      </c>
      <c r="AF2279" t="s">
        <v>2130</v>
      </c>
      <c r="AG2279" t="s">
        <v>2125</v>
      </c>
      <c r="AH2279" t="b">
        <v>0</v>
      </c>
    </row>
    <row r="2280" spans="1:34">
      <c r="A2280" t="s">
        <v>2130</v>
      </c>
      <c r="B2280" t="s">
        <v>1907</v>
      </c>
      <c r="AF2280" t="s">
        <v>2130</v>
      </c>
      <c r="AG2280" t="s">
        <v>2125</v>
      </c>
      <c r="AH2280" t="b">
        <v>0</v>
      </c>
    </row>
    <row r="2281" spans="1:34">
      <c r="A2281" t="s">
        <v>2130</v>
      </c>
      <c r="B2281" t="s">
        <v>1908</v>
      </c>
      <c r="AF2281" t="s">
        <v>2130</v>
      </c>
      <c r="AG2281" t="s">
        <v>2125</v>
      </c>
      <c r="AH2281" t="b">
        <v>0</v>
      </c>
    </row>
    <row r="2282" spans="1:34">
      <c r="A2282" t="s">
        <v>2130</v>
      </c>
      <c r="B2282" t="s">
        <v>1909</v>
      </c>
      <c r="AF2282" t="s">
        <v>2130</v>
      </c>
      <c r="AG2282" t="s">
        <v>2125</v>
      </c>
      <c r="AH2282" t="b">
        <v>0</v>
      </c>
    </row>
    <row r="2283" spans="1:34">
      <c r="A2283" t="s">
        <v>2130</v>
      </c>
      <c r="B2283" t="s">
        <v>1910</v>
      </c>
      <c r="AF2283" t="s">
        <v>2130</v>
      </c>
      <c r="AG2283" t="s">
        <v>2125</v>
      </c>
      <c r="AH2283" t="b">
        <v>0</v>
      </c>
    </row>
    <row r="2284" spans="1:34">
      <c r="A2284" t="s">
        <v>2130</v>
      </c>
      <c r="B2284" t="s">
        <v>1911</v>
      </c>
      <c r="AF2284" t="s">
        <v>2130</v>
      </c>
      <c r="AG2284" t="s">
        <v>2125</v>
      </c>
      <c r="AH2284" t="b">
        <v>0</v>
      </c>
    </row>
    <row r="2285" spans="1:34">
      <c r="A2285" t="s">
        <v>2130</v>
      </c>
      <c r="B2285" t="s">
        <v>1912</v>
      </c>
      <c r="AF2285" t="s">
        <v>2130</v>
      </c>
      <c r="AG2285" t="s">
        <v>2125</v>
      </c>
      <c r="AH2285" t="b">
        <v>0</v>
      </c>
    </row>
    <row r="2286" spans="1:34">
      <c r="A2286" t="s">
        <v>2130</v>
      </c>
      <c r="B2286" t="s">
        <v>1913</v>
      </c>
      <c r="AF2286" t="s">
        <v>2130</v>
      </c>
      <c r="AG2286" t="s">
        <v>2125</v>
      </c>
      <c r="AH2286" t="b">
        <v>0</v>
      </c>
    </row>
    <row r="2287" spans="1:34">
      <c r="A2287" t="s">
        <v>2130</v>
      </c>
      <c r="B2287" t="s">
        <v>1914</v>
      </c>
      <c r="AF2287" t="s">
        <v>2130</v>
      </c>
      <c r="AG2287" t="s">
        <v>2125</v>
      </c>
      <c r="AH2287" t="b">
        <v>0</v>
      </c>
    </row>
    <row r="2288" spans="1:34">
      <c r="A2288" t="s">
        <v>2130</v>
      </c>
      <c r="B2288" t="s">
        <v>1915</v>
      </c>
      <c r="AF2288" t="s">
        <v>2130</v>
      </c>
      <c r="AG2288" t="s">
        <v>2125</v>
      </c>
      <c r="AH2288" t="b">
        <v>0</v>
      </c>
    </row>
    <row r="2289" spans="1:34">
      <c r="A2289" t="s">
        <v>2130</v>
      </c>
      <c r="B2289" t="s">
        <v>1916</v>
      </c>
      <c r="AF2289" t="s">
        <v>2130</v>
      </c>
      <c r="AG2289" t="s">
        <v>2125</v>
      </c>
      <c r="AH2289" t="b">
        <v>0</v>
      </c>
    </row>
    <row r="2290" spans="1:34">
      <c r="A2290" t="s">
        <v>2130</v>
      </c>
      <c r="B2290" t="s">
        <v>1917</v>
      </c>
      <c r="AF2290" t="s">
        <v>2130</v>
      </c>
      <c r="AG2290" t="s">
        <v>2125</v>
      </c>
      <c r="AH2290" t="b">
        <v>0</v>
      </c>
    </row>
    <row r="2291" spans="1:34">
      <c r="A2291" t="s">
        <v>2130</v>
      </c>
      <c r="B2291" t="s">
        <v>1918</v>
      </c>
      <c r="AF2291" t="s">
        <v>2130</v>
      </c>
      <c r="AG2291" t="s">
        <v>2125</v>
      </c>
      <c r="AH2291" t="b">
        <v>0</v>
      </c>
    </row>
    <row r="2292" spans="1:34">
      <c r="A2292" t="s">
        <v>2130</v>
      </c>
      <c r="B2292" t="s">
        <v>1919</v>
      </c>
      <c r="AF2292" t="s">
        <v>2130</v>
      </c>
      <c r="AG2292" t="s">
        <v>2125</v>
      </c>
      <c r="AH2292" t="b">
        <v>0</v>
      </c>
    </row>
    <row r="2293" spans="1:34">
      <c r="A2293" t="s">
        <v>2130</v>
      </c>
      <c r="B2293" t="s">
        <v>1920</v>
      </c>
      <c r="AF2293" t="s">
        <v>2130</v>
      </c>
      <c r="AG2293" t="s">
        <v>2125</v>
      </c>
      <c r="AH2293" t="b">
        <v>0</v>
      </c>
    </row>
    <row r="2294" spans="1:34">
      <c r="A2294" t="s">
        <v>2130</v>
      </c>
      <c r="B2294" t="s">
        <v>1921</v>
      </c>
      <c r="AF2294" t="s">
        <v>2130</v>
      </c>
      <c r="AG2294" t="s">
        <v>2125</v>
      </c>
      <c r="AH2294" t="b">
        <v>0</v>
      </c>
    </row>
    <row r="2295" spans="1:34">
      <c r="A2295" t="s">
        <v>2130</v>
      </c>
      <c r="B2295" t="s">
        <v>1922</v>
      </c>
      <c r="AF2295" t="s">
        <v>2130</v>
      </c>
      <c r="AG2295" t="s">
        <v>2125</v>
      </c>
      <c r="AH2295" t="b">
        <v>0</v>
      </c>
    </row>
    <row r="2296" spans="1:34">
      <c r="A2296" t="s">
        <v>2130</v>
      </c>
      <c r="B2296" t="s">
        <v>1923</v>
      </c>
      <c r="AF2296" t="s">
        <v>2130</v>
      </c>
      <c r="AG2296" t="s">
        <v>2125</v>
      </c>
      <c r="AH2296" t="b">
        <v>0</v>
      </c>
    </row>
    <row r="2297" spans="1:34">
      <c r="A2297" t="s">
        <v>2130</v>
      </c>
      <c r="B2297" t="s">
        <v>1924</v>
      </c>
      <c r="AF2297" t="s">
        <v>2130</v>
      </c>
      <c r="AG2297" t="s">
        <v>2125</v>
      </c>
      <c r="AH2297" t="b">
        <v>0</v>
      </c>
    </row>
    <row r="2298" spans="1:34">
      <c r="A2298" t="s">
        <v>2130</v>
      </c>
      <c r="B2298" t="s">
        <v>1925</v>
      </c>
      <c r="AF2298" t="s">
        <v>2130</v>
      </c>
      <c r="AG2298" t="s">
        <v>2125</v>
      </c>
      <c r="AH2298" t="b">
        <v>0</v>
      </c>
    </row>
    <row r="2299" spans="1:34">
      <c r="A2299" t="s">
        <v>2130</v>
      </c>
      <c r="B2299" t="s">
        <v>1926</v>
      </c>
      <c r="AF2299" t="s">
        <v>2130</v>
      </c>
      <c r="AG2299" t="s">
        <v>2125</v>
      </c>
      <c r="AH2299" t="b">
        <v>0</v>
      </c>
    </row>
    <row r="2300" spans="1:34">
      <c r="A2300" t="s">
        <v>2130</v>
      </c>
      <c r="B2300" t="s">
        <v>1927</v>
      </c>
      <c r="AF2300" t="s">
        <v>2130</v>
      </c>
      <c r="AG2300" t="s">
        <v>2125</v>
      </c>
      <c r="AH2300" t="b">
        <v>0</v>
      </c>
    </row>
    <row r="2301" spans="1:34">
      <c r="A2301" t="s">
        <v>2130</v>
      </c>
      <c r="B2301" t="s">
        <v>1928</v>
      </c>
      <c r="AF2301" t="s">
        <v>2130</v>
      </c>
      <c r="AG2301" t="s">
        <v>2125</v>
      </c>
      <c r="AH2301" t="b">
        <v>0</v>
      </c>
    </row>
    <row r="2302" spans="1:34">
      <c r="A2302" t="s">
        <v>2130</v>
      </c>
      <c r="B2302" t="s">
        <v>1929</v>
      </c>
      <c r="AF2302" t="s">
        <v>2130</v>
      </c>
      <c r="AG2302" t="s">
        <v>2125</v>
      </c>
      <c r="AH2302" t="b">
        <v>0</v>
      </c>
    </row>
    <row r="2303" spans="1:34">
      <c r="A2303" t="s">
        <v>2130</v>
      </c>
      <c r="B2303" t="s">
        <v>1930</v>
      </c>
      <c r="AF2303" t="s">
        <v>2130</v>
      </c>
      <c r="AG2303" t="s">
        <v>2125</v>
      </c>
      <c r="AH2303" t="b">
        <v>0</v>
      </c>
    </row>
    <row r="2304" spans="1:34">
      <c r="A2304" t="s">
        <v>2130</v>
      </c>
      <c r="B2304" t="s">
        <v>1931</v>
      </c>
      <c r="AF2304" t="s">
        <v>2130</v>
      </c>
      <c r="AG2304" t="s">
        <v>2125</v>
      </c>
      <c r="AH2304" t="b">
        <v>0</v>
      </c>
    </row>
    <row r="2305" spans="1:34">
      <c r="A2305" t="s">
        <v>2130</v>
      </c>
      <c r="B2305" t="s">
        <v>1932</v>
      </c>
      <c r="AF2305" t="s">
        <v>2130</v>
      </c>
      <c r="AG2305" t="s">
        <v>2125</v>
      </c>
      <c r="AH2305" t="b">
        <v>0</v>
      </c>
    </row>
    <row r="2306" spans="1:34">
      <c r="A2306" t="s">
        <v>2130</v>
      </c>
      <c r="B2306" t="s">
        <v>1933</v>
      </c>
      <c r="AF2306" t="s">
        <v>2130</v>
      </c>
      <c r="AG2306" t="s">
        <v>2125</v>
      </c>
      <c r="AH2306" t="b">
        <v>0</v>
      </c>
    </row>
    <row r="2307" spans="1:34">
      <c r="A2307" t="s">
        <v>2130</v>
      </c>
      <c r="B2307" t="s">
        <v>1934</v>
      </c>
      <c r="AF2307" t="s">
        <v>2130</v>
      </c>
      <c r="AG2307" t="s">
        <v>2125</v>
      </c>
      <c r="AH2307" t="b">
        <v>0</v>
      </c>
    </row>
    <row r="2308" spans="1:34">
      <c r="A2308" t="s">
        <v>2130</v>
      </c>
      <c r="B2308" t="s">
        <v>1935</v>
      </c>
      <c r="AF2308" t="s">
        <v>2130</v>
      </c>
      <c r="AG2308" t="s">
        <v>2125</v>
      </c>
      <c r="AH2308" t="b">
        <v>0</v>
      </c>
    </row>
    <row r="2309" spans="1:34">
      <c r="A2309" t="s">
        <v>2130</v>
      </c>
      <c r="B2309" t="s">
        <v>1936</v>
      </c>
      <c r="AF2309" t="s">
        <v>2130</v>
      </c>
      <c r="AG2309" t="s">
        <v>2125</v>
      </c>
      <c r="AH2309" t="b">
        <v>0</v>
      </c>
    </row>
    <row r="2310" spans="1:34">
      <c r="A2310" t="s">
        <v>2130</v>
      </c>
      <c r="B2310" t="s">
        <v>1937</v>
      </c>
      <c r="AF2310" t="s">
        <v>2130</v>
      </c>
      <c r="AG2310" t="s">
        <v>2125</v>
      </c>
      <c r="AH2310" t="b">
        <v>0</v>
      </c>
    </row>
    <row r="2311" spans="1:34">
      <c r="A2311" t="s">
        <v>2130</v>
      </c>
      <c r="B2311" t="s">
        <v>1938</v>
      </c>
      <c r="AF2311" t="s">
        <v>2130</v>
      </c>
      <c r="AG2311" t="s">
        <v>2125</v>
      </c>
      <c r="AH2311" t="b">
        <v>0</v>
      </c>
    </row>
    <row r="2312" spans="1:34">
      <c r="A2312" t="s">
        <v>2130</v>
      </c>
      <c r="B2312" t="s">
        <v>1939</v>
      </c>
      <c r="AF2312" t="s">
        <v>2130</v>
      </c>
      <c r="AG2312" t="s">
        <v>2125</v>
      </c>
      <c r="AH2312" t="b">
        <v>0</v>
      </c>
    </row>
    <row r="2313" spans="1:34">
      <c r="A2313" t="s">
        <v>2130</v>
      </c>
      <c r="B2313" t="s">
        <v>1940</v>
      </c>
      <c r="AF2313" t="s">
        <v>2130</v>
      </c>
      <c r="AG2313" t="s">
        <v>2125</v>
      </c>
      <c r="AH2313" t="b">
        <v>0</v>
      </c>
    </row>
    <row r="2314" spans="1:34">
      <c r="A2314" t="s">
        <v>2130</v>
      </c>
      <c r="B2314" t="s">
        <v>1941</v>
      </c>
      <c r="AF2314" t="s">
        <v>2130</v>
      </c>
      <c r="AG2314" t="s">
        <v>2125</v>
      </c>
      <c r="AH2314" t="b">
        <v>0</v>
      </c>
    </row>
    <row r="2315" spans="1:34">
      <c r="A2315" t="s">
        <v>2130</v>
      </c>
      <c r="B2315" t="s">
        <v>1942</v>
      </c>
      <c r="AF2315" t="s">
        <v>2130</v>
      </c>
      <c r="AG2315" t="s">
        <v>2125</v>
      </c>
      <c r="AH2315" t="b">
        <v>0</v>
      </c>
    </row>
    <row r="2316" spans="1:34">
      <c r="A2316" t="s">
        <v>2130</v>
      </c>
      <c r="B2316" t="s">
        <v>1943</v>
      </c>
      <c r="AF2316" t="s">
        <v>2130</v>
      </c>
      <c r="AG2316" t="s">
        <v>2125</v>
      </c>
      <c r="AH2316" t="b">
        <v>0</v>
      </c>
    </row>
    <row r="2317" spans="1:34">
      <c r="A2317" t="s">
        <v>2130</v>
      </c>
      <c r="B2317" t="s">
        <v>1944</v>
      </c>
      <c r="AF2317" t="s">
        <v>2130</v>
      </c>
      <c r="AG2317" t="s">
        <v>2125</v>
      </c>
      <c r="AH2317" t="b">
        <v>0</v>
      </c>
    </row>
    <row r="2318" spans="1:34">
      <c r="A2318" t="s">
        <v>2130</v>
      </c>
      <c r="B2318" t="s">
        <v>1945</v>
      </c>
      <c r="AF2318" t="s">
        <v>2130</v>
      </c>
      <c r="AG2318" t="s">
        <v>2125</v>
      </c>
      <c r="AH2318" t="b">
        <v>0</v>
      </c>
    </row>
    <row r="2319" spans="1:34">
      <c r="A2319" t="s">
        <v>2130</v>
      </c>
      <c r="B2319" t="s">
        <v>1946</v>
      </c>
      <c r="AF2319" t="s">
        <v>2130</v>
      </c>
      <c r="AG2319" t="s">
        <v>2125</v>
      </c>
      <c r="AH2319" t="b">
        <v>0</v>
      </c>
    </row>
    <row r="2320" spans="1:34">
      <c r="A2320" t="s">
        <v>2130</v>
      </c>
      <c r="B2320" t="s">
        <v>1947</v>
      </c>
      <c r="AF2320" t="s">
        <v>2130</v>
      </c>
      <c r="AG2320" t="s">
        <v>2125</v>
      </c>
      <c r="AH2320" t="b">
        <v>0</v>
      </c>
    </row>
    <row r="2321" spans="1:34">
      <c r="A2321" t="s">
        <v>2130</v>
      </c>
      <c r="B2321" t="s">
        <v>1948</v>
      </c>
      <c r="AF2321" t="s">
        <v>2130</v>
      </c>
      <c r="AG2321" t="s">
        <v>2125</v>
      </c>
      <c r="AH2321" t="b">
        <v>0</v>
      </c>
    </row>
    <row r="2322" spans="1:34">
      <c r="A2322" t="s">
        <v>2130</v>
      </c>
      <c r="B2322" t="s">
        <v>1949</v>
      </c>
      <c r="AF2322" t="s">
        <v>2130</v>
      </c>
      <c r="AG2322" t="s">
        <v>2125</v>
      </c>
      <c r="AH2322" t="b">
        <v>0</v>
      </c>
    </row>
    <row r="2323" spans="1:34">
      <c r="A2323" t="s">
        <v>2130</v>
      </c>
      <c r="B2323" t="s">
        <v>1950</v>
      </c>
      <c r="AF2323" t="s">
        <v>2130</v>
      </c>
      <c r="AG2323" t="s">
        <v>2125</v>
      </c>
      <c r="AH2323" t="b">
        <v>0</v>
      </c>
    </row>
    <row r="2324" spans="1:34">
      <c r="A2324" t="s">
        <v>2130</v>
      </c>
      <c r="B2324" t="s">
        <v>1951</v>
      </c>
      <c r="AF2324" t="s">
        <v>2130</v>
      </c>
      <c r="AG2324" t="s">
        <v>2125</v>
      </c>
      <c r="AH2324" t="b">
        <v>0</v>
      </c>
    </row>
    <row r="2325" spans="1:34">
      <c r="A2325" t="s">
        <v>2130</v>
      </c>
      <c r="B2325" t="s">
        <v>1952</v>
      </c>
      <c r="AF2325" t="s">
        <v>2130</v>
      </c>
      <c r="AG2325" t="s">
        <v>2125</v>
      </c>
      <c r="AH2325" t="b">
        <v>0</v>
      </c>
    </row>
    <row r="2326" spans="1:34">
      <c r="A2326" t="s">
        <v>2130</v>
      </c>
      <c r="B2326" t="s">
        <v>1953</v>
      </c>
      <c r="AF2326" t="s">
        <v>2130</v>
      </c>
      <c r="AG2326" t="s">
        <v>2125</v>
      </c>
      <c r="AH2326" t="b">
        <v>0</v>
      </c>
    </row>
    <row r="2327" spans="1:34">
      <c r="A2327" t="s">
        <v>2130</v>
      </c>
      <c r="B2327" t="s">
        <v>1954</v>
      </c>
      <c r="AF2327" t="s">
        <v>2130</v>
      </c>
      <c r="AG2327" t="s">
        <v>2125</v>
      </c>
      <c r="AH2327" t="b">
        <v>0</v>
      </c>
    </row>
    <row r="2328" spans="1:34">
      <c r="A2328" t="s">
        <v>2130</v>
      </c>
      <c r="B2328" t="s">
        <v>1955</v>
      </c>
      <c r="AF2328" t="s">
        <v>2130</v>
      </c>
      <c r="AG2328" t="s">
        <v>2125</v>
      </c>
      <c r="AH2328" t="b">
        <v>0</v>
      </c>
    </row>
    <row r="2329" spans="1:34">
      <c r="A2329" t="s">
        <v>2130</v>
      </c>
      <c r="B2329" t="s">
        <v>1956</v>
      </c>
      <c r="AF2329" t="s">
        <v>2130</v>
      </c>
      <c r="AG2329" t="s">
        <v>2125</v>
      </c>
      <c r="AH2329" t="b">
        <v>0</v>
      </c>
    </row>
    <row r="2330" spans="1:34">
      <c r="A2330" t="s">
        <v>2130</v>
      </c>
      <c r="B2330" t="s">
        <v>1957</v>
      </c>
      <c r="AF2330" t="s">
        <v>2130</v>
      </c>
      <c r="AG2330" t="s">
        <v>2125</v>
      </c>
      <c r="AH2330" t="b">
        <v>0</v>
      </c>
    </row>
    <row r="2331" spans="1:34">
      <c r="A2331" t="s">
        <v>2130</v>
      </c>
      <c r="B2331" t="s">
        <v>1958</v>
      </c>
      <c r="AF2331" t="s">
        <v>2130</v>
      </c>
      <c r="AG2331" t="s">
        <v>2125</v>
      </c>
      <c r="AH2331" t="b">
        <v>0</v>
      </c>
    </row>
    <row r="2332" spans="1:34">
      <c r="A2332" t="s">
        <v>2130</v>
      </c>
      <c r="B2332" t="s">
        <v>1959</v>
      </c>
      <c r="AF2332" t="s">
        <v>2130</v>
      </c>
      <c r="AG2332" t="s">
        <v>2125</v>
      </c>
      <c r="AH2332" t="b">
        <v>0</v>
      </c>
    </row>
    <row r="2333" spans="1:34">
      <c r="A2333" t="s">
        <v>2130</v>
      </c>
      <c r="B2333" t="s">
        <v>1960</v>
      </c>
      <c r="AF2333" t="s">
        <v>2130</v>
      </c>
      <c r="AG2333" t="s">
        <v>2125</v>
      </c>
      <c r="AH2333" t="b">
        <v>0</v>
      </c>
    </row>
    <row r="2334" spans="1:34">
      <c r="A2334" t="s">
        <v>2130</v>
      </c>
      <c r="B2334" t="s">
        <v>39</v>
      </c>
      <c r="AF2334" t="s">
        <v>2130</v>
      </c>
      <c r="AG2334" t="s">
        <v>2125</v>
      </c>
      <c r="AH2334" t="b">
        <v>0</v>
      </c>
    </row>
    <row r="2335" spans="1:34">
      <c r="A2335" t="s">
        <v>2130</v>
      </c>
      <c r="B2335" t="s">
        <v>1961</v>
      </c>
      <c r="AF2335" t="s">
        <v>2130</v>
      </c>
      <c r="AG2335" t="s">
        <v>2125</v>
      </c>
      <c r="AH2335" t="b">
        <v>0</v>
      </c>
    </row>
    <row r="2336" spans="1:34">
      <c r="A2336" t="s">
        <v>2130</v>
      </c>
      <c r="B2336" t="s">
        <v>1962</v>
      </c>
      <c r="AF2336" t="s">
        <v>2130</v>
      </c>
      <c r="AG2336" t="s">
        <v>2125</v>
      </c>
      <c r="AH2336" t="b">
        <v>0</v>
      </c>
    </row>
    <row r="2337" spans="1:34">
      <c r="A2337" t="s">
        <v>2130</v>
      </c>
      <c r="B2337" t="s">
        <v>1963</v>
      </c>
      <c r="AF2337" t="s">
        <v>2130</v>
      </c>
      <c r="AG2337" t="s">
        <v>2125</v>
      </c>
      <c r="AH2337" t="b">
        <v>0</v>
      </c>
    </row>
    <row r="2338" spans="1:34">
      <c r="A2338" t="s">
        <v>2130</v>
      </c>
      <c r="B2338" t="s">
        <v>1964</v>
      </c>
      <c r="AF2338" t="s">
        <v>2130</v>
      </c>
      <c r="AG2338" t="s">
        <v>2125</v>
      </c>
      <c r="AH2338" t="b">
        <v>0</v>
      </c>
    </row>
    <row r="2339" spans="1:34">
      <c r="A2339" t="s">
        <v>2130</v>
      </c>
      <c r="B2339" t="s">
        <v>1965</v>
      </c>
      <c r="AF2339" t="s">
        <v>2130</v>
      </c>
      <c r="AG2339" t="s">
        <v>2125</v>
      </c>
      <c r="AH2339" t="b">
        <v>0</v>
      </c>
    </row>
    <row r="2340" spans="1:34">
      <c r="A2340" t="s">
        <v>2130</v>
      </c>
      <c r="B2340" t="s">
        <v>1966</v>
      </c>
      <c r="AF2340" t="s">
        <v>2130</v>
      </c>
      <c r="AG2340" t="s">
        <v>2125</v>
      </c>
      <c r="AH2340" t="b">
        <v>0</v>
      </c>
    </row>
    <row r="2341" spans="1:34">
      <c r="A2341" t="s">
        <v>2130</v>
      </c>
      <c r="B2341" t="s">
        <v>1967</v>
      </c>
      <c r="AF2341" t="s">
        <v>2130</v>
      </c>
      <c r="AG2341" t="s">
        <v>2125</v>
      </c>
      <c r="AH2341" t="b">
        <v>0</v>
      </c>
    </row>
    <row r="2342" spans="1:34">
      <c r="A2342" t="s">
        <v>2130</v>
      </c>
      <c r="B2342" t="s">
        <v>1968</v>
      </c>
      <c r="AF2342" t="s">
        <v>2130</v>
      </c>
      <c r="AG2342" t="s">
        <v>2125</v>
      </c>
      <c r="AH2342" t="b">
        <v>0</v>
      </c>
    </row>
    <row r="2343" spans="1:34">
      <c r="A2343" t="s">
        <v>2130</v>
      </c>
      <c r="B2343" t="s">
        <v>1969</v>
      </c>
      <c r="AF2343" t="s">
        <v>2130</v>
      </c>
      <c r="AG2343" t="s">
        <v>2125</v>
      </c>
      <c r="AH2343" t="b">
        <v>0</v>
      </c>
    </row>
    <row r="2344" spans="1:34">
      <c r="A2344" t="s">
        <v>2130</v>
      </c>
      <c r="B2344" t="s">
        <v>1970</v>
      </c>
      <c r="AF2344" t="s">
        <v>2130</v>
      </c>
      <c r="AG2344" t="s">
        <v>2125</v>
      </c>
      <c r="AH2344" t="b">
        <v>0</v>
      </c>
    </row>
    <row r="2345" spans="1:34">
      <c r="A2345" t="s">
        <v>2130</v>
      </c>
      <c r="B2345" t="s">
        <v>1971</v>
      </c>
      <c r="AF2345" t="s">
        <v>2130</v>
      </c>
      <c r="AG2345" t="s">
        <v>2125</v>
      </c>
      <c r="AH2345" t="b">
        <v>0</v>
      </c>
    </row>
    <row r="2346" spans="1:34">
      <c r="A2346" t="s">
        <v>2130</v>
      </c>
      <c r="B2346" t="s">
        <v>1972</v>
      </c>
      <c r="AF2346" t="s">
        <v>2130</v>
      </c>
      <c r="AG2346" t="s">
        <v>2125</v>
      </c>
      <c r="AH2346" t="b">
        <v>0</v>
      </c>
    </row>
    <row r="2347" spans="1:34">
      <c r="A2347" t="s">
        <v>2130</v>
      </c>
      <c r="B2347" t="s">
        <v>1973</v>
      </c>
      <c r="AF2347" t="s">
        <v>2130</v>
      </c>
      <c r="AG2347" t="s">
        <v>2125</v>
      </c>
      <c r="AH2347" t="b">
        <v>0</v>
      </c>
    </row>
    <row r="2348" spans="1:34">
      <c r="A2348" t="s">
        <v>2130</v>
      </c>
      <c r="B2348" t="s">
        <v>1974</v>
      </c>
      <c r="AF2348" t="s">
        <v>2130</v>
      </c>
      <c r="AG2348" t="s">
        <v>2125</v>
      </c>
      <c r="AH2348" t="b">
        <v>0</v>
      </c>
    </row>
    <row r="2349" spans="1:34">
      <c r="A2349" t="s">
        <v>2130</v>
      </c>
      <c r="B2349" t="s">
        <v>1975</v>
      </c>
      <c r="AF2349" t="s">
        <v>2130</v>
      </c>
      <c r="AG2349" t="s">
        <v>2125</v>
      </c>
      <c r="AH2349" t="b">
        <v>0</v>
      </c>
    </row>
    <row r="2350" spans="1:34">
      <c r="A2350" t="s">
        <v>2130</v>
      </c>
      <c r="B2350" t="s">
        <v>1976</v>
      </c>
      <c r="AF2350" t="s">
        <v>2130</v>
      </c>
      <c r="AG2350" t="s">
        <v>2125</v>
      </c>
      <c r="AH2350" t="b">
        <v>0</v>
      </c>
    </row>
    <row r="2351" spans="1:34">
      <c r="A2351" t="s">
        <v>2131</v>
      </c>
      <c r="B2351" t="s">
        <v>1979</v>
      </c>
      <c r="AF2351" t="s">
        <v>2131</v>
      </c>
      <c r="AG2351" t="s">
        <v>2125</v>
      </c>
      <c r="AH2351" t="b">
        <v>0</v>
      </c>
    </row>
    <row r="2352" spans="1:34">
      <c r="A2352" t="s">
        <v>2131</v>
      </c>
      <c r="B2352" t="s">
        <v>1980</v>
      </c>
      <c r="AF2352" t="s">
        <v>2131</v>
      </c>
      <c r="AG2352" t="s">
        <v>2125</v>
      </c>
      <c r="AH2352" t="b">
        <v>0</v>
      </c>
    </row>
    <row r="2353" spans="1:34">
      <c r="A2353" t="s">
        <v>2131</v>
      </c>
      <c r="B2353" t="s">
        <v>1981</v>
      </c>
      <c r="AF2353" t="s">
        <v>2131</v>
      </c>
      <c r="AG2353" t="s">
        <v>2125</v>
      </c>
      <c r="AH2353" t="b">
        <v>0</v>
      </c>
    </row>
    <row r="2354" spans="1:34">
      <c r="A2354" t="s">
        <v>2131</v>
      </c>
      <c r="B2354" t="s">
        <v>1982</v>
      </c>
      <c r="AF2354" t="s">
        <v>2131</v>
      </c>
      <c r="AG2354" t="s">
        <v>2125</v>
      </c>
      <c r="AH2354" t="b">
        <v>0</v>
      </c>
    </row>
    <row r="2355" spans="1:34">
      <c r="A2355" t="s">
        <v>2131</v>
      </c>
      <c r="B2355" t="s">
        <v>1983</v>
      </c>
      <c r="AF2355" t="s">
        <v>2131</v>
      </c>
      <c r="AG2355" t="s">
        <v>2125</v>
      </c>
      <c r="AH2355" t="b">
        <v>0</v>
      </c>
    </row>
    <row r="2356" spans="1:34">
      <c r="A2356" t="s">
        <v>2131</v>
      </c>
      <c r="B2356" t="s">
        <v>1984</v>
      </c>
      <c r="AF2356" t="s">
        <v>2131</v>
      </c>
      <c r="AG2356" t="s">
        <v>2125</v>
      </c>
      <c r="AH2356" t="b">
        <v>0</v>
      </c>
    </row>
    <row r="2357" spans="1:34">
      <c r="A2357" t="s">
        <v>2131</v>
      </c>
      <c r="B2357" t="s">
        <v>1985</v>
      </c>
      <c r="AF2357" t="s">
        <v>2131</v>
      </c>
      <c r="AG2357" t="s">
        <v>2125</v>
      </c>
      <c r="AH2357" t="b">
        <v>0</v>
      </c>
    </row>
    <row r="2358" spans="1:34">
      <c r="A2358" t="s">
        <v>2131</v>
      </c>
      <c r="B2358" t="s">
        <v>1986</v>
      </c>
      <c r="AF2358" t="s">
        <v>2131</v>
      </c>
      <c r="AG2358" t="s">
        <v>2125</v>
      </c>
      <c r="AH2358" t="b">
        <v>0</v>
      </c>
    </row>
    <row r="2359" spans="1:34">
      <c r="A2359" t="s">
        <v>2131</v>
      </c>
      <c r="B2359" t="s">
        <v>1987</v>
      </c>
      <c r="AF2359" t="s">
        <v>2131</v>
      </c>
      <c r="AG2359" t="s">
        <v>2125</v>
      </c>
      <c r="AH2359" t="b">
        <v>0</v>
      </c>
    </row>
    <row r="2360" spans="1:34">
      <c r="A2360" t="s">
        <v>2131</v>
      </c>
      <c r="B2360" t="s">
        <v>1988</v>
      </c>
      <c r="AF2360" t="s">
        <v>2131</v>
      </c>
      <c r="AG2360" t="s">
        <v>2125</v>
      </c>
      <c r="AH2360" t="b">
        <v>0</v>
      </c>
    </row>
    <row r="2361" spans="1:34">
      <c r="A2361" t="s">
        <v>2131</v>
      </c>
      <c r="B2361" t="s">
        <v>1989</v>
      </c>
      <c r="AF2361" t="s">
        <v>2131</v>
      </c>
      <c r="AG2361" t="s">
        <v>2125</v>
      </c>
      <c r="AH2361" t="b">
        <v>0</v>
      </c>
    </row>
    <row r="2362" spans="1:34">
      <c r="A2362" t="s">
        <v>2131</v>
      </c>
      <c r="B2362" t="s">
        <v>1990</v>
      </c>
      <c r="AF2362" t="s">
        <v>2131</v>
      </c>
      <c r="AG2362" t="s">
        <v>2125</v>
      </c>
      <c r="AH2362" t="b">
        <v>0</v>
      </c>
    </row>
    <row r="2363" spans="1:34">
      <c r="A2363" t="s">
        <v>2131</v>
      </c>
      <c r="B2363" t="s">
        <v>1991</v>
      </c>
      <c r="AF2363" t="s">
        <v>2131</v>
      </c>
      <c r="AG2363" t="s">
        <v>2125</v>
      </c>
      <c r="AH2363" t="b">
        <v>0</v>
      </c>
    </row>
    <row r="2364" spans="1:34">
      <c r="A2364" t="s">
        <v>2131</v>
      </c>
      <c r="B2364" t="s">
        <v>1992</v>
      </c>
      <c r="AF2364" t="s">
        <v>2131</v>
      </c>
      <c r="AG2364" t="s">
        <v>2125</v>
      </c>
      <c r="AH2364" t="b">
        <v>0</v>
      </c>
    </row>
    <row r="2365" spans="1:34">
      <c r="A2365" t="s">
        <v>2131</v>
      </c>
      <c r="B2365" t="s">
        <v>1993</v>
      </c>
      <c r="AF2365" t="s">
        <v>2131</v>
      </c>
      <c r="AG2365" t="s">
        <v>2125</v>
      </c>
      <c r="AH2365" t="b">
        <v>0</v>
      </c>
    </row>
    <row r="2366" spans="1:34">
      <c r="A2366" t="s">
        <v>2131</v>
      </c>
      <c r="B2366" t="s">
        <v>1994</v>
      </c>
      <c r="AF2366" t="s">
        <v>2131</v>
      </c>
      <c r="AG2366" t="s">
        <v>2125</v>
      </c>
      <c r="AH2366" t="b">
        <v>0</v>
      </c>
    </row>
    <row r="2367" spans="1:34">
      <c r="A2367" t="s">
        <v>2131</v>
      </c>
      <c r="B2367" t="s">
        <v>1995</v>
      </c>
      <c r="AF2367" t="s">
        <v>2131</v>
      </c>
      <c r="AG2367" t="s">
        <v>2125</v>
      </c>
      <c r="AH2367" t="b">
        <v>0</v>
      </c>
    </row>
    <row r="2368" spans="1:34">
      <c r="A2368" t="s">
        <v>2131</v>
      </c>
      <c r="B2368" t="s">
        <v>1996</v>
      </c>
      <c r="AF2368" t="s">
        <v>2131</v>
      </c>
      <c r="AG2368" t="s">
        <v>2125</v>
      </c>
      <c r="AH2368" t="b">
        <v>0</v>
      </c>
    </row>
    <row r="2369" spans="1:34">
      <c r="A2369" t="s">
        <v>2131</v>
      </c>
      <c r="B2369" t="s">
        <v>1997</v>
      </c>
      <c r="AF2369" t="s">
        <v>2131</v>
      </c>
      <c r="AG2369" t="s">
        <v>2125</v>
      </c>
      <c r="AH2369" t="b">
        <v>0</v>
      </c>
    </row>
    <row r="2370" spans="1:34">
      <c r="A2370" t="s">
        <v>2131</v>
      </c>
      <c r="B2370" t="s">
        <v>1998</v>
      </c>
      <c r="AF2370" t="s">
        <v>2131</v>
      </c>
      <c r="AG2370" t="s">
        <v>2125</v>
      </c>
      <c r="AH2370" t="b">
        <v>0</v>
      </c>
    </row>
    <row r="2371" spans="1:34">
      <c r="A2371" t="s">
        <v>2131</v>
      </c>
      <c r="B2371" t="s">
        <v>1999</v>
      </c>
      <c r="AF2371" t="s">
        <v>2131</v>
      </c>
      <c r="AG2371" t="s">
        <v>2125</v>
      </c>
      <c r="AH2371" t="b">
        <v>0</v>
      </c>
    </row>
    <row r="2372" spans="1:34">
      <c r="A2372" t="s">
        <v>2131</v>
      </c>
      <c r="B2372" t="s">
        <v>2000</v>
      </c>
      <c r="AF2372" t="s">
        <v>2131</v>
      </c>
      <c r="AG2372" t="s">
        <v>2125</v>
      </c>
      <c r="AH2372" t="b">
        <v>0</v>
      </c>
    </row>
    <row r="2373" spans="1:34">
      <c r="A2373" t="s">
        <v>2131</v>
      </c>
      <c r="B2373" t="s">
        <v>2001</v>
      </c>
      <c r="AF2373" t="s">
        <v>2131</v>
      </c>
      <c r="AG2373" t="s">
        <v>2125</v>
      </c>
      <c r="AH2373" t="b">
        <v>0</v>
      </c>
    </row>
    <row r="2374" spans="1:34">
      <c r="A2374" t="s">
        <v>2131</v>
      </c>
      <c r="B2374" t="s">
        <v>2002</v>
      </c>
      <c r="AF2374" t="s">
        <v>2131</v>
      </c>
      <c r="AG2374" t="s">
        <v>2125</v>
      </c>
      <c r="AH2374" t="b">
        <v>0</v>
      </c>
    </row>
    <row r="2375" spans="1:34">
      <c r="A2375" t="s">
        <v>2131</v>
      </c>
      <c r="B2375" t="s">
        <v>2003</v>
      </c>
      <c r="AF2375" t="s">
        <v>2131</v>
      </c>
      <c r="AG2375" t="s">
        <v>2125</v>
      </c>
      <c r="AH2375" t="b">
        <v>0</v>
      </c>
    </row>
    <row r="2376" spans="1:34">
      <c r="A2376" t="s">
        <v>2131</v>
      </c>
      <c r="B2376" t="s">
        <v>2004</v>
      </c>
      <c r="AF2376" t="s">
        <v>2131</v>
      </c>
      <c r="AG2376" t="s">
        <v>2125</v>
      </c>
      <c r="AH2376" t="b">
        <v>0</v>
      </c>
    </row>
    <row r="2377" spans="1:34">
      <c r="A2377" t="s">
        <v>2131</v>
      </c>
      <c r="B2377" t="s">
        <v>2005</v>
      </c>
      <c r="AF2377" t="s">
        <v>2131</v>
      </c>
      <c r="AG2377" t="s">
        <v>2125</v>
      </c>
      <c r="AH2377" t="b">
        <v>0</v>
      </c>
    </row>
    <row r="2378" spans="1:34">
      <c r="A2378" t="s">
        <v>2131</v>
      </c>
      <c r="B2378" t="s">
        <v>2006</v>
      </c>
      <c r="AF2378" t="s">
        <v>2131</v>
      </c>
      <c r="AG2378" t="s">
        <v>2125</v>
      </c>
      <c r="AH2378" t="b">
        <v>0</v>
      </c>
    </row>
    <row r="2379" spans="1:34">
      <c r="A2379" t="s">
        <v>2131</v>
      </c>
      <c r="B2379" t="s">
        <v>2007</v>
      </c>
      <c r="AF2379" t="s">
        <v>2131</v>
      </c>
      <c r="AG2379" t="s">
        <v>2125</v>
      </c>
      <c r="AH2379" t="b">
        <v>0</v>
      </c>
    </row>
    <row r="2380" spans="1:34">
      <c r="A2380" t="s">
        <v>2131</v>
      </c>
      <c r="B2380" t="s">
        <v>2008</v>
      </c>
      <c r="AF2380" t="s">
        <v>2131</v>
      </c>
      <c r="AG2380" t="s">
        <v>2125</v>
      </c>
      <c r="AH2380" t="b">
        <v>0</v>
      </c>
    </row>
    <row r="2381" spans="1:34">
      <c r="A2381" t="s">
        <v>2131</v>
      </c>
      <c r="B2381" t="s">
        <v>2009</v>
      </c>
      <c r="AF2381" t="s">
        <v>2131</v>
      </c>
      <c r="AG2381" t="s">
        <v>2125</v>
      </c>
      <c r="AH2381" t="b">
        <v>0</v>
      </c>
    </row>
    <row r="2382" spans="1:34">
      <c r="A2382" t="s">
        <v>2131</v>
      </c>
      <c r="B2382" t="s">
        <v>2010</v>
      </c>
      <c r="AF2382" t="s">
        <v>2131</v>
      </c>
      <c r="AG2382" t="s">
        <v>2125</v>
      </c>
      <c r="AH2382" t="b">
        <v>0</v>
      </c>
    </row>
    <row r="2383" spans="1:34">
      <c r="A2383" t="s">
        <v>2131</v>
      </c>
      <c r="B2383" t="s">
        <v>2011</v>
      </c>
      <c r="AF2383" t="s">
        <v>2131</v>
      </c>
      <c r="AG2383" t="s">
        <v>2125</v>
      </c>
      <c r="AH2383" t="b">
        <v>0</v>
      </c>
    </row>
    <row r="2384" spans="1:34">
      <c r="A2384" t="s">
        <v>2131</v>
      </c>
      <c r="B2384" t="s">
        <v>2012</v>
      </c>
      <c r="AF2384" t="s">
        <v>2131</v>
      </c>
      <c r="AG2384" t="s">
        <v>2125</v>
      </c>
      <c r="AH2384" t="b">
        <v>0</v>
      </c>
    </row>
    <row r="2385" spans="1:34">
      <c r="A2385" t="s">
        <v>2131</v>
      </c>
      <c r="B2385" t="s">
        <v>2013</v>
      </c>
      <c r="AF2385" t="s">
        <v>2131</v>
      </c>
      <c r="AG2385" t="s">
        <v>2125</v>
      </c>
      <c r="AH2385" t="b">
        <v>0</v>
      </c>
    </row>
    <row r="2386" spans="1:34">
      <c r="A2386" t="s">
        <v>2131</v>
      </c>
      <c r="B2386" t="s">
        <v>2014</v>
      </c>
      <c r="AF2386" t="s">
        <v>2131</v>
      </c>
      <c r="AG2386" t="s">
        <v>2125</v>
      </c>
      <c r="AH2386" t="b">
        <v>0</v>
      </c>
    </row>
    <row r="2387" spans="1:34">
      <c r="A2387" t="s">
        <v>2131</v>
      </c>
      <c r="B2387" t="s">
        <v>2015</v>
      </c>
      <c r="AF2387" t="s">
        <v>2131</v>
      </c>
      <c r="AG2387" t="s">
        <v>2125</v>
      </c>
      <c r="AH2387" t="b">
        <v>0</v>
      </c>
    </row>
    <row r="2388" spans="1:34">
      <c r="A2388" t="s">
        <v>2131</v>
      </c>
      <c r="B2388" t="s">
        <v>2016</v>
      </c>
      <c r="AF2388" t="s">
        <v>2131</v>
      </c>
      <c r="AG2388" t="s">
        <v>2125</v>
      </c>
      <c r="AH2388" t="b">
        <v>0</v>
      </c>
    </row>
    <row r="2389" spans="1:34">
      <c r="A2389" t="s">
        <v>2131</v>
      </c>
      <c r="B2389" t="s">
        <v>2017</v>
      </c>
      <c r="AF2389" t="s">
        <v>2131</v>
      </c>
      <c r="AG2389" t="s">
        <v>2125</v>
      </c>
      <c r="AH2389" t="b">
        <v>0</v>
      </c>
    </row>
    <row r="2390" spans="1:34">
      <c r="A2390" t="s">
        <v>2131</v>
      </c>
      <c r="B2390" t="s">
        <v>2018</v>
      </c>
      <c r="AF2390" t="s">
        <v>2131</v>
      </c>
      <c r="AG2390" t="s">
        <v>2125</v>
      </c>
      <c r="AH2390" t="b">
        <v>0</v>
      </c>
    </row>
    <row r="2391" spans="1:34">
      <c r="A2391" t="s">
        <v>2131</v>
      </c>
      <c r="B2391" t="s">
        <v>2019</v>
      </c>
      <c r="AF2391" t="s">
        <v>2131</v>
      </c>
      <c r="AG2391" t="s">
        <v>2125</v>
      </c>
      <c r="AH2391" t="b">
        <v>0</v>
      </c>
    </row>
    <row r="2392" spans="1:34">
      <c r="A2392" t="s">
        <v>2131</v>
      </c>
      <c r="B2392" t="s">
        <v>2020</v>
      </c>
      <c r="AF2392" t="s">
        <v>2131</v>
      </c>
      <c r="AG2392" t="s">
        <v>2125</v>
      </c>
      <c r="AH2392" t="b">
        <v>0</v>
      </c>
    </row>
    <row r="2393" spans="1:34">
      <c r="A2393" t="s">
        <v>2131</v>
      </c>
      <c r="B2393" t="s">
        <v>1875</v>
      </c>
      <c r="AF2393" t="s">
        <v>2131</v>
      </c>
      <c r="AG2393" t="s">
        <v>2125</v>
      </c>
      <c r="AH2393" t="b">
        <v>0</v>
      </c>
    </row>
    <row r="2394" spans="1:34">
      <c r="A2394" t="s">
        <v>2131</v>
      </c>
      <c r="B2394" t="s">
        <v>1876</v>
      </c>
      <c r="AF2394" t="s">
        <v>2131</v>
      </c>
      <c r="AG2394" t="s">
        <v>2125</v>
      </c>
      <c r="AH2394" t="b">
        <v>0</v>
      </c>
    </row>
    <row r="2395" spans="1:34">
      <c r="A2395" t="s">
        <v>2131</v>
      </c>
      <c r="B2395" t="s">
        <v>1877</v>
      </c>
      <c r="AF2395" t="s">
        <v>2131</v>
      </c>
      <c r="AG2395" t="s">
        <v>2125</v>
      </c>
      <c r="AH2395" t="b">
        <v>0</v>
      </c>
    </row>
    <row r="2396" spans="1:34">
      <c r="A2396" t="s">
        <v>2131</v>
      </c>
      <c r="B2396" t="s">
        <v>2021</v>
      </c>
      <c r="AF2396" t="s">
        <v>2131</v>
      </c>
      <c r="AG2396" t="s">
        <v>2125</v>
      </c>
      <c r="AH2396" t="b">
        <v>0</v>
      </c>
    </row>
    <row r="2397" spans="1:34">
      <c r="A2397" t="s">
        <v>2131</v>
      </c>
      <c r="B2397" t="s">
        <v>2022</v>
      </c>
      <c r="AF2397" t="s">
        <v>2131</v>
      </c>
      <c r="AG2397" t="s">
        <v>2125</v>
      </c>
      <c r="AH2397" t="b">
        <v>0</v>
      </c>
    </row>
    <row r="2398" spans="1:34">
      <c r="A2398" t="s">
        <v>2131</v>
      </c>
      <c r="B2398" t="s">
        <v>2023</v>
      </c>
      <c r="AF2398" t="s">
        <v>2131</v>
      </c>
      <c r="AG2398" t="s">
        <v>2125</v>
      </c>
      <c r="AH2398" t="b">
        <v>0</v>
      </c>
    </row>
    <row r="2399" spans="1:34">
      <c r="A2399" t="s">
        <v>2131</v>
      </c>
      <c r="B2399" t="s">
        <v>2024</v>
      </c>
      <c r="AF2399" t="s">
        <v>2131</v>
      </c>
      <c r="AG2399" t="s">
        <v>2125</v>
      </c>
      <c r="AH2399" t="b">
        <v>0</v>
      </c>
    </row>
    <row r="2400" spans="1:34">
      <c r="A2400" t="s">
        <v>2131</v>
      </c>
      <c r="B2400" t="s">
        <v>1878</v>
      </c>
      <c r="AF2400" t="s">
        <v>2131</v>
      </c>
      <c r="AG2400" t="s">
        <v>2125</v>
      </c>
      <c r="AH2400" t="b">
        <v>0</v>
      </c>
    </row>
    <row r="2401" spans="1:34">
      <c r="A2401" t="s">
        <v>2131</v>
      </c>
      <c r="B2401" t="s">
        <v>2025</v>
      </c>
      <c r="AF2401" t="s">
        <v>2131</v>
      </c>
      <c r="AG2401" t="s">
        <v>2125</v>
      </c>
      <c r="AH2401" t="b">
        <v>0</v>
      </c>
    </row>
    <row r="2402" spans="1:34">
      <c r="A2402" t="s">
        <v>2131</v>
      </c>
      <c r="B2402" t="s">
        <v>2026</v>
      </c>
      <c r="AF2402" t="s">
        <v>2131</v>
      </c>
      <c r="AG2402" t="s">
        <v>2125</v>
      </c>
      <c r="AH2402" t="b">
        <v>0</v>
      </c>
    </row>
    <row r="2403" spans="1:34">
      <c r="A2403" t="s">
        <v>2131</v>
      </c>
      <c r="B2403" t="s">
        <v>2027</v>
      </c>
      <c r="AF2403" t="s">
        <v>2131</v>
      </c>
      <c r="AG2403" t="s">
        <v>2125</v>
      </c>
      <c r="AH2403" t="b">
        <v>0</v>
      </c>
    </row>
    <row r="2404" spans="1:34">
      <c r="A2404" t="s">
        <v>2131</v>
      </c>
      <c r="B2404" t="s">
        <v>2028</v>
      </c>
      <c r="AF2404" t="s">
        <v>2131</v>
      </c>
      <c r="AG2404" t="s">
        <v>2125</v>
      </c>
      <c r="AH2404" t="b">
        <v>0</v>
      </c>
    </row>
    <row r="2405" spans="1:34">
      <c r="A2405" t="s">
        <v>2131</v>
      </c>
      <c r="B2405" t="s">
        <v>2029</v>
      </c>
      <c r="AF2405" t="s">
        <v>2131</v>
      </c>
      <c r="AG2405" t="s">
        <v>2125</v>
      </c>
      <c r="AH2405" t="b">
        <v>0</v>
      </c>
    </row>
    <row r="2406" spans="1:34">
      <c r="A2406" t="s">
        <v>2131</v>
      </c>
      <c r="B2406" t="s">
        <v>1879</v>
      </c>
      <c r="AF2406" t="s">
        <v>2131</v>
      </c>
      <c r="AG2406" t="s">
        <v>2125</v>
      </c>
      <c r="AH2406" t="b">
        <v>0</v>
      </c>
    </row>
    <row r="2407" spans="1:34">
      <c r="A2407" t="s">
        <v>2131</v>
      </c>
      <c r="B2407" t="s">
        <v>2030</v>
      </c>
      <c r="AF2407" t="s">
        <v>2131</v>
      </c>
      <c r="AG2407" t="s">
        <v>2125</v>
      </c>
      <c r="AH2407" t="b">
        <v>0</v>
      </c>
    </row>
    <row r="2408" spans="1:34">
      <c r="A2408" t="s">
        <v>2131</v>
      </c>
      <c r="B2408" t="s">
        <v>2031</v>
      </c>
      <c r="AF2408" t="s">
        <v>2131</v>
      </c>
      <c r="AG2408" t="s">
        <v>2125</v>
      </c>
      <c r="AH2408" t="b">
        <v>0</v>
      </c>
    </row>
    <row r="2409" spans="1:34">
      <c r="A2409" t="s">
        <v>2131</v>
      </c>
      <c r="B2409" t="s">
        <v>1880</v>
      </c>
      <c r="AF2409" t="s">
        <v>2131</v>
      </c>
      <c r="AG2409" t="s">
        <v>2125</v>
      </c>
      <c r="AH2409" t="b">
        <v>0</v>
      </c>
    </row>
    <row r="2410" spans="1:34">
      <c r="A2410" t="s">
        <v>2131</v>
      </c>
      <c r="B2410" t="s">
        <v>2032</v>
      </c>
      <c r="AF2410" t="s">
        <v>2131</v>
      </c>
      <c r="AG2410" t="s">
        <v>2125</v>
      </c>
      <c r="AH2410" t="b">
        <v>0</v>
      </c>
    </row>
    <row r="2411" spans="1:34">
      <c r="A2411" t="s">
        <v>2131</v>
      </c>
      <c r="B2411" t="s">
        <v>2033</v>
      </c>
      <c r="AF2411" t="s">
        <v>2131</v>
      </c>
      <c r="AG2411" t="s">
        <v>2125</v>
      </c>
      <c r="AH2411" t="b">
        <v>0</v>
      </c>
    </row>
    <row r="2412" spans="1:34">
      <c r="A2412" t="s">
        <v>2131</v>
      </c>
      <c r="B2412" t="s">
        <v>2034</v>
      </c>
      <c r="AF2412" t="s">
        <v>2131</v>
      </c>
      <c r="AG2412" t="s">
        <v>2125</v>
      </c>
      <c r="AH2412" t="b">
        <v>0</v>
      </c>
    </row>
    <row r="2413" spans="1:34">
      <c r="A2413" t="s">
        <v>2131</v>
      </c>
      <c r="B2413" t="s">
        <v>2035</v>
      </c>
      <c r="AF2413" t="s">
        <v>2131</v>
      </c>
      <c r="AG2413" t="s">
        <v>2125</v>
      </c>
      <c r="AH2413" t="b">
        <v>0</v>
      </c>
    </row>
    <row r="2414" spans="1:34">
      <c r="A2414" t="s">
        <v>2131</v>
      </c>
      <c r="B2414" t="s">
        <v>2036</v>
      </c>
      <c r="AF2414" t="s">
        <v>2131</v>
      </c>
      <c r="AG2414" t="s">
        <v>2125</v>
      </c>
      <c r="AH2414" t="b">
        <v>0</v>
      </c>
    </row>
    <row r="2415" spans="1:34">
      <c r="A2415" t="s">
        <v>2131</v>
      </c>
      <c r="B2415" t="s">
        <v>2037</v>
      </c>
      <c r="AF2415" t="s">
        <v>2131</v>
      </c>
      <c r="AG2415" t="s">
        <v>2125</v>
      </c>
      <c r="AH2415" t="b">
        <v>0</v>
      </c>
    </row>
    <row r="2416" spans="1:34">
      <c r="A2416" t="s">
        <v>2131</v>
      </c>
      <c r="B2416" t="s">
        <v>2038</v>
      </c>
      <c r="AF2416" t="s">
        <v>2131</v>
      </c>
      <c r="AG2416" t="s">
        <v>2125</v>
      </c>
      <c r="AH2416" t="b">
        <v>0</v>
      </c>
    </row>
    <row r="2417" spans="1:34">
      <c r="A2417" t="s">
        <v>2131</v>
      </c>
      <c r="B2417" t="s">
        <v>2039</v>
      </c>
      <c r="AF2417" t="s">
        <v>2131</v>
      </c>
      <c r="AG2417" t="s">
        <v>2125</v>
      </c>
      <c r="AH2417" t="b">
        <v>0</v>
      </c>
    </row>
    <row r="2418" spans="1:34">
      <c r="A2418" t="s">
        <v>2131</v>
      </c>
      <c r="B2418" t="s">
        <v>2040</v>
      </c>
      <c r="AF2418" t="s">
        <v>2131</v>
      </c>
      <c r="AG2418" t="s">
        <v>2125</v>
      </c>
      <c r="AH2418" t="b">
        <v>0</v>
      </c>
    </row>
    <row r="2419" spans="1:34">
      <c r="A2419" t="s">
        <v>2131</v>
      </c>
      <c r="B2419" t="s">
        <v>2041</v>
      </c>
      <c r="AF2419" t="s">
        <v>2131</v>
      </c>
      <c r="AG2419" t="s">
        <v>2125</v>
      </c>
      <c r="AH2419" t="b">
        <v>0</v>
      </c>
    </row>
    <row r="2420" spans="1:34">
      <c r="A2420" t="s">
        <v>2131</v>
      </c>
      <c r="B2420" t="s">
        <v>2042</v>
      </c>
      <c r="AF2420" t="s">
        <v>2131</v>
      </c>
      <c r="AG2420" t="s">
        <v>2125</v>
      </c>
      <c r="AH2420" t="b">
        <v>0</v>
      </c>
    </row>
    <row r="2421" spans="1:34">
      <c r="A2421" t="s">
        <v>2131</v>
      </c>
      <c r="B2421" t="s">
        <v>2043</v>
      </c>
      <c r="AF2421" t="s">
        <v>2131</v>
      </c>
      <c r="AG2421" t="s">
        <v>2125</v>
      </c>
      <c r="AH2421" t="b">
        <v>0</v>
      </c>
    </row>
    <row r="2422" spans="1:34">
      <c r="A2422" t="s">
        <v>2131</v>
      </c>
      <c r="B2422" t="s">
        <v>2044</v>
      </c>
      <c r="AF2422" t="s">
        <v>2131</v>
      </c>
      <c r="AG2422" t="s">
        <v>2125</v>
      </c>
      <c r="AH2422" t="b">
        <v>0</v>
      </c>
    </row>
    <row r="2423" spans="1:34">
      <c r="A2423" t="s">
        <v>2131</v>
      </c>
      <c r="B2423" t="s">
        <v>2045</v>
      </c>
      <c r="AF2423" t="s">
        <v>2131</v>
      </c>
      <c r="AG2423" t="s">
        <v>2125</v>
      </c>
      <c r="AH2423" t="b">
        <v>0</v>
      </c>
    </row>
    <row r="2424" spans="1:34">
      <c r="A2424" t="s">
        <v>2131</v>
      </c>
      <c r="B2424" t="s">
        <v>1881</v>
      </c>
      <c r="AF2424" t="s">
        <v>2131</v>
      </c>
      <c r="AG2424" t="s">
        <v>2125</v>
      </c>
      <c r="AH2424" t="b">
        <v>0</v>
      </c>
    </row>
    <row r="2425" spans="1:34">
      <c r="A2425" t="s">
        <v>2131</v>
      </c>
      <c r="B2425" t="s">
        <v>2046</v>
      </c>
      <c r="AF2425" t="s">
        <v>2131</v>
      </c>
      <c r="AG2425" t="s">
        <v>2125</v>
      </c>
      <c r="AH2425" t="b">
        <v>0</v>
      </c>
    </row>
    <row r="2426" spans="1:34">
      <c r="A2426" t="s">
        <v>2131</v>
      </c>
      <c r="B2426" t="s">
        <v>2047</v>
      </c>
      <c r="AF2426" t="s">
        <v>2131</v>
      </c>
      <c r="AG2426" t="s">
        <v>2125</v>
      </c>
      <c r="AH2426" t="b">
        <v>0</v>
      </c>
    </row>
    <row r="2427" spans="1:34">
      <c r="A2427" t="s">
        <v>2131</v>
      </c>
      <c r="B2427" t="s">
        <v>2048</v>
      </c>
      <c r="AF2427" t="s">
        <v>2131</v>
      </c>
      <c r="AG2427" t="s">
        <v>2125</v>
      </c>
      <c r="AH2427" t="b">
        <v>0</v>
      </c>
    </row>
    <row r="2428" spans="1:34">
      <c r="A2428" t="s">
        <v>2131</v>
      </c>
      <c r="B2428" t="s">
        <v>2049</v>
      </c>
      <c r="AF2428" t="s">
        <v>2131</v>
      </c>
      <c r="AG2428" t="s">
        <v>2125</v>
      </c>
      <c r="AH2428" t="b">
        <v>0</v>
      </c>
    </row>
    <row r="2429" spans="1:34">
      <c r="A2429" t="s">
        <v>2131</v>
      </c>
      <c r="B2429" t="s">
        <v>2050</v>
      </c>
      <c r="AF2429" t="s">
        <v>2131</v>
      </c>
      <c r="AG2429" t="s">
        <v>2125</v>
      </c>
      <c r="AH2429" t="b">
        <v>0</v>
      </c>
    </row>
    <row r="2430" spans="1:34">
      <c r="A2430" t="s">
        <v>2131</v>
      </c>
      <c r="B2430" t="s">
        <v>2051</v>
      </c>
      <c r="AF2430" t="s">
        <v>2131</v>
      </c>
      <c r="AG2430" t="s">
        <v>2125</v>
      </c>
      <c r="AH2430" t="b">
        <v>0</v>
      </c>
    </row>
    <row r="2431" spans="1:34">
      <c r="A2431" t="s">
        <v>2131</v>
      </c>
      <c r="B2431" t="s">
        <v>2052</v>
      </c>
      <c r="AF2431" t="s">
        <v>2131</v>
      </c>
      <c r="AG2431" t="s">
        <v>2125</v>
      </c>
      <c r="AH2431" t="b">
        <v>0</v>
      </c>
    </row>
    <row r="2432" spans="1:34">
      <c r="A2432" t="s">
        <v>2131</v>
      </c>
      <c r="B2432" t="s">
        <v>2053</v>
      </c>
      <c r="AF2432" t="s">
        <v>2131</v>
      </c>
      <c r="AG2432" t="s">
        <v>2125</v>
      </c>
      <c r="AH2432" t="b">
        <v>0</v>
      </c>
    </row>
    <row r="2433" spans="1:34">
      <c r="A2433" t="s">
        <v>2131</v>
      </c>
      <c r="B2433" t="s">
        <v>2054</v>
      </c>
      <c r="AF2433" t="s">
        <v>2131</v>
      </c>
      <c r="AG2433" t="s">
        <v>2125</v>
      </c>
      <c r="AH2433" t="b">
        <v>0</v>
      </c>
    </row>
    <row r="2434" spans="1:34">
      <c r="A2434" t="s">
        <v>2131</v>
      </c>
      <c r="B2434" t="s">
        <v>2055</v>
      </c>
      <c r="AF2434" t="s">
        <v>2131</v>
      </c>
      <c r="AG2434" t="s">
        <v>2125</v>
      </c>
      <c r="AH2434" t="b">
        <v>0</v>
      </c>
    </row>
    <row r="2435" spans="1:34">
      <c r="A2435" t="s">
        <v>2131</v>
      </c>
      <c r="B2435" t="s">
        <v>2056</v>
      </c>
      <c r="AF2435" t="s">
        <v>2131</v>
      </c>
      <c r="AG2435" t="s">
        <v>2125</v>
      </c>
      <c r="AH2435" t="b">
        <v>0</v>
      </c>
    </row>
    <row r="2436" spans="1:34">
      <c r="A2436" t="s">
        <v>2131</v>
      </c>
      <c r="B2436" t="s">
        <v>2057</v>
      </c>
      <c r="AF2436" t="s">
        <v>2131</v>
      </c>
      <c r="AG2436" t="s">
        <v>2125</v>
      </c>
      <c r="AH2436" t="b">
        <v>0</v>
      </c>
    </row>
    <row r="2437" spans="1:34">
      <c r="A2437" t="s">
        <v>2131</v>
      </c>
      <c r="B2437" t="s">
        <v>2058</v>
      </c>
      <c r="AF2437" t="s">
        <v>2131</v>
      </c>
      <c r="AG2437" t="s">
        <v>2125</v>
      </c>
      <c r="AH2437" t="b">
        <v>0</v>
      </c>
    </row>
    <row r="2438" spans="1:34">
      <c r="A2438" t="s">
        <v>2131</v>
      </c>
      <c r="B2438" t="s">
        <v>2059</v>
      </c>
      <c r="AF2438" t="s">
        <v>2131</v>
      </c>
      <c r="AG2438" t="s">
        <v>2125</v>
      </c>
      <c r="AH2438" t="b">
        <v>0</v>
      </c>
    </row>
    <row r="2439" spans="1:34">
      <c r="A2439" t="s">
        <v>2131</v>
      </c>
      <c r="B2439" t="s">
        <v>2060</v>
      </c>
      <c r="AF2439" t="s">
        <v>2131</v>
      </c>
      <c r="AG2439" t="s">
        <v>2125</v>
      </c>
      <c r="AH2439" t="b">
        <v>0</v>
      </c>
    </row>
    <row r="2440" spans="1:34">
      <c r="A2440" t="s">
        <v>2131</v>
      </c>
      <c r="B2440" t="s">
        <v>2061</v>
      </c>
      <c r="AF2440" t="s">
        <v>2131</v>
      </c>
      <c r="AG2440" t="s">
        <v>2125</v>
      </c>
      <c r="AH2440" t="b">
        <v>0</v>
      </c>
    </row>
    <row r="2441" spans="1:34">
      <c r="A2441" t="s">
        <v>2131</v>
      </c>
      <c r="B2441" t="s">
        <v>2062</v>
      </c>
      <c r="AF2441" t="s">
        <v>2131</v>
      </c>
      <c r="AG2441" t="s">
        <v>2125</v>
      </c>
      <c r="AH2441" t="b">
        <v>0</v>
      </c>
    </row>
    <row r="2442" spans="1:34">
      <c r="A2442" t="s">
        <v>2131</v>
      </c>
      <c r="B2442" t="s">
        <v>2063</v>
      </c>
      <c r="AF2442" t="s">
        <v>2131</v>
      </c>
      <c r="AG2442" t="s">
        <v>2125</v>
      </c>
      <c r="AH2442" t="b">
        <v>0</v>
      </c>
    </row>
    <row r="2443" spans="1:34">
      <c r="A2443" t="s">
        <v>2131</v>
      </c>
      <c r="B2443" t="s">
        <v>2064</v>
      </c>
      <c r="AF2443" t="s">
        <v>2131</v>
      </c>
      <c r="AG2443" t="s">
        <v>2125</v>
      </c>
      <c r="AH2443" t="b">
        <v>0</v>
      </c>
    </row>
    <row r="2444" spans="1:34">
      <c r="A2444" t="s">
        <v>2131</v>
      </c>
      <c r="B2444" t="s">
        <v>2065</v>
      </c>
      <c r="AF2444" t="s">
        <v>2131</v>
      </c>
      <c r="AG2444" t="s">
        <v>2125</v>
      </c>
      <c r="AH2444" t="b">
        <v>0</v>
      </c>
    </row>
    <row r="2445" spans="1:34">
      <c r="A2445" t="s">
        <v>2131</v>
      </c>
      <c r="B2445" t="s">
        <v>2066</v>
      </c>
      <c r="AF2445" t="s">
        <v>2131</v>
      </c>
      <c r="AG2445" t="s">
        <v>2125</v>
      </c>
      <c r="AH2445" t="b">
        <v>0</v>
      </c>
    </row>
    <row r="2446" spans="1:34">
      <c r="A2446" t="s">
        <v>2131</v>
      </c>
      <c r="B2446" t="s">
        <v>2067</v>
      </c>
      <c r="AF2446" t="s">
        <v>2131</v>
      </c>
      <c r="AG2446" t="s">
        <v>2125</v>
      </c>
      <c r="AH2446" t="b">
        <v>0</v>
      </c>
    </row>
    <row r="2447" spans="1:34">
      <c r="A2447" t="s">
        <v>2131</v>
      </c>
      <c r="B2447" t="s">
        <v>2068</v>
      </c>
      <c r="AF2447" t="s">
        <v>2131</v>
      </c>
      <c r="AG2447" t="s">
        <v>2125</v>
      </c>
      <c r="AH2447" t="b">
        <v>0</v>
      </c>
    </row>
    <row r="2448" spans="1:34">
      <c r="A2448" t="s">
        <v>2131</v>
      </c>
      <c r="B2448" t="s">
        <v>2069</v>
      </c>
      <c r="AF2448" t="s">
        <v>2131</v>
      </c>
      <c r="AG2448" t="s">
        <v>2125</v>
      </c>
      <c r="AH2448" t="b">
        <v>0</v>
      </c>
    </row>
    <row r="2449" spans="1:34">
      <c r="A2449" t="s">
        <v>2131</v>
      </c>
      <c r="B2449" t="s">
        <v>2070</v>
      </c>
      <c r="AF2449" t="s">
        <v>2131</v>
      </c>
      <c r="AG2449" t="s">
        <v>2125</v>
      </c>
      <c r="AH2449" t="b">
        <v>0</v>
      </c>
    </row>
    <row r="2450" spans="1:34">
      <c r="A2450" t="s">
        <v>2131</v>
      </c>
      <c r="B2450" t="s">
        <v>2071</v>
      </c>
      <c r="AF2450" t="s">
        <v>2131</v>
      </c>
      <c r="AG2450" t="s">
        <v>2125</v>
      </c>
      <c r="AH2450" t="b">
        <v>0</v>
      </c>
    </row>
    <row r="2451" spans="1:34">
      <c r="A2451" t="s">
        <v>2131</v>
      </c>
      <c r="B2451" t="s">
        <v>2072</v>
      </c>
      <c r="AF2451" t="s">
        <v>2131</v>
      </c>
      <c r="AG2451" t="s">
        <v>2125</v>
      </c>
      <c r="AH2451" t="b">
        <v>0</v>
      </c>
    </row>
    <row r="2452" spans="1:34">
      <c r="A2452" t="s">
        <v>2131</v>
      </c>
      <c r="B2452" t="s">
        <v>2073</v>
      </c>
      <c r="AF2452" t="s">
        <v>2131</v>
      </c>
      <c r="AG2452" t="s">
        <v>2125</v>
      </c>
      <c r="AH2452" t="b">
        <v>0</v>
      </c>
    </row>
    <row r="2453" spans="1:34">
      <c r="A2453" t="s">
        <v>2131</v>
      </c>
      <c r="B2453" t="s">
        <v>2074</v>
      </c>
      <c r="AF2453" t="s">
        <v>2131</v>
      </c>
      <c r="AG2453" t="s">
        <v>2125</v>
      </c>
      <c r="AH2453" t="b">
        <v>0</v>
      </c>
    </row>
    <row r="2454" spans="1:34">
      <c r="A2454" t="s">
        <v>2131</v>
      </c>
      <c r="B2454" t="s">
        <v>2075</v>
      </c>
      <c r="AF2454" t="s">
        <v>2131</v>
      </c>
      <c r="AG2454" t="s">
        <v>2125</v>
      </c>
      <c r="AH2454" t="b">
        <v>0</v>
      </c>
    </row>
    <row r="2455" spans="1:34">
      <c r="A2455" t="s">
        <v>2131</v>
      </c>
      <c r="B2455" t="s">
        <v>2076</v>
      </c>
      <c r="AF2455" t="s">
        <v>2131</v>
      </c>
      <c r="AG2455" t="s">
        <v>2125</v>
      </c>
      <c r="AH2455" t="b">
        <v>0</v>
      </c>
    </row>
    <row r="2456" spans="1:34">
      <c r="A2456" t="s">
        <v>2131</v>
      </c>
      <c r="B2456" t="s">
        <v>1935</v>
      </c>
      <c r="AF2456" t="s">
        <v>2131</v>
      </c>
      <c r="AG2456" t="s">
        <v>2125</v>
      </c>
      <c r="AH2456" t="b">
        <v>0</v>
      </c>
    </row>
    <row r="2457" spans="1:34">
      <c r="A2457" t="s">
        <v>2131</v>
      </c>
      <c r="B2457" t="s">
        <v>1882</v>
      </c>
      <c r="AF2457" t="s">
        <v>2131</v>
      </c>
      <c r="AG2457" t="s">
        <v>2125</v>
      </c>
      <c r="AH2457" t="b">
        <v>0</v>
      </c>
    </row>
    <row r="2458" spans="1:34">
      <c r="A2458" t="s">
        <v>2131</v>
      </c>
      <c r="B2458" t="s">
        <v>1883</v>
      </c>
      <c r="AF2458" t="s">
        <v>2131</v>
      </c>
      <c r="AG2458" t="s">
        <v>2125</v>
      </c>
      <c r="AH2458" t="b">
        <v>0</v>
      </c>
    </row>
    <row r="2459" spans="1:34">
      <c r="A2459" t="s">
        <v>2131</v>
      </c>
      <c r="B2459" t="s">
        <v>1884</v>
      </c>
      <c r="AF2459" t="s">
        <v>2131</v>
      </c>
      <c r="AG2459" t="s">
        <v>2125</v>
      </c>
      <c r="AH2459" t="b">
        <v>0</v>
      </c>
    </row>
    <row r="2460" spans="1:34">
      <c r="A2460" t="s">
        <v>2131</v>
      </c>
      <c r="B2460" t="s">
        <v>1885</v>
      </c>
      <c r="AF2460" t="s">
        <v>2131</v>
      </c>
      <c r="AG2460" t="s">
        <v>2125</v>
      </c>
      <c r="AH2460" t="b">
        <v>0</v>
      </c>
    </row>
    <row r="2461" spans="1:34">
      <c r="A2461" t="s">
        <v>2131</v>
      </c>
      <c r="B2461" t="s">
        <v>1886</v>
      </c>
      <c r="AF2461" t="s">
        <v>2131</v>
      </c>
      <c r="AG2461" t="s">
        <v>2125</v>
      </c>
      <c r="AH2461" t="b">
        <v>0</v>
      </c>
    </row>
    <row r="2462" spans="1:34">
      <c r="A2462" t="s">
        <v>2131</v>
      </c>
      <c r="B2462" t="s">
        <v>1887</v>
      </c>
      <c r="AF2462" t="s">
        <v>2131</v>
      </c>
      <c r="AG2462" t="s">
        <v>2125</v>
      </c>
      <c r="AH2462" t="b">
        <v>0</v>
      </c>
    </row>
    <row r="2463" spans="1:34">
      <c r="A2463" t="s">
        <v>2131</v>
      </c>
      <c r="B2463" t="s">
        <v>2077</v>
      </c>
      <c r="AF2463" t="s">
        <v>2131</v>
      </c>
      <c r="AG2463" t="s">
        <v>2125</v>
      </c>
      <c r="AH2463" t="b">
        <v>0</v>
      </c>
    </row>
    <row r="2464" spans="1:34">
      <c r="A2464" t="s">
        <v>2131</v>
      </c>
      <c r="B2464" t="s">
        <v>2078</v>
      </c>
      <c r="AF2464" t="s">
        <v>2131</v>
      </c>
      <c r="AG2464" t="s">
        <v>2125</v>
      </c>
      <c r="AH2464" t="b">
        <v>0</v>
      </c>
    </row>
    <row r="2465" spans="1:34">
      <c r="A2465" t="s">
        <v>2131</v>
      </c>
      <c r="B2465" t="s">
        <v>1936</v>
      </c>
      <c r="AF2465" t="s">
        <v>2131</v>
      </c>
      <c r="AG2465" t="s">
        <v>2125</v>
      </c>
      <c r="AH2465" t="b">
        <v>0</v>
      </c>
    </row>
    <row r="2466" spans="1:34">
      <c r="A2466" t="s">
        <v>2131</v>
      </c>
      <c r="B2466" t="s">
        <v>1888</v>
      </c>
      <c r="AF2466" t="s">
        <v>2131</v>
      </c>
      <c r="AG2466" t="s">
        <v>2125</v>
      </c>
      <c r="AH2466" t="b">
        <v>0</v>
      </c>
    </row>
    <row r="2467" spans="1:34">
      <c r="A2467" t="s">
        <v>2131</v>
      </c>
      <c r="B2467" t="s">
        <v>2079</v>
      </c>
      <c r="AF2467" t="s">
        <v>2131</v>
      </c>
      <c r="AG2467" t="s">
        <v>2125</v>
      </c>
      <c r="AH2467" t="b">
        <v>0</v>
      </c>
    </row>
    <row r="2468" spans="1:34">
      <c r="A2468" t="s">
        <v>2131</v>
      </c>
      <c r="B2468" t="s">
        <v>2080</v>
      </c>
      <c r="AF2468" t="s">
        <v>2131</v>
      </c>
      <c r="AG2468" t="s">
        <v>2125</v>
      </c>
      <c r="AH2468" t="b">
        <v>0</v>
      </c>
    </row>
    <row r="2469" spans="1:34">
      <c r="A2469" t="s">
        <v>2131</v>
      </c>
      <c r="B2469" t="s">
        <v>2081</v>
      </c>
      <c r="AF2469" t="s">
        <v>2131</v>
      </c>
      <c r="AG2469" t="s">
        <v>2125</v>
      </c>
      <c r="AH2469" t="b">
        <v>0</v>
      </c>
    </row>
    <row r="2470" spans="1:34">
      <c r="A2470" t="s">
        <v>2131</v>
      </c>
      <c r="B2470" t="s">
        <v>2082</v>
      </c>
      <c r="AF2470" t="s">
        <v>2131</v>
      </c>
      <c r="AG2470" t="s">
        <v>2125</v>
      </c>
      <c r="AH2470" t="b">
        <v>0</v>
      </c>
    </row>
    <row r="2471" spans="1:34">
      <c r="A2471" t="s">
        <v>2131</v>
      </c>
      <c r="B2471" t="s">
        <v>1889</v>
      </c>
      <c r="AF2471" t="s">
        <v>2131</v>
      </c>
      <c r="AG2471" t="s">
        <v>2125</v>
      </c>
      <c r="AH2471" t="b">
        <v>0</v>
      </c>
    </row>
    <row r="2472" spans="1:34">
      <c r="A2472" t="s">
        <v>2131</v>
      </c>
      <c r="B2472" t="s">
        <v>1890</v>
      </c>
      <c r="AF2472" t="s">
        <v>2131</v>
      </c>
      <c r="AG2472" t="s">
        <v>2125</v>
      </c>
      <c r="AH2472" t="b">
        <v>0</v>
      </c>
    </row>
    <row r="2473" spans="1:34">
      <c r="A2473" t="s">
        <v>2131</v>
      </c>
      <c r="B2473" t="s">
        <v>1891</v>
      </c>
      <c r="AF2473" t="s">
        <v>2131</v>
      </c>
      <c r="AG2473" t="s">
        <v>2125</v>
      </c>
      <c r="AH2473" t="b">
        <v>0</v>
      </c>
    </row>
    <row r="2474" spans="1:34">
      <c r="A2474" t="s">
        <v>2131</v>
      </c>
      <c r="B2474" t="s">
        <v>1892</v>
      </c>
      <c r="AF2474" t="s">
        <v>2131</v>
      </c>
      <c r="AG2474" t="s">
        <v>2125</v>
      </c>
      <c r="AH2474" t="b">
        <v>0</v>
      </c>
    </row>
    <row r="2475" spans="1:34">
      <c r="A2475" t="s">
        <v>2131</v>
      </c>
      <c r="B2475" t="s">
        <v>1893</v>
      </c>
      <c r="AF2475" t="s">
        <v>2131</v>
      </c>
      <c r="AG2475" t="s">
        <v>2125</v>
      </c>
      <c r="AH2475" t="b">
        <v>0</v>
      </c>
    </row>
    <row r="2476" spans="1:34">
      <c r="A2476" t="s">
        <v>2131</v>
      </c>
      <c r="B2476" t="s">
        <v>1894</v>
      </c>
      <c r="AF2476" t="s">
        <v>2131</v>
      </c>
      <c r="AG2476" t="s">
        <v>2125</v>
      </c>
      <c r="AH2476" t="b">
        <v>0</v>
      </c>
    </row>
    <row r="2477" spans="1:34">
      <c r="A2477" t="s">
        <v>2131</v>
      </c>
      <c r="B2477" t="s">
        <v>1895</v>
      </c>
      <c r="AF2477" t="s">
        <v>2131</v>
      </c>
      <c r="AG2477" t="s">
        <v>2125</v>
      </c>
      <c r="AH2477" t="b">
        <v>0</v>
      </c>
    </row>
    <row r="2478" spans="1:34">
      <c r="A2478" t="s">
        <v>2131</v>
      </c>
      <c r="B2478" t="s">
        <v>1937</v>
      </c>
      <c r="AF2478" t="s">
        <v>2131</v>
      </c>
      <c r="AG2478" t="s">
        <v>2125</v>
      </c>
      <c r="AH2478" t="b">
        <v>0</v>
      </c>
    </row>
    <row r="2479" spans="1:34">
      <c r="A2479" t="s">
        <v>2131</v>
      </c>
      <c r="B2479" t="s">
        <v>1896</v>
      </c>
      <c r="AF2479" t="s">
        <v>2131</v>
      </c>
      <c r="AG2479" t="s">
        <v>2125</v>
      </c>
      <c r="AH2479" t="b">
        <v>0</v>
      </c>
    </row>
    <row r="2480" spans="1:34">
      <c r="A2480" t="s">
        <v>2131</v>
      </c>
      <c r="B2480" t="s">
        <v>1897</v>
      </c>
      <c r="AF2480" t="s">
        <v>2131</v>
      </c>
      <c r="AG2480" t="s">
        <v>2125</v>
      </c>
      <c r="AH2480" t="b">
        <v>0</v>
      </c>
    </row>
    <row r="2481" spans="1:34">
      <c r="A2481" t="s">
        <v>2131</v>
      </c>
      <c r="B2481" t="s">
        <v>1898</v>
      </c>
      <c r="AF2481" t="s">
        <v>2131</v>
      </c>
      <c r="AG2481" t="s">
        <v>2125</v>
      </c>
      <c r="AH2481" t="b">
        <v>0</v>
      </c>
    </row>
    <row r="2482" spans="1:34">
      <c r="A2482" t="s">
        <v>2131</v>
      </c>
      <c r="B2482" t="s">
        <v>1899</v>
      </c>
      <c r="AF2482" t="s">
        <v>2131</v>
      </c>
      <c r="AG2482" t="s">
        <v>2125</v>
      </c>
      <c r="AH2482" t="b">
        <v>0</v>
      </c>
    </row>
    <row r="2483" spans="1:34">
      <c r="A2483" t="s">
        <v>2131</v>
      </c>
      <c r="B2483" t="s">
        <v>2083</v>
      </c>
      <c r="AF2483" t="s">
        <v>2131</v>
      </c>
      <c r="AG2483" t="s">
        <v>2125</v>
      </c>
      <c r="AH2483" t="b">
        <v>0</v>
      </c>
    </row>
    <row r="2484" spans="1:34">
      <c r="A2484" t="s">
        <v>2131</v>
      </c>
      <c r="B2484" t="s">
        <v>2084</v>
      </c>
      <c r="AF2484" t="s">
        <v>2131</v>
      </c>
      <c r="AG2484" t="s">
        <v>2125</v>
      </c>
      <c r="AH2484" t="b">
        <v>0</v>
      </c>
    </row>
    <row r="2485" spans="1:34">
      <c r="A2485" t="s">
        <v>2131</v>
      </c>
      <c r="B2485" t="s">
        <v>2085</v>
      </c>
      <c r="AF2485" t="s">
        <v>2131</v>
      </c>
      <c r="AG2485" t="s">
        <v>2125</v>
      </c>
      <c r="AH2485" t="b">
        <v>0</v>
      </c>
    </row>
    <row r="2486" spans="1:34">
      <c r="A2486" t="s">
        <v>2131</v>
      </c>
      <c r="B2486" t="s">
        <v>2086</v>
      </c>
      <c r="AF2486" t="s">
        <v>2131</v>
      </c>
      <c r="AG2486" t="s">
        <v>2125</v>
      </c>
      <c r="AH2486" t="b">
        <v>0</v>
      </c>
    </row>
    <row r="2487" spans="1:34">
      <c r="A2487" t="s">
        <v>2131</v>
      </c>
      <c r="B2487" t="s">
        <v>2087</v>
      </c>
      <c r="AF2487" t="s">
        <v>2131</v>
      </c>
      <c r="AG2487" t="s">
        <v>2125</v>
      </c>
      <c r="AH2487" t="b">
        <v>0</v>
      </c>
    </row>
    <row r="2488" spans="1:34">
      <c r="A2488" t="s">
        <v>2131</v>
      </c>
      <c r="B2488" t="s">
        <v>2088</v>
      </c>
      <c r="AF2488" t="s">
        <v>2131</v>
      </c>
      <c r="AG2488" t="s">
        <v>2125</v>
      </c>
      <c r="AH2488" t="b">
        <v>0</v>
      </c>
    </row>
    <row r="2489" spans="1:34">
      <c r="A2489" t="s">
        <v>2131</v>
      </c>
      <c r="B2489" t="s">
        <v>2089</v>
      </c>
      <c r="AF2489" t="s">
        <v>2131</v>
      </c>
      <c r="AG2489" t="s">
        <v>2125</v>
      </c>
      <c r="AH2489" t="b">
        <v>0</v>
      </c>
    </row>
    <row r="2490" spans="1:34">
      <c r="A2490" t="s">
        <v>2131</v>
      </c>
      <c r="B2490" t="s">
        <v>2090</v>
      </c>
      <c r="AF2490" t="s">
        <v>2131</v>
      </c>
      <c r="AG2490" t="s">
        <v>2125</v>
      </c>
      <c r="AH2490" t="b">
        <v>0</v>
      </c>
    </row>
    <row r="2491" spans="1:34">
      <c r="A2491" t="s">
        <v>2131</v>
      </c>
      <c r="B2491" t="s">
        <v>2091</v>
      </c>
      <c r="AF2491" t="s">
        <v>2131</v>
      </c>
      <c r="AG2491" t="s">
        <v>2125</v>
      </c>
      <c r="AH2491" t="b">
        <v>0</v>
      </c>
    </row>
    <row r="2492" spans="1:34">
      <c r="A2492" t="s">
        <v>2131</v>
      </c>
      <c r="B2492" t="s">
        <v>2092</v>
      </c>
      <c r="AF2492" t="s">
        <v>2131</v>
      </c>
      <c r="AG2492" t="s">
        <v>2125</v>
      </c>
      <c r="AH2492" t="b">
        <v>0</v>
      </c>
    </row>
    <row r="2493" spans="1:34">
      <c r="A2493" t="s">
        <v>2131</v>
      </c>
      <c r="B2493" t="s">
        <v>2093</v>
      </c>
      <c r="AF2493" t="s">
        <v>2131</v>
      </c>
      <c r="AG2493" t="s">
        <v>2125</v>
      </c>
      <c r="AH2493" t="b">
        <v>0</v>
      </c>
    </row>
    <row r="2494" spans="1:34">
      <c r="A2494" t="s">
        <v>2131</v>
      </c>
      <c r="B2494" t="s">
        <v>2094</v>
      </c>
      <c r="AF2494" t="s">
        <v>2131</v>
      </c>
      <c r="AG2494" t="s">
        <v>2125</v>
      </c>
      <c r="AH2494" t="b">
        <v>0</v>
      </c>
    </row>
    <row r="2495" spans="1:34">
      <c r="A2495" t="s">
        <v>2131</v>
      </c>
      <c r="B2495" t="s">
        <v>2095</v>
      </c>
      <c r="AF2495" t="s">
        <v>2131</v>
      </c>
      <c r="AG2495" t="s">
        <v>2125</v>
      </c>
      <c r="AH2495" t="b">
        <v>0</v>
      </c>
    </row>
    <row r="2496" spans="1:34">
      <c r="A2496" t="s">
        <v>2131</v>
      </c>
      <c r="B2496" t="s">
        <v>2096</v>
      </c>
      <c r="AF2496" t="s">
        <v>2131</v>
      </c>
      <c r="AG2496" t="s">
        <v>2125</v>
      </c>
      <c r="AH2496" t="b">
        <v>0</v>
      </c>
    </row>
    <row r="2497" spans="1:34">
      <c r="A2497" t="s">
        <v>2131</v>
      </c>
      <c r="B2497" t="s">
        <v>2097</v>
      </c>
      <c r="AF2497" t="s">
        <v>2131</v>
      </c>
      <c r="AG2497" t="s">
        <v>2125</v>
      </c>
      <c r="AH2497" t="b">
        <v>0</v>
      </c>
    </row>
    <row r="2498" spans="1:34">
      <c r="A2498" t="s">
        <v>2131</v>
      </c>
      <c r="B2498" t="s">
        <v>2098</v>
      </c>
      <c r="AF2498" t="s">
        <v>2131</v>
      </c>
      <c r="AG2498" t="s">
        <v>2125</v>
      </c>
      <c r="AH2498" t="b">
        <v>0</v>
      </c>
    </row>
    <row r="2499" spans="1:34">
      <c r="A2499" t="s">
        <v>2131</v>
      </c>
      <c r="B2499" t="s">
        <v>2099</v>
      </c>
      <c r="AF2499" t="s">
        <v>2131</v>
      </c>
      <c r="AG2499" t="s">
        <v>2125</v>
      </c>
      <c r="AH2499" t="b">
        <v>0</v>
      </c>
    </row>
    <row r="2500" spans="1:34">
      <c r="A2500" t="s">
        <v>2131</v>
      </c>
      <c r="B2500" t="s">
        <v>2100</v>
      </c>
      <c r="AF2500" t="s">
        <v>2131</v>
      </c>
      <c r="AG2500" t="s">
        <v>2125</v>
      </c>
      <c r="AH2500" t="b">
        <v>0</v>
      </c>
    </row>
    <row r="2501" spans="1:34">
      <c r="A2501" t="s">
        <v>2131</v>
      </c>
      <c r="B2501" t="s">
        <v>2101</v>
      </c>
      <c r="AF2501" t="s">
        <v>2131</v>
      </c>
      <c r="AG2501" t="s">
        <v>2125</v>
      </c>
      <c r="AH2501" t="b">
        <v>0</v>
      </c>
    </row>
    <row r="2502" spans="1:34">
      <c r="A2502" t="s">
        <v>2131</v>
      </c>
      <c r="B2502" t="s">
        <v>2102</v>
      </c>
      <c r="AF2502" t="s">
        <v>2131</v>
      </c>
      <c r="AG2502" t="s">
        <v>2125</v>
      </c>
      <c r="AH2502" t="b">
        <v>0</v>
      </c>
    </row>
    <row r="2503" spans="1:34">
      <c r="A2503" t="s">
        <v>2131</v>
      </c>
      <c r="B2503" t="s">
        <v>2103</v>
      </c>
      <c r="AF2503" t="s">
        <v>2131</v>
      </c>
      <c r="AG2503" t="s">
        <v>2125</v>
      </c>
      <c r="AH2503" t="b">
        <v>0</v>
      </c>
    </row>
    <row r="2504" spans="1:34">
      <c r="A2504" t="s">
        <v>2131</v>
      </c>
      <c r="B2504" t="s">
        <v>2104</v>
      </c>
      <c r="AF2504" t="s">
        <v>2131</v>
      </c>
      <c r="AG2504" t="s">
        <v>2125</v>
      </c>
      <c r="AH2504" t="b">
        <v>0</v>
      </c>
    </row>
    <row r="2505" spans="1:34">
      <c r="A2505" t="s">
        <v>2131</v>
      </c>
      <c r="B2505" t="s">
        <v>2105</v>
      </c>
      <c r="AF2505" t="s">
        <v>2131</v>
      </c>
      <c r="AG2505" t="s">
        <v>2125</v>
      </c>
      <c r="AH2505" t="b">
        <v>0</v>
      </c>
    </row>
    <row r="2506" spans="1:34">
      <c r="A2506" t="s">
        <v>2131</v>
      </c>
      <c r="B2506" t="s">
        <v>2106</v>
      </c>
      <c r="AF2506" t="s">
        <v>2131</v>
      </c>
      <c r="AG2506" t="s">
        <v>2125</v>
      </c>
      <c r="AH2506" t="b">
        <v>0</v>
      </c>
    </row>
    <row r="2507" spans="1:34">
      <c r="A2507" t="s">
        <v>2131</v>
      </c>
      <c r="B2507" t="s">
        <v>2107</v>
      </c>
      <c r="AF2507" t="s">
        <v>2131</v>
      </c>
      <c r="AG2507" t="s">
        <v>2125</v>
      </c>
      <c r="AH2507" t="b">
        <v>0</v>
      </c>
    </row>
    <row r="2508" spans="1:34">
      <c r="A2508" t="s">
        <v>2131</v>
      </c>
      <c r="B2508" t="s">
        <v>2108</v>
      </c>
      <c r="AF2508" t="s">
        <v>2131</v>
      </c>
      <c r="AG2508" t="s">
        <v>2125</v>
      </c>
      <c r="AH2508" t="b">
        <v>0</v>
      </c>
    </row>
    <row r="2509" spans="1:34">
      <c r="A2509" t="s">
        <v>2131</v>
      </c>
      <c r="B2509" t="s">
        <v>2109</v>
      </c>
      <c r="AF2509" t="s">
        <v>2131</v>
      </c>
      <c r="AG2509" t="s">
        <v>2125</v>
      </c>
      <c r="AH2509" t="b">
        <v>0</v>
      </c>
    </row>
    <row r="2510" spans="1:34">
      <c r="A2510" t="s">
        <v>2131</v>
      </c>
      <c r="B2510" t="s">
        <v>2110</v>
      </c>
      <c r="AF2510" t="s">
        <v>2131</v>
      </c>
      <c r="AG2510" t="s">
        <v>2125</v>
      </c>
      <c r="AH2510" t="b">
        <v>0</v>
      </c>
    </row>
    <row r="2511" spans="1:34">
      <c r="A2511" t="s">
        <v>2131</v>
      </c>
      <c r="B2511" t="s">
        <v>2111</v>
      </c>
      <c r="AF2511" t="s">
        <v>2131</v>
      </c>
      <c r="AG2511" t="s">
        <v>2125</v>
      </c>
      <c r="AH2511" t="b">
        <v>0</v>
      </c>
    </row>
    <row r="2512" spans="1:34">
      <c r="A2512" t="s">
        <v>2131</v>
      </c>
      <c r="B2512" t="s">
        <v>2112</v>
      </c>
      <c r="AF2512" t="s">
        <v>2131</v>
      </c>
      <c r="AG2512" t="s">
        <v>2125</v>
      </c>
      <c r="AH2512" t="b">
        <v>0</v>
      </c>
    </row>
    <row r="2513" spans="1:34">
      <c r="A2513" t="s">
        <v>2131</v>
      </c>
      <c r="B2513" t="s">
        <v>2113</v>
      </c>
      <c r="AF2513" t="s">
        <v>2131</v>
      </c>
      <c r="AG2513" t="s">
        <v>2125</v>
      </c>
      <c r="AH2513" t="b">
        <v>0</v>
      </c>
    </row>
    <row r="2514" spans="1:34">
      <c r="A2514" t="s">
        <v>2131</v>
      </c>
      <c r="B2514" t="s">
        <v>1938</v>
      </c>
      <c r="AF2514" t="s">
        <v>2131</v>
      </c>
      <c r="AG2514" t="s">
        <v>2125</v>
      </c>
      <c r="AH2514" t="b">
        <v>0</v>
      </c>
    </row>
    <row r="2515" spans="1:34">
      <c r="A2515" t="s">
        <v>2131</v>
      </c>
      <c r="B2515" t="s">
        <v>1900</v>
      </c>
      <c r="AF2515" t="s">
        <v>2131</v>
      </c>
      <c r="AG2515" t="s">
        <v>2125</v>
      </c>
      <c r="AH2515" t="b">
        <v>0</v>
      </c>
    </row>
    <row r="2516" spans="1:34">
      <c r="A2516" t="s">
        <v>2131</v>
      </c>
      <c r="B2516" t="s">
        <v>1901</v>
      </c>
      <c r="AF2516" t="s">
        <v>2131</v>
      </c>
      <c r="AG2516" t="s">
        <v>2125</v>
      </c>
      <c r="AH2516" t="b">
        <v>0</v>
      </c>
    </row>
    <row r="2517" spans="1:34">
      <c r="A2517" t="s">
        <v>2131</v>
      </c>
      <c r="B2517" t="s">
        <v>1939</v>
      </c>
      <c r="AF2517" t="s">
        <v>2131</v>
      </c>
      <c r="AG2517" t="s">
        <v>2125</v>
      </c>
      <c r="AH2517" t="b">
        <v>0</v>
      </c>
    </row>
    <row r="2518" spans="1:34">
      <c r="A2518" t="s">
        <v>2131</v>
      </c>
      <c r="B2518" t="s">
        <v>1902</v>
      </c>
      <c r="AF2518" t="s">
        <v>2131</v>
      </c>
      <c r="AG2518" t="s">
        <v>2125</v>
      </c>
      <c r="AH2518" t="b">
        <v>0</v>
      </c>
    </row>
    <row r="2519" spans="1:34">
      <c r="A2519" t="s">
        <v>2131</v>
      </c>
      <c r="B2519" t="s">
        <v>2114</v>
      </c>
      <c r="AF2519" t="s">
        <v>2131</v>
      </c>
      <c r="AG2519" t="s">
        <v>2125</v>
      </c>
      <c r="AH2519" t="b">
        <v>0</v>
      </c>
    </row>
    <row r="2520" spans="1:34">
      <c r="A2520" t="s">
        <v>2131</v>
      </c>
      <c r="B2520" t="s">
        <v>2115</v>
      </c>
      <c r="AF2520" t="s">
        <v>2131</v>
      </c>
      <c r="AG2520" t="s">
        <v>2125</v>
      </c>
      <c r="AH2520" t="b">
        <v>0</v>
      </c>
    </row>
    <row r="2521" spans="1:34">
      <c r="A2521" t="s">
        <v>2131</v>
      </c>
      <c r="B2521" t="s">
        <v>1903</v>
      </c>
      <c r="AF2521" t="s">
        <v>2131</v>
      </c>
      <c r="AG2521" t="s">
        <v>2125</v>
      </c>
      <c r="AH2521" t="b">
        <v>0</v>
      </c>
    </row>
    <row r="2522" spans="1:34">
      <c r="A2522" t="s">
        <v>2131</v>
      </c>
      <c r="B2522" t="s">
        <v>1904</v>
      </c>
      <c r="AF2522" t="s">
        <v>2131</v>
      </c>
      <c r="AG2522" t="s">
        <v>2125</v>
      </c>
      <c r="AH2522" t="b">
        <v>0</v>
      </c>
    </row>
    <row r="2523" spans="1:34">
      <c r="A2523" t="s">
        <v>2131</v>
      </c>
      <c r="B2523" t="s">
        <v>1905</v>
      </c>
      <c r="AF2523" t="s">
        <v>2131</v>
      </c>
      <c r="AG2523" t="s">
        <v>2125</v>
      </c>
      <c r="AH2523" t="b">
        <v>0</v>
      </c>
    </row>
    <row r="2524" spans="1:34">
      <c r="A2524" t="s">
        <v>2131</v>
      </c>
      <c r="B2524" t="s">
        <v>1940</v>
      </c>
      <c r="AF2524" t="s">
        <v>2131</v>
      </c>
      <c r="AG2524" t="s">
        <v>2125</v>
      </c>
      <c r="AH2524" t="b">
        <v>0</v>
      </c>
    </row>
    <row r="2525" spans="1:34">
      <c r="A2525" t="s">
        <v>2131</v>
      </c>
      <c r="B2525" t="s">
        <v>2116</v>
      </c>
      <c r="AF2525" t="s">
        <v>2131</v>
      </c>
      <c r="AG2525" t="s">
        <v>2125</v>
      </c>
      <c r="AH2525" t="b">
        <v>0</v>
      </c>
    </row>
    <row r="2526" spans="1:34">
      <c r="A2526" t="s">
        <v>2131</v>
      </c>
      <c r="B2526" t="s">
        <v>1941</v>
      </c>
      <c r="AF2526" t="s">
        <v>2131</v>
      </c>
      <c r="AG2526" t="s">
        <v>2125</v>
      </c>
      <c r="AH2526" t="b">
        <v>0</v>
      </c>
    </row>
    <row r="2527" spans="1:34">
      <c r="A2527" t="s">
        <v>2131</v>
      </c>
      <c r="B2527" t="s">
        <v>1906</v>
      </c>
      <c r="AF2527" t="s">
        <v>2131</v>
      </c>
      <c r="AG2527" t="s">
        <v>2125</v>
      </c>
      <c r="AH2527" t="b">
        <v>0</v>
      </c>
    </row>
    <row r="2528" spans="1:34">
      <c r="A2528" t="s">
        <v>2131</v>
      </c>
      <c r="B2528" t="s">
        <v>1942</v>
      </c>
      <c r="AF2528" t="s">
        <v>2131</v>
      </c>
      <c r="AG2528" t="s">
        <v>2125</v>
      </c>
      <c r="AH2528" t="b">
        <v>0</v>
      </c>
    </row>
    <row r="2529" spans="1:34">
      <c r="A2529" t="s">
        <v>2131</v>
      </c>
      <c r="B2529" t="s">
        <v>1907</v>
      </c>
      <c r="AF2529" t="s">
        <v>2131</v>
      </c>
      <c r="AG2529" t="s">
        <v>2125</v>
      </c>
      <c r="AH2529" t="b">
        <v>0</v>
      </c>
    </row>
    <row r="2530" spans="1:34">
      <c r="A2530" t="s">
        <v>2131</v>
      </c>
      <c r="B2530" t="s">
        <v>1908</v>
      </c>
      <c r="AF2530" t="s">
        <v>2131</v>
      </c>
      <c r="AG2530" t="s">
        <v>2125</v>
      </c>
      <c r="AH2530" t="b">
        <v>0</v>
      </c>
    </row>
    <row r="2531" spans="1:34">
      <c r="A2531" t="s">
        <v>2131</v>
      </c>
      <c r="B2531" t="s">
        <v>1909</v>
      </c>
      <c r="AF2531" t="s">
        <v>2131</v>
      </c>
      <c r="AG2531" t="s">
        <v>2125</v>
      </c>
      <c r="AH2531" t="b">
        <v>0</v>
      </c>
    </row>
    <row r="2532" spans="1:34">
      <c r="A2532" t="s">
        <v>2131</v>
      </c>
      <c r="B2532" t="s">
        <v>1910</v>
      </c>
      <c r="AF2532" t="s">
        <v>2131</v>
      </c>
      <c r="AG2532" t="s">
        <v>2125</v>
      </c>
      <c r="AH2532" t="b">
        <v>0</v>
      </c>
    </row>
    <row r="2533" spans="1:34">
      <c r="A2533" t="s">
        <v>2131</v>
      </c>
      <c r="B2533" t="s">
        <v>1944</v>
      </c>
      <c r="AF2533" t="s">
        <v>2131</v>
      </c>
      <c r="AG2533" t="s">
        <v>2125</v>
      </c>
      <c r="AH2533" t="b">
        <v>0</v>
      </c>
    </row>
    <row r="2534" spans="1:34">
      <c r="A2534" t="s">
        <v>2131</v>
      </c>
      <c r="B2534" t="s">
        <v>1945</v>
      </c>
      <c r="AF2534" t="s">
        <v>2131</v>
      </c>
      <c r="AG2534" t="s">
        <v>2125</v>
      </c>
      <c r="AH2534" t="b">
        <v>0</v>
      </c>
    </row>
    <row r="2535" spans="1:34">
      <c r="A2535" t="s">
        <v>2131</v>
      </c>
      <c r="B2535" t="s">
        <v>1911</v>
      </c>
      <c r="AF2535" t="s">
        <v>2131</v>
      </c>
      <c r="AG2535" t="s">
        <v>2125</v>
      </c>
      <c r="AH2535" t="b">
        <v>0</v>
      </c>
    </row>
    <row r="2536" spans="1:34">
      <c r="A2536" t="s">
        <v>2131</v>
      </c>
      <c r="B2536" t="s">
        <v>1912</v>
      </c>
      <c r="AF2536" t="s">
        <v>2131</v>
      </c>
      <c r="AG2536" t="s">
        <v>2125</v>
      </c>
      <c r="AH2536" t="b">
        <v>0</v>
      </c>
    </row>
    <row r="2537" spans="1:34">
      <c r="A2537" t="s">
        <v>2131</v>
      </c>
      <c r="B2537" t="s">
        <v>1913</v>
      </c>
      <c r="AF2537" t="s">
        <v>2131</v>
      </c>
      <c r="AG2537" t="s">
        <v>2125</v>
      </c>
      <c r="AH2537" t="b">
        <v>0</v>
      </c>
    </row>
    <row r="2538" spans="1:34">
      <c r="A2538" t="s">
        <v>2131</v>
      </c>
      <c r="B2538" t="s">
        <v>1946</v>
      </c>
      <c r="AF2538" t="s">
        <v>2131</v>
      </c>
      <c r="AG2538" t="s">
        <v>2125</v>
      </c>
      <c r="AH2538" t="b">
        <v>0</v>
      </c>
    </row>
    <row r="2539" spans="1:34">
      <c r="A2539" t="s">
        <v>2131</v>
      </c>
      <c r="B2539" t="s">
        <v>1914</v>
      </c>
      <c r="AF2539" t="s">
        <v>2131</v>
      </c>
      <c r="AG2539" t="s">
        <v>2125</v>
      </c>
      <c r="AH2539" t="b">
        <v>0</v>
      </c>
    </row>
    <row r="2540" spans="1:34">
      <c r="A2540" t="s">
        <v>2131</v>
      </c>
      <c r="B2540" t="s">
        <v>1947</v>
      </c>
      <c r="AF2540" t="s">
        <v>2131</v>
      </c>
      <c r="AG2540" t="s">
        <v>2125</v>
      </c>
      <c r="AH2540" t="b">
        <v>0</v>
      </c>
    </row>
    <row r="2541" spans="1:34">
      <c r="A2541" t="s">
        <v>2131</v>
      </c>
      <c r="B2541" t="s">
        <v>1943</v>
      </c>
      <c r="AF2541" t="s">
        <v>2131</v>
      </c>
      <c r="AG2541" t="s">
        <v>2125</v>
      </c>
      <c r="AH2541" t="b">
        <v>0</v>
      </c>
    </row>
    <row r="2542" spans="1:34">
      <c r="A2542" t="s">
        <v>2131</v>
      </c>
      <c r="B2542" t="s">
        <v>1948</v>
      </c>
      <c r="AF2542" t="s">
        <v>2131</v>
      </c>
      <c r="AG2542" t="s">
        <v>2125</v>
      </c>
      <c r="AH2542" t="b">
        <v>0</v>
      </c>
    </row>
    <row r="2543" spans="1:34">
      <c r="A2543" t="s">
        <v>2131</v>
      </c>
      <c r="B2543" t="s">
        <v>1915</v>
      </c>
      <c r="AF2543" t="s">
        <v>2131</v>
      </c>
      <c r="AG2543" t="s">
        <v>2125</v>
      </c>
      <c r="AH2543" t="b">
        <v>0</v>
      </c>
    </row>
    <row r="2544" spans="1:34">
      <c r="A2544" t="s">
        <v>2131</v>
      </c>
      <c r="B2544" t="s">
        <v>1916</v>
      </c>
      <c r="AF2544" t="s">
        <v>2131</v>
      </c>
      <c r="AG2544" t="s">
        <v>2125</v>
      </c>
      <c r="AH2544" t="b">
        <v>0</v>
      </c>
    </row>
    <row r="2545" spans="1:34">
      <c r="A2545" t="s">
        <v>2131</v>
      </c>
      <c r="B2545" t="s">
        <v>1917</v>
      </c>
      <c r="AF2545" t="s">
        <v>2131</v>
      </c>
      <c r="AG2545" t="s">
        <v>2125</v>
      </c>
      <c r="AH2545" t="b">
        <v>0</v>
      </c>
    </row>
    <row r="2546" spans="1:34">
      <c r="A2546" t="s">
        <v>2131</v>
      </c>
      <c r="B2546" t="s">
        <v>1949</v>
      </c>
      <c r="AF2546" t="s">
        <v>2131</v>
      </c>
      <c r="AG2546" t="s">
        <v>2125</v>
      </c>
      <c r="AH2546" t="b">
        <v>0</v>
      </c>
    </row>
    <row r="2547" spans="1:34">
      <c r="A2547" t="s">
        <v>2131</v>
      </c>
      <c r="B2547" t="s">
        <v>1950</v>
      </c>
      <c r="AF2547" t="s">
        <v>2131</v>
      </c>
      <c r="AG2547" t="s">
        <v>2125</v>
      </c>
      <c r="AH2547" t="b">
        <v>0</v>
      </c>
    </row>
    <row r="2548" spans="1:34">
      <c r="A2548" t="s">
        <v>2131</v>
      </c>
      <c r="B2548" t="s">
        <v>1918</v>
      </c>
      <c r="AF2548" t="s">
        <v>2131</v>
      </c>
      <c r="AG2548" t="s">
        <v>2125</v>
      </c>
      <c r="AH2548" t="b">
        <v>0</v>
      </c>
    </row>
    <row r="2549" spans="1:34">
      <c r="A2549" t="s">
        <v>2131</v>
      </c>
      <c r="B2549" t="s">
        <v>1951</v>
      </c>
      <c r="AF2549" t="s">
        <v>2131</v>
      </c>
      <c r="AG2549" t="s">
        <v>2125</v>
      </c>
      <c r="AH2549" t="b">
        <v>0</v>
      </c>
    </row>
    <row r="2550" spans="1:34">
      <c r="A2550" t="s">
        <v>2131</v>
      </c>
      <c r="B2550" t="s">
        <v>2117</v>
      </c>
      <c r="AF2550" t="s">
        <v>2131</v>
      </c>
      <c r="AG2550" t="s">
        <v>2125</v>
      </c>
      <c r="AH2550" t="b">
        <v>0</v>
      </c>
    </row>
    <row r="2551" spans="1:34">
      <c r="A2551" t="s">
        <v>2131</v>
      </c>
      <c r="B2551" t="s">
        <v>1919</v>
      </c>
      <c r="AF2551" t="s">
        <v>2131</v>
      </c>
      <c r="AG2551" t="s">
        <v>2125</v>
      </c>
      <c r="AH2551" t="b">
        <v>0</v>
      </c>
    </row>
    <row r="2552" spans="1:34">
      <c r="A2552" t="s">
        <v>2131</v>
      </c>
      <c r="B2552" t="s">
        <v>1920</v>
      </c>
      <c r="AF2552" t="s">
        <v>2131</v>
      </c>
      <c r="AG2552" t="s">
        <v>2125</v>
      </c>
      <c r="AH2552" t="b">
        <v>0</v>
      </c>
    </row>
    <row r="2553" spans="1:34">
      <c r="A2553" t="s">
        <v>2131</v>
      </c>
      <c r="B2553" t="s">
        <v>1952</v>
      </c>
      <c r="AF2553" t="s">
        <v>2131</v>
      </c>
      <c r="AG2553" t="s">
        <v>2125</v>
      </c>
      <c r="AH2553" t="b">
        <v>0</v>
      </c>
    </row>
    <row r="2554" spans="1:34">
      <c r="A2554" t="s">
        <v>2131</v>
      </c>
      <c r="B2554" t="s">
        <v>1953</v>
      </c>
      <c r="AF2554" t="s">
        <v>2131</v>
      </c>
      <c r="AG2554" t="s">
        <v>2125</v>
      </c>
      <c r="AH2554" t="b">
        <v>0</v>
      </c>
    </row>
    <row r="2555" spans="1:34">
      <c r="A2555" t="s">
        <v>2131</v>
      </c>
      <c r="B2555" t="s">
        <v>2118</v>
      </c>
      <c r="AF2555" t="s">
        <v>2131</v>
      </c>
      <c r="AG2555" t="s">
        <v>2125</v>
      </c>
      <c r="AH2555" t="b">
        <v>0</v>
      </c>
    </row>
    <row r="2556" spans="1:34">
      <c r="A2556" t="s">
        <v>2131</v>
      </c>
      <c r="B2556" t="s">
        <v>1921</v>
      </c>
      <c r="AF2556" t="s">
        <v>2131</v>
      </c>
      <c r="AG2556" t="s">
        <v>2125</v>
      </c>
      <c r="AH2556" t="b">
        <v>0</v>
      </c>
    </row>
    <row r="2557" spans="1:34">
      <c r="A2557" t="s">
        <v>2131</v>
      </c>
      <c r="B2557" t="s">
        <v>2119</v>
      </c>
      <c r="AF2557" t="s">
        <v>2131</v>
      </c>
      <c r="AG2557" t="s">
        <v>2125</v>
      </c>
      <c r="AH2557" t="b">
        <v>0</v>
      </c>
    </row>
    <row r="2558" spans="1:34">
      <c r="A2558" t="s">
        <v>2131</v>
      </c>
      <c r="B2558" t="s">
        <v>1956</v>
      </c>
      <c r="AF2558" t="s">
        <v>2131</v>
      </c>
      <c r="AG2558" t="s">
        <v>2125</v>
      </c>
      <c r="AH2558" t="b">
        <v>0</v>
      </c>
    </row>
    <row r="2559" spans="1:34">
      <c r="A2559" t="s">
        <v>2131</v>
      </c>
      <c r="B2559" t="s">
        <v>1957</v>
      </c>
      <c r="AF2559" t="s">
        <v>2131</v>
      </c>
      <c r="AG2559" t="s">
        <v>2125</v>
      </c>
      <c r="AH2559" t="b">
        <v>0</v>
      </c>
    </row>
    <row r="2560" spans="1:34">
      <c r="A2560" t="s">
        <v>2131</v>
      </c>
      <c r="B2560" t="s">
        <v>2120</v>
      </c>
      <c r="AF2560" t="s">
        <v>2131</v>
      </c>
      <c r="AG2560" t="s">
        <v>2125</v>
      </c>
      <c r="AH2560" t="b">
        <v>0</v>
      </c>
    </row>
    <row r="2561" spans="1:34">
      <c r="A2561" t="s">
        <v>2131</v>
      </c>
      <c r="B2561" t="s">
        <v>1922</v>
      </c>
      <c r="AF2561" t="s">
        <v>2131</v>
      </c>
      <c r="AG2561" t="s">
        <v>2125</v>
      </c>
      <c r="AH2561" t="b">
        <v>0</v>
      </c>
    </row>
    <row r="2562" spans="1:34">
      <c r="A2562" t="s">
        <v>2131</v>
      </c>
      <c r="B2562" t="s">
        <v>1923</v>
      </c>
      <c r="AF2562" t="s">
        <v>2131</v>
      </c>
      <c r="AG2562" t="s">
        <v>2125</v>
      </c>
      <c r="AH2562" t="b">
        <v>0</v>
      </c>
    </row>
    <row r="2563" spans="1:34">
      <c r="A2563" t="s">
        <v>2131</v>
      </c>
      <c r="B2563" t="s">
        <v>1955</v>
      </c>
      <c r="AF2563" t="s">
        <v>2131</v>
      </c>
      <c r="AG2563" t="s">
        <v>2125</v>
      </c>
      <c r="AH2563" t="b">
        <v>0</v>
      </c>
    </row>
    <row r="2564" spans="1:34">
      <c r="A2564" t="s">
        <v>2131</v>
      </c>
      <c r="B2564" t="s">
        <v>2121</v>
      </c>
      <c r="AF2564" t="s">
        <v>2131</v>
      </c>
      <c r="AG2564" t="s">
        <v>2125</v>
      </c>
      <c r="AH2564" t="b">
        <v>0</v>
      </c>
    </row>
    <row r="2565" spans="1:34">
      <c r="A2565" t="s">
        <v>2131</v>
      </c>
      <c r="B2565" t="s">
        <v>1924</v>
      </c>
      <c r="AF2565" t="s">
        <v>2131</v>
      </c>
      <c r="AG2565" t="s">
        <v>2125</v>
      </c>
      <c r="AH2565" t="b">
        <v>0</v>
      </c>
    </row>
    <row r="2566" spans="1:34">
      <c r="A2566" t="s">
        <v>2131</v>
      </c>
      <c r="B2566" t="s">
        <v>1925</v>
      </c>
      <c r="AF2566" t="s">
        <v>2131</v>
      </c>
      <c r="AG2566" t="s">
        <v>2125</v>
      </c>
      <c r="AH2566" t="b">
        <v>0</v>
      </c>
    </row>
    <row r="2567" spans="1:34">
      <c r="A2567" t="s">
        <v>2131</v>
      </c>
      <c r="B2567" t="s">
        <v>1958</v>
      </c>
      <c r="AF2567" t="s">
        <v>2131</v>
      </c>
      <c r="AG2567" t="s">
        <v>2125</v>
      </c>
      <c r="AH2567" t="b">
        <v>0</v>
      </c>
    </row>
    <row r="2568" spans="1:34">
      <c r="A2568" t="s">
        <v>2131</v>
      </c>
      <c r="B2568" t="s">
        <v>1926</v>
      </c>
      <c r="AF2568" t="s">
        <v>2131</v>
      </c>
      <c r="AG2568" t="s">
        <v>2125</v>
      </c>
      <c r="AH2568" t="b">
        <v>0</v>
      </c>
    </row>
    <row r="2569" spans="1:34">
      <c r="A2569" t="s">
        <v>2131</v>
      </c>
      <c r="B2569" t="s">
        <v>1959</v>
      </c>
      <c r="AF2569" t="s">
        <v>2131</v>
      </c>
      <c r="AG2569" t="s">
        <v>2125</v>
      </c>
      <c r="AH2569" t="b">
        <v>0</v>
      </c>
    </row>
    <row r="2570" spans="1:34">
      <c r="A2570" t="s">
        <v>2131</v>
      </c>
      <c r="B2570" t="s">
        <v>1960</v>
      </c>
      <c r="AF2570" t="s">
        <v>2131</v>
      </c>
      <c r="AG2570" t="s">
        <v>2125</v>
      </c>
      <c r="AH2570" t="b">
        <v>0</v>
      </c>
    </row>
    <row r="2571" spans="1:34">
      <c r="A2571" t="s">
        <v>2131</v>
      </c>
      <c r="B2571" t="s">
        <v>1961</v>
      </c>
      <c r="AF2571" t="s">
        <v>2131</v>
      </c>
      <c r="AG2571" t="s">
        <v>2125</v>
      </c>
      <c r="AH2571" t="b">
        <v>0</v>
      </c>
    </row>
    <row r="2572" spans="1:34">
      <c r="A2572" t="s">
        <v>2131</v>
      </c>
      <c r="B2572" t="s">
        <v>1954</v>
      </c>
      <c r="AF2572" t="s">
        <v>2131</v>
      </c>
      <c r="AG2572" t="s">
        <v>2125</v>
      </c>
      <c r="AH2572" t="b">
        <v>0</v>
      </c>
    </row>
    <row r="2573" spans="1:34">
      <c r="A2573" t="s">
        <v>2131</v>
      </c>
      <c r="B2573" t="s">
        <v>1927</v>
      </c>
      <c r="AF2573" t="s">
        <v>2131</v>
      </c>
      <c r="AG2573" t="s">
        <v>2125</v>
      </c>
      <c r="AH2573" t="b">
        <v>0</v>
      </c>
    </row>
    <row r="2574" spans="1:34">
      <c r="A2574" t="s">
        <v>2131</v>
      </c>
      <c r="B2574" t="s">
        <v>1928</v>
      </c>
      <c r="AF2574" t="s">
        <v>2131</v>
      </c>
      <c r="AG2574" t="s">
        <v>2125</v>
      </c>
      <c r="AH2574" t="b">
        <v>0</v>
      </c>
    </row>
    <row r="2575" spans="1:34">
      <c r="A2575" t="s">
        <v>2131</v>
      </c>
      <c r="B2575" t="s">
        <v>1929</v>
      </c>
      <c r="AF2575" t="s">
        <v>2131</v>
      </c>
      <c r="AG2575" t="s">
        <v>2125</v>
      </c>
      <c r="AH2575" t="b">
        <v>0</v>
      </c>
    </row>
    <row r="2576" spans="1:34">
      <c r="A2576" t="s">
        <v>2131</v>
      </c>
      <c r="B2576" t="s">
        <v>1962</v>
      </c>
      <c r="AF2576" t="s">
        <v>2131</v>
      </c>
      <c r="AG2576" t="s">
        <v>2125</v>
      </c>
      <c r="AH2576" t="b">
        <v>0</v>
      </c>
    </row>
    <row r="2577" spans="1:34">
      <c r="A2577" t="s">
        <v>2131</v>
      </c>
      <c r="B2577" t="s">
        <v>1963</v>
      </c>
      <c r="AF2577" t="s">
        <v>2131</v>
      </c>
      <c r="AG2577" t="s">
        <v>2125</v>
      </c>
      <c r="AH2577" t="b">
        <v>0</v>
      </c>
    </row>
    <row r="2578" spans="1:34">
      <c r="A2578" t="s">
        <v>2131</v>
      </c>
      <c r="B2578" t="s">
        <v>1930</v>
      </c>
      <c r="AF2578" t="s">
        <v>2131</v>
      </c>
      <c r="AG2578" t="s">
        <v>2125</v>
      </c>
      <c r="AH2578" t="b">
        <v>0</v>
      </c>
    </row>
    <row r="2579" spans="1:34">
      <c r="A2579" t="s">
        <v>2131</v>
      </c>
      <c r="B2579" t="s">
        <v>1964</v>
      </c>
      <c r="AF2579" t="s">
        <v>2131</v>
      </c>
      <c r="AG2579" t="s">
        <v>2125</v>
      </c>
      <c r="AH2579" t="b">
        <v>0</v>
      </c>
    </row>
    <row r="2580" spans="1:34">
      <c r="A2580" t="s">
        <v>2131</v>
      </c>
      <c r="B2580" t="s">
        <v>1965</v>
      </c>
      <c r="AF2580" t="s">
        <v>2131</v>
      </c>
      <c r="AG2580" t="s">
        <v>2125</v>
      </c>
      <c r="AH2580" t="b">
        <v>0</v>
      </c>
    </row>
    <row r="2581" spans="1:34">
      <c r="A2581" t="s">
        <v>2131</v>
      </c>
      <c r="B2581" t="s">
        <v>1966</v>
      </c>
      <c r="AF2581" t="s">
        <v>2131</v>
      </c>
      <c r="AG2581" t="s">
        <v>2125</v>
      </c>
      <c r="AH2581" t="b">
        <v>0</v>
      </c>
    </row>
    <row r="2582" spans="1:34">
      <c r="A2582" t="s">
        <v>2131</v>
      </c>
      <c r="B2582" t="s">
        <v>2122</v>
      </c>
      <c r="AF2582" t="s">
        <v>2131</v>
      </c>
      <c r="AG2582" t="s">
        <v>2125</v>
      </c>
      <c r="AH2582" t="b">
        <v>0</v>
      </c>
    </row>
    <row r="2583" spans="1:34">
      <c r="A2583" t="s">
        <v>2131</v>
      </c>
      <c r="B2583" t="s">
        <v>39</v>
      </c>
      <c r="AF2583" t="s">
        <v>2131</v>
      </c>
      <c r="AG2583" t="s">
        <v>2125</v>
      </c>
      <c r="AH2583" t="b">
        <v>0</v>
      </c>
    </row>
    <row r="2584" spans="1:34">
      <c r="A2584" t="s">
        <v>2131</v>
      </c>
      <c r="B2584" t="s">
        <v>1967</v>
      </c>
      <c r="AF2584" t="s">
        <v>2131</v>
      </c>
      <c r="AG2584" t="s">
        <v>2125</v>
      </c>
      <c r="AH2584" t="b">
        <v>0</v>
      </c>
    </row>
    <row r="2585" spans="1:34">
      <c r="A2585" t="s">
        <v>2131</v>
      </c>
      <c r="B2585" t="s">
        <v>1931</v>
      </c>
      <c r="AF2585" t="s">
        <v>2131</v>
      </c>
      <c r="AG2585" t="s">
        <v>2125</v>
      </c>
      <c r="AH2585" t="b">
        <v>0</v>
      </c>
    </row>
    <row r="2586" spans="1:34">
      <c r="A2586" t="s">
        <v>2131</v>
      </c>
      <c r="B2586" t="s">
        <v>1932</v>
      </c>
      <c r="AF2586" t="s">
        <v>2131</v>
      </c>
      <c r="AG2586" t="s">
        <v>2125</v>
      </c>
      <c r="AH2586" t="b">
        <v>0</v>
      </c>
    </row>
    <row r="2587" spans="1:34">
      <c r="A2587" t="s">
        <v>2131</v>
      </c>
      <c r="B2587" t="s">
        <v>1933</v>
      </c>
      <c r="AF2587" t="s">
        <v>2131</v>
      </c>
      <c r="AG2587" t="s">
        <v>2125</v>
      </c>
      <c r="AH2587" t="b">
        <v>0</v>
      </c>
    </row>
    <row r="2588" spans="1:34">
      <c r="A2588" t="s">
        <v>2131</v>
      </c>
      <c r="B2588" t="s">
        <v>1973</v>
      </c>
      <c r="AF2588" t="s">
        <v>2131</v>
      </c>
      <c r="AG2588" t="s">
        <v>2125</v>
      </c>
      <c r="AH2588" t="b">
        <v>0</v>
      </c>
    </row>
    <row r="2589" spans="1:34">
      <c r="A2589" t="s">
        <v>2131</v>
      </c>
      <c r="B2589" t="s">
        <v>1970</v>
      </c>
      <c r="AF2589" t="s">
        <v>2131</v>
      </c>
      <c r="AG2589" t="s">
        <v>2125</v>
      </c>
      <c r="AH2589" t="b">
        <v>0</v>
      </c>
    </row>
    <row r="2590" spans="1:34">
      <c r="A2590" t="s">
        <v>2131</v>
      </c>
      <c r="B2590" t="s">
        <v>1971</v>
      </c>
      <c r="AF2590" t="s">
        <v>2131</v>
      </c>
      <c r="AG2590" t="s">
        <v>2125</v>
      </c>
      <c r="AH2590" t="b">
        <v>0</v>
      </c>
    </row>
    <row r="2591" spans="1:34">
      <c r="A2591" t="s">
        <v>2131</v>
      </c>
      <c r="B2591" t="s">
        <v>1968</v>
      </c>
      <c r="AF2591" t="s">
        <v>2131</v>
      </c>
      <c r="AG2591" t="s">
        <v>2125</v>
      </c>
      <c r="AH2591" t="b">
        <v>0</v>
      </c>
    </row>
    <row r="2592" spans="1:34">
      <c r="A2592" t="s">
        <v>2131</v>
      </c>
      <c r="B2592" t="s">
        <v>1969</v>
      </c>
      <c r="AF2592" t="s">
        <v>2131</v>
      </c>
      <c r="AG2592" t="s">
        <v>2125</v>
      </c>
      <c r="AH2592" t="b">
        <v>0</v>
      </c>
    </row>
    <row r="2593" spans="1:34">
      <c r="A2593" t="s">
        <v>2131</v>
      </c>
      <c r="B2593" t="s">
        <v>1972</v>
      </c>
      <c r="AF2593" t="s">
        <v>2131</v>
      </c>
      <c r="AG2593" t="s">
        <v>2125</v>
      </c>
      <c r="AH2593" t="b">
        <v>0</v>
      </c>
    </row>
    <row r="2594" spans="1:34">
      <c r="A2594" t="s">
        <v>2131</v>
      </c>
      <c r="B2594" t="s">
        <v>1934</v>
      </c>
      <c r="AF2594" t="s">
        <v>2131</v>
      </c>
      <c r="AG2594" t="s">
        <v>2125</v>
      </c>
      <c r="AH2594" t="b">
        <v>0</v>
      </c>
    </row>
    <row r="2595" spans="1:34">
      <c r="A2595" t="s">
        <v>2131</v>
      </c>
      <c r="B2595" t="s">
        <v>1974</v>
      </c>
      <c r="AF2595" t="s">
        <v>2131</v>
      </c>
      <c r="AG2595" t="s">
        <v>2125</v>
      </c>
      <c r="AH2595" t="b">
        <v>0</v>
      </c>
    </row>
    <row r="2596" spans="1:34">
      <c r="A2596" t="s">
        <v>2131</v>
      </c>
      <c r="B2596" t="s">
        <v>1975</v>
      </c>
      <c r="AF2596" t="s">
        <v>2131</v>
      </c>
      <c r="AG2596" t="s">
        <v>2125</v>
      </c>
      <c r="AH2596" t="b">
        <v>0</v>
      </c>
    </row>
    <row r="2597" spans="1:34">
      <c r="A2597" t="s">
        <v>2132</v>
      </c>
      <c r="B2597" t="s">
        <v>6</v>
      </c>
      <c r="AF2597" t="s">
        <v>2132</v>
      </c>
      <c r="AG2597" t="s">
        <v>2125</v>
      </c>
      <c r="AH2597" t="b">
        <v>0</v>
      </c>
    </row>
    <row r="2598" spans="1:34">
      <c r="A2598" t="s">
        <v>2132</v>
      </c>
      <c r="B2598" t="s">
        <v>200</v>
      </c>
      <c r="AF2598" t="s">
        <v>2132</v>
      </c>
      <c r="AG2598" t="s">
        <v>2125</v>
      </c>
      <c r="AH2598" t="b">
        <v>0</v>
      </c>
    </row>
    <row r="2599" spans="1:34">
      <c r="A2599" t="s">
        <v>2133</v>
      </c>
      <c r="B2599" t="s">
        <v>1361</v>
      </c>
      <c r="AF2599" t="s">
        <v>2133</v>
      </c>
      <c r="AG2599" t="s">
        <v>2125</v>
      </c>
      <c r="AH2599" t="b">
        <v>0</v>
      </c>
    </row>
    <row r="2600" spans="1:34">
      <c r="A2600" t="s">
        <v>2133</v>
      </c>
      <c r="B2600" t="s">
        <v>1366</v>
      </c>
      <c r="AF2600" t="s">
        <v>2133</v>
      </c>
      <c r="AG2600" t="s">
        <v>2125</v>
      </c>
      <c r="AH2600" t="b">
        <v>0</v>
      </c>
    </row>
    <row r="2601" spans="1:34">
      <c r="A2601" t="s">
        <v>2133</v>
      </c>
      <c r="B2601" t="s">
        <v>1371</v>
      </c>
      <c r="AF2601" t="s">
        <v>2133</v>
      </c>
      <c r="AG2601" t="s">
        <v>2125</v>
      </c>
      <c r="AH2601" t="b">
        <v>0</v>
      </c>
    </row>
    <row r="2602" spans="1:34">
      <c r="A2602" t="s">
        <v>2133</v>
      </c>
      <c r="B2602" t="s">
        <v>1374</v>
      </c>
      <c r="AF2602" t="s">
        <v>2133</v>
      </c>
      <c r="AG2602" t="s">
        <v>2125</v>
      </c>
      <c r="AH2602" t="b">
        <v>0</v>
      </c>
    </row>
    <row r="2603" spans="1:34">
      <c r="A2603" t="s">
        <v>2133</v>
      </c>
      <c r="B2603" t="s">
        <v>1377</v>
      </c>
      <c r="AF2603" t="s">
        <v>2133</v>
      </c>
      <c r="AG2603" t="s">
        <v>2125</v>
      </c>
      <c r="AH2603" t="b">
        <v>0</v>
      </c>
    </row>
    <row r="2604" spans="1:34">
      <c r="A2604" t="s">
        <v>2133</v>
      </c>
      <c r="B2604" t="s">
        <v>1380</v>
      </c>
      <c r="AF2604" t="s">
        <v>2133</v>
      </c>
      <c r="AG2604" t="s">
        <v>2125</v>
      </c>
      <c r="AH2604" t="b">
        <v>0</v>
      </c>
    </row>
    <row r="2605" spans="1:34">
      <c r="A2605" t="s">
        <v>2133</v>
      </c>
      <c r="B2605" t="s">
        <v>1384</v>
      </c>
      <c r="AF2605" t="s">
        <v>2133</v>
      </c>
      <c r="AG2605" t="s">
        <v>2125</v>
      </c>
      <c r="AH2605" t="b">
        <v>0</v>
      </c>
    </row>
    <row r="2606" spans="1:34">
      <c r="A2606" t="s">
        <v>2133</v>
      </c>
      <c r="B2606" t="s">
        <v>1387</v>
      </c>
      <c r="AF2606" t="s">
        <v>2133</v>
      </c>
      <c r="AG2606" t="s">
        <v>2125</v>
      </c>
      <c r="AH2606" t="b">
        <v>0</v>
      </c>
    </row>
    <row r="2607" spans="1:34">
      <c r="A2607" t="s">
        <v>2133</v>
      </c>
      <c r="B2607" t="s">
        <v>1390</v>
      </c>
      <c r="AF2607" t="s">
        <v>2133</v>
      </c>
      <c r="AG2607" t="s">
        <v>2125</v>
      </c>
      <c r="AH2607" t="b">
        <v>0</v>
      </c>
    </row>
    <row r="2608" spans="1:34">
      <c r="A2608" t="s">
        <v>2133</v>
      </c>
      <c r="B2608" t="s">
        <v>1393</v>
      </c>
      <c r="AF2608" t="s">
        <v>2133</v>
      </c>
      <c r="AG2608" t="s">
        <v>2125</v>
      </c>
      <c r="AH2608" t="b">
        <v>0</v>
      </c>
    </row>
    <row r="2609" spans="1:34">
      <c r="A2609" t="s">
        <v>2133</v>
      </c>
      <c r="B2609" t="s">
        <v>1396</v>
      </c>
      <c r="AF2609" t="s">
        <v>2133</v>
      </c>
      <c r="AG2609" t="s">
        <v>2125</v>
      </c>
      <c r="AH2609" t="b">
        <v>0</v>
      </c>
    </row>
    <row r="2610" spans="1:34">
      <c r="A2610" t="s">
        <v>2133</v>
      </c>
      <c r="B2610" t="s">
        <v>1399</v>
      </c>
      <c r="AF2610" t="s">
        <v>2133</v>
      </c>
      <c r="AG2610" t="s">
        <v>2125</v>
      </c>
      <c r="AH2610" t="b">
        <v>0</v>
      </c>
    </row>
    <row r="2611" spans="1:34">
      <c r="A2611" t="s">
        <v>2133</v>
      </c>
      <c r="B2611" t="s">
        <v>1402</v>
      </c>
      <c r="AF2611" t="s">
        <v>2133</v>
      </c>
      <c r="AG2611" t="s">
        <v>2125</v>
      </c>
      <c r="AH2611" t="b">
        <v>0</v>
      </c>
    </row>
    <row r="2612" spans="1:34">
      <c r="A2612" t="s">
        <v>2133</v>
      </c>
      <c r="B2612" t="s">
        <v>1405</v>
      </c>
      <c r="AF2612" t="s">
        <v>2133</v>
      </c>
      <c r="AG2612" t="s">
        <v>2125</v>
      </c>
      <c r="AH2612" t="b">
        <v>0</v>
      </c>
    </row>
    <row r="2613" spans="1:34">
      <c r="A2613" t="s">
        <v>2133</v>
      </c>
      <c r="B2613" t="s">
        <v>1408</v>
      </c>
      <c r="AF2613" t="s">
        <v>2133</v>
      </c>
      <c r="AG2613" t="s">
        <v>2125</v>
      </c>
      <c r="AH2613" t="b">
        <v>0</v>
      </c>
    </row>
    <row r="2614" spans="1:34">
      <c r="A2614" t="s">
        <v>2133</v>
      </c>
      <c r="B2614" t="s">
        <v>1411</v>
      </c>
      <c r="AF2614" t="s">
        <v>2133</v>
      </c>
      <c r="AG2614" t="s">
        <v>2125</v>
      </c>
      <c r="AH2614" t="b">
        <v>0</v>
      </c>
    </row>
    <row r="2615" spans="1:34">
      <c r="A2615" t="s">
        <v>2133</v>
      </c>
      <c r="B2615" t="s">
        <v>1414</v>
      </c>
      <c r="AF2615" t="s">
        <v>2133</v>
      </c>
      <c r="AG2615" t="s">
        <v>2125</v>
      </c>
      <c r="AH2615" t="b">
        <v>0</v>
      </c>
    </row>
    <row r="2616" spans="1:34">
      <c r="A2616" t="s">
        <v>2133</v>
      </c>
      <c r="B2616" t="s">
        <v>1417</v>
      </c>
      <c r="AF2616" t="s">
        <v>2133</v>
      </c>
      <c r="AG2616" t="s">
        <v>2125</v>
      </c>
      <c r="AH2616" t="b">
        <v>0</v>
      </c>
    </row>
    <row r="2617" spans="1:34">
      <c r="A2617" t="s">
        <v>2133</v>
      </c>
      <c r="B2617" t="s">
        <v>1421</v>
      </c>
      <c r="AF2617" t="s">
        <v>2133</v>
      </c>
      <c r="AG2617" t="s">
        <v>2125</v>
      </c>
      <c r="AH2617" t="b">
        <v>0</v>
      </c>
    </row>
    <row r="2618" spans="1:34">
      <c r="A2618" t="s">
        <v>2133</v>
      </c>
      <c r="B2618" t="s">
        <v>1424</v>
      </c>
      <c r="AF2618" t="s">
        <v>2133</v>
      </c>
      <c r="AG2618" t="s">
        <v>2125</v>
      </c>
      <c r="AH2618" t="b">
        <v>0</v>
      </c>
    </row>
    <row r="2619" spans="1:34">
      <c r="A2619" t="s">
        <v>2133</v>
      </c>
      <c r="B2619" t="s">
        <v>1427</v>
      </c>
      <c r="AF2619" t="s">
        <v>2133</v>
      </c>
      <c r="AG2619" t="s">
        <v>2125</v>
      </c>
      <c r="AH2619" t="b">
        <v>0</v>
      </c>
    </row>
    <row r="2620" spans="1:34">
      <c r="A2620" t="s">
        <v>2133</v>
      </c>
      <c r="B2620" t="s">
        <v>1429</v>
      </c>
      <c r="AF2620" t="s">
        <v>2133</v>
      </c>
      <c r="AG2620" t="s">
        <v>2125</v>
      </c>
      <c r="AH2620" t="b">
        <v>0</v>
      </c>
    </row>
    <row r="2621" spans="1:34">
      <c r="A2621" t="s">
        <v>2133</v>
      </c>
      <c r="B2621" t="s">
        <v>1432</v>
      </c>
      <c r="AF2621" t="s">
        <v>2133</v>
      </c>
      <c r="AG2621" t="s">
        <v>2125</v>
      </c>
      <c r="AH2621" t="b">
        <v>0</v>
      </c>
    </row>
    <row r="2622" spans="1:34">
      <c r="A2622" t="s">
        <v>2133</v>
      </c>
      <c r="B2622" t="s">
        <v>1434</v>
      </c>
      <c r="AF2622" t="s">
        <v>2133</v>
      </c>
      <c r="AG2622" t="s">
        <v>2125</v>
      </c>
      <c r="AH2622" t="b">
        <v>0</v>
      </c>
    </row>
    <row r="2623" spans="1:34">
      <c r="A2623" t="s">
        <v>2133</v>
      </c>
      <c r="B2623" t="s">
        <v>1437</v>
      </c>
      <c r="AF2623" t="s">
        <v>2133</v>
      </c>
      <c r="AG2623" t="s">
        <v>2125</v>
      </c>
      <c r="AH2623" t="b">
        <v>0</v>
      </c>
    </row>
    <row r="2624" spans="1:34">
      <c r="A2624" t="s">
        <v>2133</v>
      </c>
      <c r="B2624" t="s">
        <v>1439</v>
      </c>
      <c r="AF2624" t="s">
        <v>2133</v>
      </c>
      <c r="AG2624" t="s">
        <v>2125</v>
      </c>
      <c r="AH2624" t="b">
        <v>0</v>
      </c>
    </row>
    <row r="2625" spans="1:34">
      <c r="A2625" t="s">
        <v>2133</v>
      </c>
      <c r="B2625" t="s">
        <v>1442</v>
      </c>
      <c r="AF2625" t="s">
        <v>2133</v>
      </c>
      <c r="AG2625" t="s">
        <v>2125</v>
      </c>
      <c r="AH2625" t="b">
        <v>0</v>
      </c>
    </row>
    <row r="2626" spans="1:34">
      <c r="A2626" t="s">
        <v>2133</v>
      </c>
      <c r="B2626" t="s">
        <v>1444</v>
      </c>
      <c r="AF2626" t="s">
        <v>2133</v>
      </c>
      <c r="AG2626" t="s">
        <v>2125</v>
      </c>
      <c r="AH2626" t="b">
        <v>0</v>
      </c>
    </row>
    <row r="2627" spans="1:34">
      <c r="A2627" t="s">
        <v>2133</v>
      </c>
      <c r="B2627" t="s">
        <v>1447</v>
      </c>
      <c r="AF2627" t="s">
        <v>2133</v>
      </c>
      <c r="AG2627" t="s">
        <v>2125</v>
      </c>
      <c r="AH2627" t="b">
        <v>0</v>
      </c>
    </row>
    <row r="2628" spans="1:34">
      <c r="A2628" t="s">
        <v>2133</v>
      </c>
      <c r="B2628" t="s">
        <v>1449</v>
      </c>
      <c r="AF2628" t="s">
        <v>2133</v>
      </c>
      <c r="AG2628" t="s">
        <v>2125</v>
      </c>
      <c r="AH2628" t="b">
        <v>0</v>
      </c>
    </row>
    <row r="2629" spans="1:34">
      <c r="A2629" t="s">
        <v>2133</v>
      </c>
      <c r="B2629" t="s">
        <v>1452</v>
      </c>
      <c r="AF2629" t="s">
        <v>2133</v>
      </c>
      <c r="AG2629" t="s">
        <v>2125</v>
      </c>
      <c r="AH2629" t="b">
        <v>0</v>
      </c>
    </row>
    <row r="2630" spans="1:34">
      <c r="A2630" t="s">
        <v>2133</v>
      </c>
      <c r="B2630" t="s">
        <v>1455</v>
      </c>
      <c r="AF2630" t="s">
        <v>2133</v>
      </c>
      <c r="AG2630" t="s">
        <v>2125</v>
      </c>
      <c r="AH2630" t="b">
        <v>0</v>
      </c>
    </row>
    <row r="2631" spans="1:34">
      <c r="A2631" t="s">
        <v>2133</v>
      </c>
      <c r="B2631" t="s">
        <v>17</v>
      </c>
      <c r="AF2631" t="s">
        <v>2133</v>
      </c>
      <c r="AG2631" t="s">
        <v>2125</v>
      </c>
      <c r="AH2631" t="b">
        <v>0</v>
      </c>
    </row>
    <row r="2632" spans="1:34">
      <c r="A2632" t="s">
        <v>2133</v>
      </c>
      <c r="B2632" t="s">
        <v>1461</v>
      </c>
      <c r="AF2632" t="s">
        <v>2133</v>
      </c>
      <c r="AG2632" t="s">
        <v>2125</v>
      </c>
      <c r="AH2632" t="b">
        <v>0</v>
      </c>
    </row>
    <row r="2633" spans="1:34">
      <c r="A2633" t="s">
        <v>2133</v>
      </c>
      <c r="B2633" t="s">
        <v>1465</v>
      </c>
      <c r="AF2633" t="s">
        <v>2133</v>
      </c>
      <c r="AG2633" t="s">
        <v>2125</v>
      </c>
      <c r="AH2633" t="b">
        <v>0</v>
      </c>
    </row>
    <row r="2634" spans="1:34">
      <c r="A2634" t="s">
        <v>2133</v>
      </c>
      <c r="B2634" t="s">
        <v>1468</v>
      </c>
      <c r="AF2634" t="s">
        <v>2133</v>
      </c>
      <c r="AG2634" t="s">
        <v>2125</v>
      </c>
      <c r="AH2634" t="b">
        <v>0</v>
      </c>
    </row>
    <row r="2635" spans="1:34">
      <c r="A2635" t="s">
        <v>2133</v>
      </c>
      <c r="B2635" t="s">
        <v>1471</v>
      </c>
      <c r="AF2635" t="s">
        <v>2133</v>
      </c>
      <c r="AG2635" t="s">
        <v>2125</v>
      </c>
      <c r="AH2635" t="b">
        <v>0</v>
      </c>
    </row>
    <row r="2636" spans="1:34">
      <c r="A2636" t="s">
        <v>2133</v>
      </c>
      <c r="B2636" t="s">
        <v>1473</v>
      </c>
      <c r="AF2636" t="s">
        <v>2133</v>
      </c>
      <c r="AG2636" t="s">
        <v>2125</v>
      </c>
      <c r="AH2636" t="b">
        <v>0</v>
      </c>
    </row>
    <row r="2637" spans="1:34">
      <c r="A2637" t="s">
        <v>2133</v>
      </c>
      <c r="B2637" t="s">
        <v>1476</v>
      </c>
      <c r="AF2637" t="s">
        <v>2133</v>
      </c>
      <c r="AG2637" t="s">
        <v>2125</v>
      </c>
      <c r="AH2637" t="b">
        <v>0</v>
      </c>
    </row>
    <row r="2638" spans="1:34">
      <c r="A2638" t="s">
        <v>2133</v>
      </c>
      <c r="B2638" t="s">
        <v>1479</v>
      </c>
      <c r="AF2638" t="s">
        <v>2133</v>
      </c>
      <c r="AG2638" t="s">
        <v>2125</v>
      </c>
      <c r="AH2638" t="b">
        <v>0</v>
      </c>
    </row>
    <row r="2639" spans="1:34">
      <c r="A2639" t="s">
        <v>2133</v>
      </c>
      <c r="B2639" t="s">
        <v>1482</v>
      </c>
      <c r="AF2639" t="s">
        <v>2133</v>
      </c>
      <c r="AG2639" t="s">
        <v>2125</v>
      </c>
      <c r="AH2639" t="b">
        <v>0</v>
      </c>
    </row>
    <row r="2640" spans="1:34">
      <c r="A2640" t="s">
        <v>2133</v>
      </c>
      <c r="B2640" t="s">
        <v>1485</v>
      </c>
      <c r="AF2640" t="s">
        <v>2133</v>
      </c>
      <c r="AG2640" t="s">
        <v>2125</v>
      </c>
      <c r="AH2640" t="b">
        <v>0</v>
      </c>
    </row>
    <row r="2641" spans="1:34">
      <c r="A2641" t="s">
        <v>2133</v>
      </c>
      <c r="B2641" t="s">
        <v>1488</v>
      </c>
      <c r="AF2641" t="s">
        <v>2133</v>
      </c>
      <c r="AG2641" t="s">
        <v>2125</v>
      </c>
      <c r="AH2641" t="b">
        <v>0</v>
      </c>
    </row>
    <row r="2642" spans="1:34">
      <c r="A2642" t="s">
        <v>2133</v>
      </c>
      <c r="B2642" t="s">
        <v>1491</v>
      </c>
      <c r="AF2642" t="s">
        <v>2133</v>
      </c>
      <c r="AG2642" t="s">
        <v>2125</v>
      </c>
      <c r="AH2642" t="b">
        <v>0</v>
      </c>
    </row>
    <row r="2643" spans="1:34">
      <c r="A2643" t="s">
        <v>2133</v>
      </c>
      <c r="B2643" t="s">
        <v>1494</v>
      </c>
      <c r="AF2643" t="s">
        <v>2133</v>
      </c>
      <c r="AG2643" t="s">
        <v>2125</v>
      </c>
      <c r="AH2643" t="b">
        <v>0</v>
      </c>
    </row>
    <row r="2644" spans="1:34">
      <c r="A2644" t="s">
        <v>2133</v>
      </c>
      <c r="B2644" t="s">
        <v>1497</v>
      </c>
      <c r="AF2644" t="s">
        <v>2133</v>
      </c>
      <c r="AG2644" t="s">
        <v>2125</v>
      </c>
      <c r="AH2644" t="b">
        <v>0</v>
      </c>
    </row>
    <row r="2645" spans="1:34">
      <c r="A2645" t="s">
        <v>2133</v>
      </c>
      <c r="B2645" t="s">
        <v>1500</v>
      </c>
      <c r="AF2645" t="s">
        <v>2133</v>
      </c>
      <c r="AG2645" t="s">
        <v>2125</v>
      </c>
      <c r="AH2645" t="b">
        <v>0</v>
      </c>
    </row>
    <row r="2646" spans="1:34">
      <c r="A2646" t="s">
        <v>2133</v>
      </c>
      <c r="B2646" t="s">
        <v>1503</v>
      </c>
      <c r="AF2646" t="s">
        <v>2133</v>
      </c>
      <c r="AG2646" t="s">
        <v>2125</v>
      </c>
      <c r="AH2646" t="b">
        <v>0</v>
      </c>
    </row>
    <row r="2647" spans="1:34">
      <c r="A2647" t="s">
        <v>2133</v>
      </c>
      <c r="B2647" t="s">
        <v>1506</v>
      </c>
      <c r="AF2647" t="s">
        <v>2133</v>
      </c>
      <c r="AG2647" t="s">
        <v>2125</v>
      </c>
      <c r="AH2647" t="b">
        <v>0</v>
      </c>
    </row>
    <row r="2648" spans="1:34">
      <c r="A2648" t="s">
        <v>2133</v>
      </c>
      <c r="B2648" t="s">
        <v>1508</v>
      </c>
      <c r="AF2648" t="s">
        <v>2133</v>
      </c>
      <c r="AG2648" t="s">
        <v>2125</v>
      </c>
      <c r="AH2648" t="b">
        <v>0</v>
      </c>
    </row>
    <row r="2649" spans="1:34">
      <c r="A2649" t="s">
        <v>2133</v>
      </c>
      <c r="B2649" t="s">
        <v>1511</v>
      </c>
      <c r="AF2649" t="s">
        <v>2133</v>
      </c>
      <c r="AG2649" t="s">
        <v>2125</v>
      </c>
      <c r="AH2649" t="b">
        <v>0</v>
      </c>
    </row>
    <row r="2650" spans="1:34">
      <c r="A2650" t="s">
        <v>2133</v>
      </c>
      <c r="B2650" t="s">
        <v>1514</v>
      </c>
      <c r="AF2650" t="s">
        <v>2133</v>
      </c>
      <c r="AG2650" t="s">
        <v>2125</v>
      </c>
      <c r="AH2650" t="b">
        <v>0</v>
      </c>
    </row>
    <row r="2651" spans="1:34">
      <c r="A2651" t="s">
        <v>2133</v>
      </c>
      <c r="B2651" t="s">
        <v>1516</v>
      </c>
      <c r="AF2651" t="s">
        <v>2133</v>
      </c>
      <c r="AG2651" t="s">
        <v>2125</v>
      </c>
      <c r="AH2651" t="b">
        <v>0</v>
      </c>
    </row>
    <row r="2652" spans="1:34">
      <c r="A2652" t="s">
        <v>2133</v>
      </c>
      <c r="B2652" t="s">
        <v>1519</v>
      </c>
      <c r="AF2652" t="s">
        <v>2133</v>
      </c>
      <c r="AG2652" t="s">
        <v>2125</v>
      </c>
      <c r="AH2652" t="b">
        <v>0</v>
      </c>
    </row>
    <row r="2653" spans="1:34">
      <c r="A2653" t="s">
        <v>2133</v>
      </c>
      <c r="B2653" t="s">
        <v>1522</v>
      </c>
      <c r="AF2653" t="s">
        <v>2133</v>
      </c>
      <c r="AG2653" t="s">
        <v>2125</v>
      </c>
      <c r="AH2653" t="b">
        <v>0</v>
      </c>
    </row>
    <row r="2654" spans="1:34">
      <c r="A2654" t="s">
        <v>2133</v>
      </c>
      <c r="B2654" t="s">
        <v>1524</v>
      </c>
      <c r="AF2654" t="s">
        <v>2133</v>
      </c>
      <c r="AG2654" t="s">
        <v>2125</v>
      </c>
      <c r="AH2654" t="b">
        <v>0</v>
      </c>
    </row>
    <row r="2655" spans="1:34">
      <c r="A2655" t="s">
        <v>2133</v>
      </c>
      <c r="B2655" t="s">
        <v>1526</v>
      </c>
      <c r="AF2655" t="s">
        <v>2133</v>
      </c>
      <c r="AG2655" t="s">
        <v>2125</v>
      </c>
      <c r="AH2655" t="b">
        <v>0</v>
      </c>
    </row>
    <row r="2656" spans="1:34">
      <c r="A2656" t="s">
        <v>2133</v>
      </c>
      <c r="B2656" t="s">
        <v>1528</v>
      </c>
      <c r="AF2656" t="s">
        <v>2133</v>
      </c>
      <c r="AG2656" t="s">
        <v>2125</v>
      </c>
      <c r="AH2656" t="b">
        <v>0</v>
      </c>
    </row>
    <row r="2657" spans="1:34">
      <c r="A2657" t="s">
        <v>2133</v>
      </c>
      <c r="B2657" t="s">
        <v>1530</v>
      </c>
      <c r="AF2657" t="s">
        <v>2133</v>
      </c>
      <c r="AG2657" t="s">
        <v>2125</v>
      </c>
      <c r="AH2657" t="b">
        <v>0</v>
      </c>
    </row>
    <row r="2658" spans="1:34">
      <c r="A2658" t="s">
        <v>2133</v>
      </c>
      <c r="B2658" t="s">
        <v>1533</v>
      </c>
      <c r="AF2658" t="s">
        <v>2133</v>
      </c>
      <c r="AG2658" t="s">
        <v>2125</v>
      </c>
      <c r="AH2658" t="b">
        <v>0</v>
      </c>
    </row>
    <row r="2659" spans="1:34">
      <c r="A2659" t="s">
        <v>2133</v>
      </c>
      <c r="B2659" t="s">
        <v>1535</v>
      </c>
      <c r="AF2659" t="s">
        <v>2133</v>
      </c>
      <c r="AG2659" t="s">
        <v>2125</v>
      </c>
      <c r="AH2659" t="b">
        <v>0</v>
      </c>
    </row>
    <row r="2660" spans="1:34">
      <c r="A2660" t="s">
        <v>2133</v>
      </c>
      <c r="B2660" t="s">
        <v>1538</v>
      </c>
      <c r="AF2660" t="s">
        <v>2133</v>
      </c>
      <c r="AG2660" t="s">
        <v>2125</v>
      </c>
      <c r="AH2660" t="b">
        <v>0</v>
      </c>
    </row>
    <row r="2661" spans="1:34">
      <c r="A2661" t="s">
        <v>2133</v>
      </c>
      <c r="B2661" t="s">
        <v>1540</v>
      </c>
      <c r="AF2661" t="s">
        <v>2133</v>
      </c>
      <c r="AG2661" t="s">
        <v>2125</v>
      </c>
      <c r="AH2661" t="b">
        <v>0</v>
      </c>
    </row>
    <row r="2662" spans="1:34">
      <c r="A2662" t="s">
        <v>2133</v>
      </c>
      <c r="B2662" t="s">
        <v>1543</v>
      </c>
      <c r="AF2662" t="s">
        <v>2133</v>
      </c>
      <c r="AG2662" t="s">
        <v>2125</v>
      </c>
      <c r="AH2662" t="b">
        <v>0</v>
      </c>
    </row>
    <row r="2663" spans="1:34">
      <c r="A2663" t="s">
        <v>2133</v>
      </c>
      <c r="B2663" t="s">
        <v>1545</v>
      </c>
      <c r="AF2663" t="s">
        <v>2133</v>
      </c>
      <c r="AG2663" t="s">
        <v>2125</v>
      </c>
      <c r="AH2663" t="b">
        <v>0</v>
      </c>
    </row>
    <row r="2664" spans="1:34">
      <c r="A2664" t="s">
        <v>2133</v>
      </c>
      <c r="B2664" t="s">
        <v>1548</v>
      </c>
      <c r="AF2664" t="s">
        <v>2133</v>
      </c>
      <c r="AG2664" t="s">
        <v>2125</v>
      </c>
      <c r="AH2664" t="b">
        <v>0</v>
      </c>
    </row>
    <row r="2665" spans="1:34">
      <c r="A2665" t="s">
        <v>2133</v>
      </c>
      <c r="B2665" t="s">
        <v>1550</v>
      </c>
      <c r="AF2665" t="s">
        <v>2133</v>
      </c>
      <c r="AG2665" t="s">
        <v>2125</v>
      </c>
      <c r="AH2665" t="b">
        <v>0</v>
      </c>
    </row>
    <row r="2666" spans="1:34">
      <c r="A2666" t="s">
        <v>2133</v>
      </c>
      <c r="B2666" t="s">
        <v>1552</v>
      </c>
      <c r="AF2666" t="s">
        <v>2133</v>
      </c>
      <c r="AG2666" t="s">
        <v>2125</v>
      </c>
      <c r="AH2666" t="b">
        <v>0</v>
      </c>
    </row>
    <row r="2667" spans="1:34">
      <c r="A2667" t="s">
        <v>2133</v>
      </c>
      <c r="B2667" t="s">
        <v>1555</v>
      </c>
      <c r="AF2667" t="s">
        <v>2133</v>
      </c>
      <c r="AG2667" t="s">
        <v>2125</v>
      </c>
      <c r="AH2667" t="b">
        <v>0</v>
      </c>
    </row>
    <row r="2668" spans="1:34">
      <c r="A2668" t="s">
        <v>2133</v>
      </c>
      <c r="B2668" t="s">
        <v>1557</v>
      </c>
      <c r="AF2668" t="s">
        <v>2133</v>
      </c>
      <c r="AG2668" t="s">
        <v>2125</v>
      </c>
      <c r="AH2668" t="b">
        <v>0</v>
      </c>
    </row>
    <row r="2669" spans="1:34">
      <c r="A2669" t="s">
        <v>2133</v>
      </c>
      <c r="B2669" t="s">
        <v>1560</v>
      </c>
      <c r="AF2669" t="s">
        <v>2133</v>
      </c>
      <c r="AG2669" t="s">
        <v>2125</v>
      </c>
      <c r="AH2669" t="b">
        <v>0</v>
      </c>
    </row>
    <row r="2670" spans="1:34">
      <c r="A2670" t="s">
        <v>2133</v>
      </c>
      <c r="B2670" t="s">
        <v>1563</v>
      </c>
      <c r="AF2670" t="s">
        <v>2133</v>
      </c>
      <c r="AG2670" t="s">
        <v>2125</v>
      </c>
      <c r="AH2670" t="b">
        <v>0</v>
      </c>
    </row>
    <row r="2671" spans="1:34">
      <c r="A2671" t="s">
        <v>2133</v>
      </c>
      <c r="B2671" t="s">
        <v>1566</v>
      </c>
      <c r="AF2671" t="s">
        <v>2133</v>
      </c>
      <c r="AG2671" t="s">
        <v>2125</v>
      </c>
      <c r="AH2671" t="b">
        <v>0</v>
      </c>
    </row>
    <row r="2672" spans="1:34">
      <c r="A2672" t="s">
        <v>2133</v>
      </c>
      <c r="B2672" t="s">
        <v>1569</v>
      </c>
      <c r="AF2672" t="s">
        <v>2133</v>
      </c>
      <c r="AG2672" t="s">
        <v>2125</v>
      </c>
      <c r="AH2672" t="b">
        <v>0</v>
      </c>
    </row>
    <row r="2673" spans="1:34">
      <c r="A2673" t="s">
        <v>2133</v>
      </c>
      <c r="B2673" t="s">
        <v>1571</v>
      </c>
      <c r="AF2673" t="s">
        <v>2133</v>
      </c>
      <c r="AG2673" t="s">
        <v>2125</v>
      </c>
      <c r="AH2673" t="b">
        <v>0</v>
      </c>
    </row>
    <row r="2674" spans="1:34">
      <c r="A2674" t="s">
        <v>2133</v>
      </c>
      <c r="B2674" t="s">
        <v>1574</v>
      </c>
      <c r="AF2674" t="s">
        <v>2133</v>
      </c>
      <c r="AG2674" t="s">
        <v>2125</v>
      </c>
      <c r="AH2674" t="b">
        <v>0</v>
      </c>
    </row>
    <row r="2675" spans="1:34">
      <c r="A2675" t="s">
        <v>2133</v>
      </c>
      <c r="B2675" t="s">
        <v>1576</v>
      </c>
      <c r="AF2675" t="s">
        <v>2133</v>
      </c>
      <c r="AG2675" t="s">
        <v>2125</v>
      </c>
      <c r="AH2675" t="b">
        <v>0</v>
      </c>
    </row>
    <row r="2676" spans="1:34">
      <c r="A2676" t="s">
        <v>2133</v>
      </c>
      <c r="B2676" t="s">
        <v>1578</v>
      </c>
      <c r="AF2676" t="s">
        <v>2133</v>
      </c>
      <c r="AG2676" t="s">
        <v>2125</v>
      </c>
      <c r="AH2676" t="b">
        <v>0</v>
      </c>
    </row>
    <row r="2677" spans="1:34">
      <c r="A2677" t="s">
        <v>2133</v>
      </c>
      <c r="B2677" t="s">
        <v>1580</v>
      </c>
      <c r="AF2677" t="s">
        <v>2133</v>
      </c>
      <c r="AG2677" t="s">
        <v>2125</v>
      </c>
      <c r="AH2677" t="b">
        <v>0</v>
      </c>
    </row>
    <row r="2678" spans="1:34">
      <c r="A2678" t="s">
        <v>2133</v>
      </c>
      <c r="B2678" t="s">
        <v>1583</v>
      </c>
      <c r="AF2678" t="s">
        <v>2133</v>
      </c>
      <c r="AG2678" t="s">
        <v>2125</v>
      </c>
      <c r="AH2678" t="b">
        <v>0</v>
      </c>
    </row>
    <row r="2679" spans="1:34">
      <c r="A2679" t="s">
        <v>2133</v>
      </c>
      <c r="B2679" t="s">
        <v>1586</v>
      </c>
      <c r="AF2679" t="s">
        <v>2133</v>
      </c>
      <c r="AG2679" t="s">
        <v>2125</v>
      </c>
      <c r="AH2679" t="b">
        <v>0</v>
      </c>
    </row>
    <row r="2680" spans="1:34">
      <c r="A2680" t="s">
        <v>2133</v>
      </c>
      <c r="B2680" t="s">
        <v>1589</v>
      </c>
      <c r="AF2680" t="s">
        <v>2133</v>
      </c>
      <c r="AG2680" t="s">
        <v>2125</v>
      </c>
      <c r="AH2680" t="b">
        <v>0</v>
      </c>
    </row>
    <row r="2681" spans="1:34">
      <c r="A2681" t="s">
        <v>2133</v>
      </c>
      <c r="B2681" t="s">
        <v>1592</v>
      </c>
      <c r="AF2681" t="s">
        <v>2133</v>
      </c>
      <c r="AG2681" t="s">
        <v>2125</v>
      </c>
      <c r="AH2681" t="b">
        <v>0</v>
      </c>
    </row>
    <row r="2682" spans="1:34">
      <c r="A2682" t="s">
        <v>2133</v>
      </c>
      <c r="B2682" t="s">
        <v>1595</v>
      </c>
      <c r="AF2682" t="s">
        <v>2133</v>
      </c>
      <c r="AG2682" t="s">
        <v>2125</v>
      </c>
      <c r="AH2682" t="b">
        <v>0</v>
      </c>
    </row>
    <row r="2683" spans="1:34">
      <c r="A2683" t="s">
        <v>2133</v>
      </c>
      <c r="B2683" t="s">
        <v>1598</v>
      </c>
      <c r="AF2683" t="s">
        <v>2133</v>
      </c>
      <c r="AG2683" t="s">
        <v>2125</v>
      </c>
      <c r="AH2683" t="b">
        <v>0</v>
      </c>
    </row>
    <row r="2684" spans="1:34">
      <c r="A2684" t="s">
        <v>2133</v>
      </c>
      <c r="B2684" t="s">
        <v>1601</v>
      </c>
      <c r="AF2684" t="s">
        <v>2133</v>
      </c>
      <c r="AG2684" t="s">
        <v>2125</v>
      </c>
      <c r="AH2684" t="b">
        <v>0</v>
      </c>
    </row>
    <row r="2685" spans="1:34">
      <c r="A2685" t="s">
        <v>2133</v>
      </c>
      <c r="B2685" t="s">
        <v>1603</v>
      </c>
      <c r="AF2685" t="s">
        <v>2133</v>
      </c>
      <c r="AG2685" t="s">
        <v>2125</v>
      </c>
      <c r="AH2685" t="b">
        <v>0</v>
      </c>
    </row>
    <row r="2686" spans="1:34">
      <c r="A2686" t="s">
        <v>2133</v>
      </c>
      <c r="B2686" t="s">
        <v>1606</v>
      </c>
      <c r="AF2686" t="s">
        <v>2133</v>
      </c>
      <c r="AG2686" t="s">
        <v>2125</v>
      </c>
      <c r="AH2686" t="b">
        <v>0</v>
      </c>
    </row>
    <row r="2687" spans="1:34">
      <c r="A2687" t="s">
        <v>2133</v>
      </c>
      <c r="B2687" t="s">
        <v>1609</v>
      </c>
      <c r="AF2687" t="s">
        <v>2133</v>
      </c>
      <c r="AG2687" t="s">
        <v>2125</v>
      </c>
      <c r="AH2687" t="b">
        <v>0</v>
      </c>
    </row>
    <row r="2688" spans="1:34">
      <c r="A2688" t="s">
        <v>2133</v>
      </c>
      <c r="B2688" t="s">
        <v>1611</v>
      </c>
      <c r="AF2688" t="s">
        <v>2133</v>
      </c>
      <c r="AG2688" t="s">
        <v>2125</v>
      </c>
      <c r="AH2688" t="b">
        <v>0</v>
      </c>
    </row>
    <row r="2689" spans="1:34">
      <c r="A2689" t="s">
        <v>2133</v>
      </c>
      <c r="B2689" t="s">
        <v>1614</v>
      </c>
      <c r="AF2689" t="s">
        <v>2133</v>
      </c>
      <c r="AG2689" t="s">
        <v>2125</v>
      </c>
      <c r="AH2689" t="b">
        <v>0</v>
      </c>
    </row>
    <row r="2690" spans="1:34">
      <c r="A2690" t="s">
        <v>2133</v>
      </c>
      <c r="B2690" t="s">
        <v>1616</v>
      </c>
      <c r="AF2690" t="s">
        <v>2133</v>
      </c>
      <c r="AG2690" t="s">
        <v>2125</v>
      </c>
      <c r="AH2690" t="b">
        <v>0</v>
      </c>
    </row>
    <row r="2691" spans="1:34">
      <c r="A2691" t="s">
        <v>2133</v>
      </c>
      <c r="B2691" t="s">
        <v>1618</v>
      </c>
      <c r="AF2691" t="s">
        <v>2133</v>
      </c>
      <c r="AG2691" t="s">
        <v>2125</v>
      </c>
      <c r="AH2691" t="b">
        <v>0</v>
      </c>
    </row>
    <row r="2692" spans="1:34">
      <c r="A2692" t="s">
        <v>2133</v>
      </c>
      <c r="B2692" t="s">
        <v>1620</v>
      </c>
      <c r="AF2692" t="s">
        <v>2133</v>
      </c>
      <c r="AG2692" t="s">
        <v>2125</v>
      </c>
      <c r="AH2692" t="b">
        <v>0</v>
      </c>
    </row>
    <row r="2693" spans="1:34">
      <c r="A2693" t="s">
        <v>2133</v>
      </c>
      <c r="B2693" t="s">
        <v>1623</v>
      </c>
      <c r="AF2693" t="s">
        <v>2133</v>
      </c>
      <c r="AG2693" t="s">
        <v>2125</v>
      </c>
      <c r="AH2693" t="b">
        <v>0</v>
      </c>
    </row>
    <row r="2694" spans="1:34">
      <c r="A2694" t="s">
        <v>2133</v>
      </c>
      <c r="B2694" t="s">
        <v>1626</v>
      </c>
      <c r="AF2694" t="s">
        <v>2133</v>
      </c>
      <c r="AG2694" t="s">
        <v>2125</v>
      </c>
      <c r="AH2694" t="b">
        <v>0</v>
      </c>
    </row>
    <row r="2695" spans="1:34">
      <c r="A2695" t="s">
        <v>2133</v>
      </c>
      <c r="B2695" t="s">
        <v>1628</v>
      </c>
      <c r="AF2695" t="s">
        <v>2133</v>
      </c>
      <c r="AG2695" t="s">
        <v>2125</v>
      </c>
      <c r="AH2695" t="b">
        <v>0</v>
      </c>
    </row>
    <row r="2696" spans="1:34">
      <c r="A2696" t="s">
        <v>2133</v>
      </c>
      <c r="B2696" t="s">
        <v>1631</v>
      </c>
      <c r="AF2696" t="s">
        <v>2133</v>
      </c>
      <c r="AG2696" t="s">
        <v>2125</v>
      </c>
      <c r="AH2696" t="b">
        <v>0</v>
      </c>
    </row>
    <row r="2697" spans="1:34">
      <c r="A2697" t="s">
        <v>2133</v>
      </c>
      <c r="B2697" t="s">
        <v>1633</v>
      </c>
      <c r="AF2697" t="s">
        <v>2133</v>
      </c>
      <c r="AG2697" t="s">
        <v>2125</v>
      </c>
      <c r="AH2697" t="b">
        <v>0</v>
      </c>
    </row>
    <row r="2698" spans="1:34">
      <c r="A2698" t="s">
        <v>2133</v>
      </c>
      <c r="B2698" t="s">
        <v>1635</v>
      </c>
      <c r="AF2698" t="s">
        <v>2133</v>
      </c>
      <c r="AG2698" t="s">
        <v>2125</v>
      </c>
      <c r="AH2698" t="b">
        <v>0</v>
      </c>
    </row>
    <row r="2699" spans="1:34">
      <c r="A2699" t="s">
        <v>2133</v>
      </c>
      <c r="B2699" t="s">
        <v>1637</v>
      </c>
      <c r="AF2699" t="s">
        <v>2133</v>
      </c>
      <c r="AG2699" t="s">
        <v>2125</v>
      </c>
      <c r="AH2699" t="b">
        <v>0</v>
      </c>
    </row>
    <row r="2700" spans="1:34">
      <c r="A2700" t="s">
        <v>2133</v>
      </c>
      <c r="B2700" t="s">
        <v>1640</v>
      </c>
      <c r="AF2700" t="s">
        <v>2133</v>
      </c>
      <c r="AG2700" t="s">
        <v>2125</v>
      </c>
      <c r="AH2700" t="b">
        <v>0</v>
      </c>
    </row>
    <row r="2701" spans="1:34">
      <c r="A2701" t="s">
        <v>2133</v>
      </c>
      <c r="B2701" t="s">
        <v>1643</v>
      </c>
      <c r="AF2701" t="s">
        <v>2133</v>
      </c>
      <c r="AG2701" t="s">
        <v>2125</v>
      </c>
      <c r="AH2701" t="b">
        <v>0</v>
      </c>
    </row>
    <row r="2702" spans="1:34">
      <c r="A2702" t="s">
        <v>2133</v>
      </c>
      <c r="B2702" t="s">
        <v>1645</v>
      </c>
      <c r="AF2702" t="s">
        <v>2133</v>
      </c>
      <c r="AG2702" t="s">
        <v>2125</v>
      </c>
      <c r="AH2702" t="b">
        <v>0</v>
      </c>
    </row>
    <row r="2703" spans="1:34">
      <c r="A2703" t="s">
        <v>2133</v>
      </c>
      <c r="B2703" t="s">
        <v>1647</v>
      </c>
      <c r="AF2703" t="s">
        <v>2133</v>
      </c>
      <c r="AG2703" t="s">
        <v>2125</v>
      </c>
      <c r="AH2703" t="b">
        <v>0</v>
      </c>
    </row>
    <row r="2704" spans="1:34">
      <c r="A2704" t="s">
        <v>2133</v>
      </c>
      <c r="B2704" t="s">
        <v>42</v>
      </c>
      <c r="AF2704" t="s">
        <v>2133</v>
      </c>
      <c r="AG2704" t="s">
        <v>2125</v>
      </c>
      <c r="AH2704" t="b">
        <v>0</v>
      </c>
    </row>
    <row r="2705" spans="1:34">
      <c r="A2705" t="s">
        <v>2133</v>
      </c>
      <c r="B2705" t="s">
        <v>1652</v>
      </c>
      <c r="AF2705" t="s">
        <v>2133</v>
      </c>
      <c r="AG2705" t="s">
        <v>2125</v>
      </c>
      <c r="AH2705" t="b">
        <v>0</v>
      </c>
    </row>
    <row r="2706" spans="1:34">
      <c r="A2706" t="s">
        <v>2133</v>
      </c>
      <c r="B2706" t="s">
        <v>1655</v>
      </c>
      <c r="AF2706" t="s">
        <v>2133</v>
      </c>
      <c r="AG2706" t="s">
        <v>2125</v>
      </c>
      <c r="AH2706" t="b">
        <v>0</v>
      </c>
    </row>
    <row r="2707" spans="1:34">
      <c r="A2707" t="s">
        <v>2133</v>
      </c>
      <c r="B2707" t="s">
        <v>1658</v>
      </c>
      <c r="AF2707" t="s">
        <v>2133</v>
      </c>
      <c r="AG2707" t="s">
        <v>2125</v>
      </c>
      <c r="AH2707" t="b">
        <v>0</v>
      </c>
    </row>
    <row r="2708" spans="1:34">
      <c r="A2708" t="s">
        <v>2133</v>
      </c>
      <c r="B2708" t="s">
        <v>1661</v>
      </c>
      <c r="AF2708" t="s">
        <v>2133</v>
      </c>
      <c r="AG2708" t="s">
        <v>2125</v>
      </c>
      <c r="AH2708" t="b">
        <v>0</v>
      </c>
    </row>
    <row r="2709" spans="1:34">
      <c r="A2709" t="s">
        <v>2133</v>
      </c>
      <c r="B2709" t="s">
        <v>1664</v>
      </c>
      <c r="AF2709" t="s">
        <v>2133</v>
      </c>
      <c r="AG2709" t="s">
        <v>2125</v>
      </c>
      <c r="AH2709" t="b">
        <v>0</v>
      </c>
    </row>
    <row r="2710" spans="1:34">
      <c r="A2710" t="s">
        <v>2133</v>
      </c>
      <c r="B2710" t="s">
        <v>1667</v>
      </c>
      <c r="AF2710" t="s">
        <v>2133</v>
      </c>
      <c r="AG2710" t="s">
        <v>2125</v>
      </c>
      <c r="AH2710" t="b">
        <v>0</v>
      </c>
    </row>
    <row r="2711" spans="1:34">
      <c r="A2711" t="s">
        <v>2133</v>
      </c>
      <c r="B2711" t="s">
        <v>1670</v>
      </c>
      <c r="AF2711" t="s">
        <v>2133</v>
      </c>
      <c r="AG2711" t="s">
        <v>2125</v>
      </c>
      <c r="AH2711" t="b">
        <v>0</v>
      </c>
    </row>
    <row r="2712" spans="1:34">
      <c r="A2712" t="s">
        <v>2133</v>
      </c>
      <c r="B2712" t="s">
        <v>1672</v>
      </c>
      <c r="AF2712" t="s">
        <v>2133</v>
      </c>
      <c r="AG2712" t="s">
        <v>2125</v>
      </c>
      <c r="AH2712" t="b">
        <v>0</v>
      </c>
    </row>
    <row r="2713" spans="1:34">
      <c r="A2713" t="s">
        <v>2133</v>
      </c>
      <c r="B2713" t="s">
        <v>41</v>
      </c>
      <c r="AF2713" t="s">
        <v>2133</v>
      </c>
      <c r="AG2713" t="s">
        <v>2125</v>
      </c>
      <c r="AH2713" t="b">
        <v>0</v>
      </c>
    </row>
    <row r="2714" spans="1:34">
      <c r="A2714" t="s">
        <v>2133</v>
      </c>
      <c r="B2714" t="s">
        <v>1675</v>
      </c>
      <c r="AF2714" t="s">
        <v>2133</v>
      </c>
      <c r="AG2714" t="s">
        <v>2125</v>
      </c>
      <c r="AH2714" t="b">
        <v>0</v>
      </c>
    </row>
    <row r="2715" spans="1:34">
      <c r="A2715" t="s">
        <v>2133</v>
      </c>
      <c r="B2715" t="s">
        <v>1678</v>
      </c>
      <c r="AF2715" t="s">
        <v>2133</v>
      </c>
      <c r="AG2715" t="s">
        <v>2125</v>
      </c>
      <c r="AH2715" t="b">
        <v>0</v>
      </c>
    </row>
    <row r="2716" spans="1:34">
      <c r="A2716" t="s">
        <v>2133</v>
      </c>
      <c r="B2716" t="s">
        <v>1680</v>
      </c>
      <c r="AF2716" t="s">
        <v>2133</v>
      </c>
      <c r="AG2716" t="s">
        <v>2125</v>
      </c>
      <c r="AH2716" t="b">
        <v>0</v>
      </c>
    </row>
    <row r="2717" spans="1:34">
      <c r="A2717" t="s">
        <v>2133</v>
      </c>
      <c r="B2717" t="s">
        <v>1683</v>
      </c>
      <c r="AF2717" t="s">
        <v>2133</v>
      </c>
      <c r="AG2717" t="s">
        <v>2125</v>
      </c>
      <c r="AH2717" t="b">
        <v>0</v>
      </c>
    </row>
    <row r="2718" spans="1:34">
      <c r="A2718" t="s">
        <v>2133</v>
      </c>
      <c r="B2718" t="s">
        <v>1686</v>
      </c>
      <c r="AF2718" t="s">
        <v>2133</v>
      </c>
      <c r="AG2718" t="s">
        <v>2125</v>
      </c>
      <c r="AH2718" t="b">
        <v>0</v>
      </c>
    </row>
    <row r="2719" spans="1:34">
      <c r="A2719" t="s">
        <v>2133</v>
      </c>
      <c r="B2719" t="s">
        <v>1688</v>
      </c>
      <c r="AF2719" t="s">
        <v>2133</v>
      </c>
      <c r="AG2719" t="s">
        <v>2125</v>
      </c>
      <c r="AH2719" t="b">
        <v>0</v>
      </c>
    </row>
    <row r="2720" spans="1:34">
      <c r="A2720" t="s">
        <v>2133</v>
      </c>
      <c r="B2720" t="s">
        <v>1690</v>
      </c>
      <c r="AF2720" t="s">
        <v>2133</v>
      </c>
      <c r="AG2720" t="s">
        <v>2125</v>
      </c>
      <c r="AH2720" t="b">
        <v>0</v>
      </c>
    </row>
    <row r="2721" spans="1:34">
      <c r="A2721" t="s">
        <v>2133</v>
      </c>
      <c r="B2721" t="s">
        <v>1692</v>
      </c>
      <c r="AF2721" t="s">
        <v>2133</v>
      </c>
      <c r="AG2721" t="s">
        <v>2125</v>
      </c>
      <c r="AH2721" t="b">
        <v>0</v>
      </c>
    </row>
    <row r="2722" spans="1:34">
      <c r="A2722" t="s">
        <v>2133</v>
      </c>
      <c r="B2722" t="s">
        <v>1695</v>
      </c>
      <c r="AF2722" t="s">
        <v>2133</v>
      </c>
      <c r="AG2722" t="s">
        <v>2125</v>
      </c>
      <c r="AH2722" t="b">
        <v>0</v>
      </c>
    </row>
    <row r="2723" spans="1:34">
      <c r="A2723" t="s">
        <v>2133</v>
      </c>
      <c r="B2723" t="s">
        <v>1698</v>
      </c>
      <c r="AF2723" t="s">
        <v>2133</v>
      </c>
      <c r="AG2723" t="s">
        <v>2125</v>
      </c>
      <c r="AH2723" t="b">
        <v>0</v>
      </c>
    </row>
    <row r="2724" spans="1:34">
      <c r="A2724" t="s">
        <v>2133</v>
      </c>
      <c r="B2724" t="s">
        <v>1700</v>
      </c>
      <c r="AF2724" t="s">
        <v>2133</v>
      </c>
      <c r="AG2724" t="s">
        <v>2125</v>
      </c>
      <c r="AH2724" t="b">
        <v>0</v>
      </c>
    </row>
    <row r="2725" spans="1:34">
      <c r="A2725" t="s">
        <v>2133</v>
      </c>
      <c r="B2725" t="s">
        <v>1702</v>
      </c>
      <c r="AF2725" t="s">
        <v>2133</v>
      </c>
      <c r="AG2725" t="s">
        <v>2125</v>
      </c>
      <c r="AH2725" t="b">
        <v>0</v>
      </c>
    </row>
    <row r="2726" spans="1:34">
      <c r="A2726" t="s">
        <v>2133</v>
      </c>
      <c r="B2726" t="s">
        <v>1705</v>
      </c>
      <c r="AF2726" t="s">
        <v>2133</v>
      </c>
      <c r="AG2726" t="s">
        <v>2125</v>
      </c>
      <c r="AH2726" t="b">
        <v>0</v>
      </c>
    </row>
    <row r="2727" spans="1:34">
      <c r="A2727" t="s">
        <v>2133</v>
      </c>
      <c r="B2727" t="s">
        <v>1708</v>
      </c>
      <c r="AF2727" t="s">
        <v>2133</v>
      </c>
      <c r="AG2727" t="s">
        <v>2125</v>
      </c>
      <c r="AH2727" t="b">
        <v>0</v>
      </c>
    </row>
    <row r="2728" spans="1:34">
      <c r="A2728" t="s">
        <v>2133</v>
      </c>
      <c r="B2728" t="s">
        <v>1710</v>
      </c>
      <c r="AF2728" t="s">
        <v>2133</v>
      </c>
      <c r="AG2728" t="s">
        <v>2125</v>
      </c>
      <c r="AH2728" t="b">
        <v>0</v>
      </c>
    </row>
    <row r="2729" spans="1:34">
      <c r="A2729" t="s">
        <v>2133</v>
      </c>
      <c r="B2729" t="s">
        <v>1712</v>
      </c>
      <c r="AF2729" t="s">
        <v>2133</v>
      </c>
      <c r="AG2729" t="s">
        <v>2125</v>
      </c>
      <c r="AH2729" t="b">
        <v>0</v>
      </c>
    </row>
    <row r="2730" spans="1:34">
      <c r="A2730" t="s">
        <v>2133</v>
      </c>
      <c r="B2730" t="s">
        <v>1714</v>
      </c>
      <c r="AF2730" t="s">
        <v>2133</v>
      </c>
      <c r="AG2730" t="s">
        <v>2125</v>
      </c>
      <c r="AH2730" t="b">
        <v>0</v>
      </c>
    </row>
    <row r="2731" spans="1:34">
      <c r="A2731" t="s">
        <v>2133</v>
      </c>
      <c r="B2731" t="s">
        <v>1716</v>
      </c>
      <c r="AF2731" t="s">
        <v>2133</v>
      </c>
      <c r="AG2731" t="s">
        <v>2125</v>
      </c>
      <c r="AH2731" t="b">
        <v>0</v>
      </c>
    </row>
    <row r="2732" spans="1:34">
      <c r="A2732" t="s">
        <v>2133</v>
      </c>
      <c r="B2732" t="s">
        <v>1718</v>
      </c>
      <c r="AF2732" t="s">
        <v>2133</v>
      </c>
      <c r="AG2732" t="s">
        <v>2125</v>
      </c>
      <c r="AH2732" t="b">
        <v>0</v>
      </c>
    </row>
    <row r="2733" spans="1:34">
      <c r="A2733" t="s">
        <v>2133</v>
      </c>
      <c r="B2733" t="s">
        <v>1721</v>
      </c>
      <c r="AF2733" t="s">
        <v>2133</v>
      </c>
      <c r="AG2733" t="s">
        <v>2125</v>
      </c>
      <c r="AH2733" t="b">
        <v>0</v>
      </c>
    </row>
    <row r="2734" spans="1:34">
      <c r="A2734" t="s">
        <v>2133</v>
      </c>
      <c r="B2734" t="s">
        <v>1724</v>
      </c>
      <c r="AF2734" t="s">
        <v>2133</v>
      </c>
      <c r="AG2734" t="s">
        <v>2125</v>
      </c>
      <c r="AH2734" t="b">
        <v>0</v>
      </c>
    </row>
    <row r="2735" spans="1:34">
      <c r="A2735" t="s">
        <v>2133</v>
      </c>
      <c r="B2735" t="s">
        <v>1726</v>
      </c>
      <c r="AF2735" t="s">
        <v>2133</v>
      </c>
      <c r="AG2735" t="s">
        <v>2125</v>
      </c>
      <c r="AH2735" t="b">
        <v>0</v>
      </c>
    </row>
    <row r="2736" spans="1:34">
      <c r="A2736" t="s">
        <v>2133</v>
      </c>
      <c r="B2736" t="s">
        <v>1728</v>
      </c>
      <c r="AF2736" t="s">
        <v>2133</v>
      </c>
      <c r="AG2736" t="s">
        <v>2125</v>
      </c>
      <c r="AH2736" t="b">
        <v>0</v>
      </c>
    </row>
    <row r="2737" spans="1:34">
      <c r="A2737" t="s">
        <v>2133</v>
      </c>
      <c r="B2737" t="s">
        <v>1731</v>
      </c>
      <c r="AF2737" t="s">
        <v>2133</v>
      </c>
      <c r="AG2737" t="s">
        <v>2125</v>
      </c>
      <c r="AH2737" t="b">
        <v>0</v>
      </c>
    </row>
    <row r="2738" spans="1:34">
      <c r="A2738" t="s">
        <v>2133</v>
      </c>
      <c r="B2738" t="s">
        <v>1733</v>
      </c>
      <c r="AF2738" t="s">
        <v>2133</v>
      </c>
      <c r="AG2738" t="s">
        <v>2125</v>
      </c>
      <c r="AH2738" t="b">
        <v>0</v>
      </c>
    </row>
    <row r="2739" spans="1:34">
      <c r="A2739" t="s">
        <v>2133</v>
      </c>
      <c r="B2739" t="s">
        <v>1735</v>
      </c>
      <c r="AF2739" t="s">
        <v>2133</v>
      </c>
      <c r="AG2739" t="s">
        <v>2125</v>
      </c>
      <c r="AH2739" t="b">
        <v>0</v>
      </c>
    </row>
    <row r="2740" spans="1:34">
      <c r="A2740" t="s">
        <v>2133</v>
      </c>
      <c r="B2740" t="s">
        <v>1737</v>
      </c>
      <c r="AF2740" t="s">
        <v>2133</v>
      </c>
      <c r="AG2740" t="s">
        <v>2125</v>
      </c>
      <c r="AH2740" t="b">
        <v>0</v>
      </c>
    </row>
    <row r="2741" spans="1:34">
      <c r="A2741" t="s">
        <v>2133</v>
      </c>
      <c r="B2741" t="s">
        <v>1739</v>
      </c>
      <c r="AF2741" t="s">
        <v>2133</v>
      </c>
      <c r="AG2741" t="s">
        <v>2125</v>
      </c>
      <c r="AH2741" t="b">
        <v>0</v>
      </c>
    </row>
    <row r="2742" spans="1:34">
      <c r="A2742" t="s">
        <v>2133</v>
      </c>
      <c r="B2742" t="s">
        <v>1741</v>
      </c>
      <c r="AF2742" t="s">
        <v>2133</v>
      </c>
      <c r="AG2742" t="s">
        <v>2125</v>
      </c>
      <c r="AH2742" t="b">
        <v>0</v>
      </c>
    </row>
    <row r="2743" spans="1:34">
      <c r="A2743" t="s">
        <v>2133</v>
      </c>
      <c r="B2743" t="s">
        <v>1743</v>
      </c>
      <c r="AF2743" t="s">
        <v>2133</v>
      </c>
      <c r="AG2743" t="s">
        <v>2125</v>
      </c>
      <c r="AH2743" t="b">
        <v>0</v>
      </c>
    </row>
    <row r="2744" spans="1:34">
      <c r="A2744" t="s">
        <v>2133</v>
      </c>
      <c r="B2744" t="s">
        <v>1745</v>
      </c>
      <c r="AF2744" t="s">
        <v>2133</v>
      </c>
      <c r="AG2744" t="s">
        <v>2125</v>
      </c>
      <c r="AH2744" t="b">
        <v>0</v>
      </c>
    </row>
    <row r="2745" spans="1:34">
      <c r="A2745" t="s">
        <v>2133</v>
      </c>
      <c r="B2745" t="s">
        <v>1747</v>
      </c>
      <c r="AF2745" t="s">
        <v>2133</v>
      </c>
      <c r="AG2745" t="s">
        <v>2125</v>
      </c>
      <c r="AH2745" t="b">
        <v>0</v>
      </c>
    </row>
    <row r="2746" spans="1:34">
      <c r="A2746" t="s">
        <v>2133</v>
      </c>
      <c r="B2746" t="s">
        <v>1749</v>
      </c>
      <c r="AF2746" t="s">
        <v>2133</v>
      </c>
      <c r="AG2746" t="s">
        <v>2125</v>
      </c>
      <c r="AH2746" t="b">
        <v>0</v>
      </c>
    </row>
    <row r="2747" spans="1:34">
      <c r="A2747" t="s">
        <v>2133</v>
      </c>
      <c r="B2747" t="s">
        <v>1752</v>
      </c>
      <c r="AF2747" t="s">
        <v>2133</v>
      </c>
      <c r="AG2747" t="s">
        <v>2125</v>
      </c>
      <c r="AH2747" t="b">
        <v>0</v>
      </c>
    </row>
    <row r="2748" spans="1:34">
      <c r="A2748" t="s">
        <v>2133</v>
      </c>
      <c r="B2748" t="s">
        <v>1754</v>
      </c>
      <c r="AF2748" t="s">
        <v>2133</v>
      </c>
      <c r="AG2748" t="s">
        <v>2125</v>
      </c>
      <c r="AH2748" t="b">
        <v>0</v>
      </c>
    </row>
    <row r="2749" spans="1:34">
      <c r="A2749" t="s">
        <v>2133</v>
      </c>
      <c r="B2749" t="s">
        <v>1757</v>
      </c>
      <c r="AF2749" t="s">
        <v>2133</v>
      </c>
      <c r="AG2749" t="s">
        <v>2125</v>
      </c>
      <c r="AH2749" t="b">
        <v>0</v>
      </c>
    </row>
    <row r="2750" spans="1:34">
      <c r="A2750" t="s">
        <v>2133</v>
      </c>
      <c r="B2750" t="s">
        <v>1759</v>
      </c>
      <c r="AF2750" t="s">
        <v>2133</v>
      </c>
      <c r="AG2750" t="s">
        <v>2125</v>
      </c>
      <c r="AH2750" t="b">
        <v>0</v>
      </c>
    </row>
    <row r="2751" spans="1:34">
      <c r="A2751" t="s">
        <v>2133</v>
      </c>
      <c r="B2751" t="s">
        <v>1761</v>
      </c>
      <c r="AF2751" t="s">
        <v>2133</v>
      </c>
      <c r="AG2751" t="s">
        <v>2125</v>
      </c>
      <c r="AH2751" t="b">
        <v>0</v>
      </c>
    </row>
    <row r="2752" spans="1:34">
      <c r="A2752" t="s">
        <v>2133</v>
      </c>
      <c r="B2752" t="s">
        <v>1764</v>
      </c>
      <c r="AF2752" t="s">
        <v>2133</v>
      </c>
      <c r="AG2752" t="s">
        <v>2125</v>
      </c>
      <c r="AH2752" t="b">
        <v>0</v>
      </c>
    </row>
    <row r="2753" spans="1:34">
      <c r="A2753" t="s">
        <v>2133</v>
      </c>
      <c r="B2753" t="s">
        <v>1767</v>
      </c>
      <c r="AF2753" t="s">
        <v>2133</v>
      </c>
      <c r="AG2753" t="s">
        <v>2125</v>
      </c>
      <c r="AH2753" t="b">
        <v>0</v>
      </c>
    </row>
    <row r="2754" spans="1:34">
      <c r="A2754" t="s">
        <v>2133</v>
      </c>
      <c r="B2754" t="s">
        <v>1769</v>
      </c>
      <c r="AF2754" t="s">
        <v>2133</v>
      </c>
      <c r="AG2754" t="s">
        <v>2125</v>
      </c>
      <c r="AH2754" t="b">
        <v>0</v>
      </c>
    </row>
    <row r="2755" spans="1:34">
      <c r="A2755" t="s">
        <v>2133</v>
      </c>
      <c r="B2755" t="s">
        <v>1771</v>
      </c>
      <c r="AF2755" t="s">
        <v>2133</v>
      </c>
      <c r="AG2755" t="s">
        <v>2125</v>
      </c>
      <c r="AH2755" t="b">
        <v>0</v>
      </c>
    </row>
    <row r="2756" spans="1:34">
      <c r="A2756" t="s">
        <v>2133</v>
      </c>
      <c r="B2756" t="s">
        <v>1773</v>
      </c>
      <c r="AF2756" t="s">
        <v>2133</v>
      </c>
      <c r="AG2756" t="s">
        <v>2125</v>
      </c>
      <c r="AH2756" t="b">
        <v>0</v>
      </c>
    </row>
    <row r="2757" spans="1:34">
      <c r="A2757" t="s">
        <v>2133</v>
      </c>
      <c r="B2757" t="s">
        <v>1775</v>
      </c>
      <c r="AF2757" t="s">
        <v>2133</v>
      </c>
      <c r="AG2757" t="s">
        <v>2125</v>
      </c>
      <c r="AH2757" t="b">
        <v>0</v>
      </c>
    </row>
    <row r="2758" spans="1:34">
      <c r="A2758" t="s">
        <v>2133</v>
      </c>
      <c r="B2758" t="s">
        <v>1777</v>
      </c>
      <c r="AF2758" t="s">
        <v>2133</v>
      </c>
      <c r="AG2758" t="s">
        <v>2125</v>
      </c>
      <c r="AH2758" t="b">
        <v>0</v>
      </c>
    </row>
    <row r="2759" spans="1:34">
      <c r="A2759" t="s">
        <v>2133</v>
      </c>
      <c r="B2759" t="s">
        <v>1779</v>
      </c>
      <c r="AF2759" t="s">
        <v>2133</v>
      </c>
      <c r="AG2759" t="s">
        <v>2125</v>
      </c>
      <c r="AH2759" t="b">
        <v>0</v>
      </c>
    </row>
    <row r="2760" spans="1:34">
      <c r="A2760" t="s">
        <v>2133</v>
      </c>
      <c r="B2760" t="s">
        <v>1781</v>
      </c>
      <c r="AF2760" t="s">
        <v>2133</v>
      </c>
      <c r="AG2760" t="s">
        <v>2125</v>
      </c>
      <c r="AH2760" t="b">
        <v>0</v>
      </c>
    </row>
    <row r="2761" spans="1:34">
      <c r="A2761" t="s">
        <v>2133</v>
      </c>
      <c r="B2761" t="s">
        <v>1784</v>
      </c>
      <c r="AF2761" t="s">
        <v>2133</v>
      </c>
      <c r="AG2761" t="s">
        <v>2125</v>
      </c>
      <c r="AH2761" t="b">
        <v>0</v>
      </c>
    </row>
    <row r="2762" spans="1:34">
      <c r="A2762" t="s">
        <v>2133</v>
      </c>
      <c r="B2762" t="s">
        <v>1787</v>
      </c>
      <c r="AF2762" t="s">
        <v>2133</v>
      </c>
      <c r="AG2762" t="s">
        <v>2125</v>
      </c>
      <c r="AH2762" t="b">
        <v>0</v>
      </c>
    </row>
    <row r="2763" spans="1:34">
      <c r="A2763" t="s">
        <v>2133</v>
      </c>
      <c r="B2763" t="s">
        <v>1789</v>
      </c>
      <c r="AF2763" t="s">
        <v>2133</v>
      </c>
      <c r="AG2763" t="s">
        <v>2125</v>
      </c>
      <c r="AH2763" t="b">
        <v>0</v>
      </c>
    </row>
    <row r="2764" spans="1:34">
      <c r="A2764" t="s">
        <v>2133</v>
      </c>
      <c r="B2764" t="s">
        <v>1791</v>
      </c>
      <c r="AF2764" t="s">
        <v>2133</v>
      </c>
      <c r="AG2764" t="s">
        <v>2125</v>
      </c>
      <c r="AH2764" t="b">
        <v>0</v>
      </c>
    </row>
    <row r="2765" spans="1:34">
      <c r="A2765" t="s">
        <v>2133</v>
      </c>
      <c r="B2765" t="s">
        <v>1794</v>
      </c>
      <c r="AF2765" t="s">
        <v>2133</v>
      </c>
      <c r="AG2765" t="s">
        <v>2125</v>
      </c>
      <c r="AH2765" t="b">
        <v>0</v>
      </c>
    </row>
    <row r="2766" spans="1:34">
      <c r="A2766" t="s">
        <v>2133</v>
      </c>
      <c r="B2766" t="s">
        <v>1797</v>
      </c>
      <c r="AF2766" t="s">
        <v>2133</v>
      </c>
      <c r="AG2766" t="s">
        <v>2125</v>
      </c>
      <c r="AH2766" t="b">
        <v>0</v>
      </c>
    </row>
    <row r="2767" spans="1:34">
      <c r="A2767" t="s">
        <v>2133</v>
      </c>
      <c r="B2767" t="s">
        <v>1799</v>
      </c>
      <c r="AF2767" t="s">
        <v>2133</v>
      </c>
      <c r="AG2767" t="s">
        <v>2125</v>
      </c>
      <c r="AH2767" t="b">
        <v>0</v>
      </c>
    </row>
    <row r="2768" spans="1:34">
      <c r="A2768" t="s">
        <v>2133</v>
      </c>
      <c r="B2768" t="s">
        <v>1801</v>
      </c>
      <c r="AF2768" t="s">
        <v>2133</v>
      </c>
      <c r="AG2768" t="s">
        <v>2125</v>
      </c>
      <c r="AH2768" t="b">
        <v>0</v>
      </c>
    </row>
    <row r="2769" spans="1:34">
      <c r="A2769" t="s">
        <v>2133</v>
      </c>
      <c r="B2769" t="s">
        <v>1803</v>
      </c>
      <c r="AF2769" t="s">
        <v>2133</v>
      </c>
      <c r="AG2769" t="s">
        <v>2125</v>
      </c>
      <c r="AH2769" t="b">
        <v>0</v>
      </c>
    </row>
    <row r="2770" spans="1:34">
      <c r="A2770" t="s">
        <v>2133</v>
      </c>
      <c r="B2770" t="s">
        <v>1805</v>
      </c>
      <c r="AF2770" t="s">
        <v>2133</v>
      </c>
      <c r="AG2770" t="s">
        <v>2125</v>
      </c>
      <c r="AH2770" t="b">
        <v>0</v>
      </c>
    </row>
    <row r="2771" spans="1:34">
      <c r="A2771" t="s">
        <v>2133</v>
      </c>
      <c r="B2771" t="s">
        <v>1807</v>
      </c>
      <c r="AF2771" t="s">
        <v>2133</v>
      </c>
      <c r="AG2771" t="s">
        <v>2125</v>
      </c>
      <c r="AH2771" t="b">
        <v>0</v>
      </c>
    </row>
    <row r="2772" spans="1:34">
      <c r="A2772" t="s">
        <v>2133</v>
      </c>
      <c r="B2772" t="s">
        <v>1810</v>
      </c>
      <c r="AF2772" t="s">
        <v>2133</v>
      </c>
      <c r="AG2772" t="s">
        <v>2125</v>
      </c>
      <c r="AH2772" t="b">
        <v>0</v>
      </c>
    </row>
    <row r="2773" spans="1:34">
      <c r="A2773" t="s">
        <v>2133</v>
      </c>
      <c r="B2773" t="s">
        <v>1813</v>
      </c>
      <c r="AF2773" t="s">
        <v>2133</v>
      </c>
      <c r="AG2773" t="s">
        <v>2125</v>
      </c>
      <c r="AH2773" t="b">
        <v>0</v>
      </c>
    </row>
    <row r="2774" spans="1:34">
      <c r="A2774" t="s">
        <v>2133</v>
      </c>
      <c r="B2774" t="s">
        <v>1816</v>
      </c>
      <c r="AF2774" t="s">
        <v>2133</v>
      </c>
      <c r="AG2774" t="s">
        <v>2125</v>
      </c>
      <c r="AH2774" t="b">
        <v>0</v>
      </c>
    </row>
    <row r="2775" spans="1:34">
      <c r="A2775" t="s">
        <v>2133</v>
      </c>
      <c r="B2775" t="s">
        <v>1818</v>
      </c>
      <c r="AF2775" t="s">
        <v>2133</v>
      </c>
      <c r="AG2775" t="s">
        <v>2125</v>
      </c>
      <c r="AH2775" t="b">
        <v>0</v>
      </c>
    </row>
    <row r="2776" spans="1:34">
      <c r="A2776" t="s">
        <v>2133</v>
      </c>
      <c r="B2776" t="s">
        <v>1820</v>
      </c>
      <c r="AF2776" t="s">
        <v>2133</v>
      </c>
      <c r="AG2776" t="s">
        <v>2125</v>
      </c>
      <c r="AH2776" t="b">
        <v>0</v>
      </c>
    </row>
    <row r="2777" spans="1:34">
      <c r="A2777" t="s">
        <v>2133</v>
      </c>
      <c r="B2777" t="s">
        <v>1822</v>
      </c>
      <c r="AF2777" t="s">
        <v>2133</v>
      </c>
      <c r="AG2777" t="s">
        <v>2125</v>
      </c>
      <c r="AH2777" t="b">
        <v>0</v>
      </c>
    </row>
    <row r="2778" spans="1:34">
      <c r="A2778" t="s">
        <v>2133</v>
      </c>
      <c r="B2778" t="s">
        <v>1825</v>
      </c>
      <c r="AF2778" t="s">
        <v>2133</v>
      </c>
      <c r="AG2778" t="s">
        <v>2125</v>
      </c>
      <c r="AH2778" t="b">
        <v>0</v>
      </c>
    </row>
    <row r="2779" spans="1:34">
      <c r="A2779" t="s">
        <v>2133</v>
      </c>
      <c r="B2779" t="s">
        <v>1828</v>
      </c>
      <c r="AF2779" t="s">
        <v>2133</v>
      </c>
      <c r="AG2779" t="s">
        <v>2125</v>
      </c>
      <c r="AH2779" t="b">
        <v>0</v>
      </c>
    </row>
    <row r="2780" spans="1:34">
      <c r="A2780" t="s">
        <v>2133</v>
      </c>
      <c r="B2780" t="s">
        <v>1831</v>
      </c>
      <c r="AF2780" t="s">
        <v>2133</v>
      </c>
      <c r="AG2780" t="s">
        <v>2125</v>
      </c>
      <c r="AH2780" t="b">
        <v>0</v>
      </c>
    </row>
    <row r="2781" spans="1:34">
      <c r="A2781" t="s">
        <v>2133</v>
      </c>
      <c r="B2781" t="s">
        <v>1833</v>
      </c>
      <c r="AF2781" t="s">
        <v>2133</v>
      </c>
      <c r="AG2781" t="s">
        <v>2125</v>
      </c>
      <c r="AH2781" t="b">
        <v>0</v>
      </c>
    </row>
    <row r="2782" spans="1:34">
      <c r="A2782" t="s">
        <v>2133</v>
      </c>
      <c r="B2782" t="s">
        <v>1836</v>
      </c>
      <c r="AF2782" t="s">
        <v>2133</v>
      </c>
      <c r="AG2782" t="s">
        <v>2125</v>
      </c>
      <c r="AH2782" t="b">
        <v>0</v>
      </c>
    </row>
    <row r="2783" spans="1:34">
      <c r="A2783" t="s">
        <v>2133</v>
      </c>
      <c r="B2783" t="s">
        <v>1838</v>
      </c>
      <c r="AF2783" t="s">
        <v>2133</v>
      </c>
      <c r="AG2783" t="s">
        <v>2125</v>
      </c>
      <c r="AH2783" t="b">
        <v>0</v>
      </c>
    </row>
    <row r="2784" spans="1:34">
      <c r="A2784" t="s">
        <v>2133</v>
      </c>
      <c r="B2784" t="s">
        <v>1840</v>
      </c>
      <c r="AF2784" t="s">
        <v>2133</v>
      </c>
      <c r="AG2784" t="s">
        <v>2125</v>
      </c>
      <c r="AH2784" t="b">
        <v>0</v>
      </c>
    </row>
    <row r="2785" spans="1:34">
      <c r="A2785" t="s">
        <v>2133</v>
      </c>
      <c r="B2785" t="s">
        <v>1842</v>
      </c>
      <c r="AF2785" t="s">
        <v>2133</v>
      </c>
      <c r="AG2785" t="s">
        <v>2125</v>
      </c>
      <c r="AH2785" t="b">
        <v>0</v>
      </c>
    </row>
    <row r="2786" spans="1:34">
      <c r="A2786" t="s">
        <v>2133</v>
      </c>
      <c r="B2786" t="s">
        <v>1844</v>
      </c>
      <c r="AF2786" t="s">
        <v>2133</v>
      </c>
      <c r="AG2786" t="s">
        <v>2125</v>
      </c>
      <c r="AH2786" t="b">
        <v>0</v>
      </c>
    </row>
    <row r="2787" spans="1:34">
      <c r="A2787" t="s">
        <v>2133</v>
      </c>
      <c r="B2787" t="s">
        <v>1846</v>
      </c>
      <c r="AF2787" t="s">
        <v>2133</v>
      </c>
      <c r="AG2787" t="s">
        <v>2125</v>
      </c>
      <c r="AH2787" t="b">
        <v>0</v>
      </c>
    </row>
    <row r="2788" spans="1:34">
      <c r="A2788" t="s">
        <v>2134</v>
      </c>
      <c r="B2788" t="s">
        <v>1680</v>
      </c>
      <c r="AF2788" t="s">
        <v>2134</v>
      </c>
      <c r="AG2788" t="s">
        <v>2125</v>
      </c>
      <c r="AH2788" t="b">
        <v>0</v>
      </c>
    </row>
    <row r="2789" spans="1:34">
      <c r="A2789" t="s">
        <v>2134</v>
      </c>
      <c r="B2789" t="s">
        <v>1421</v>
      </c>
      <c r="AF2789" t="s">
        <v>2134</v>
      </c>
      <c r="AG2789" t="s">
        <v>2125</v>
      </c>
      <c r="AH2789" t="b">
        <v>0</v>
      </c>
    </row>
    <row r="2790" spans="1:34">
      <c r="A2790" t="s">
        <v>2134</v>
      </c>
      <c r="B2790" t="s">
        <v>1757</v>
      </c>
      <c r="AF2790" t="s">
        <v>2134</v>
      </c>
      <c r="AG2790" t="s">
        <v>2125</v>
      </c>
      <c r="AH2790" t="b">
        <v>0</v>
      </c>
    </row>
    <row r="2791" spans="1:34">
      <c r="A2791" t="s">
        <v>2134</v>
      </c>
      <c r="B2791" t="s">
        <v>1833</v>
      </c>
      <c r="AF2791" t="s">
        <v>2134</v>
      </c>
      <c r="AG2791" t="s">
        <v>2125</v>
      </c>
      <c r="AH2791" t="b">
        <v>0</v>
      </c>
    </row>
    <row r="2792" spans="1:34">
      <c r="A2792" t="s">
        <v>2134</v>
      </c>
      <c r="B2792" t="s">
        <v>1844</v>
      </c>
      <c r="AF2792" t="s">
        <v>2134</v>
      </c>
      <c r="AG2792" t="s">
        <v>2125</v>
      </c>
      <c r="AH2792" t="b">
        <v>0</v>
      </c>
    </row>
    <row r="2793" spans="1:34">
      <c r="A2793" t="s">
        <v>2134</v>
      </c>
      <c r="B2793" t="s">
        <v>1452</v>
      </c>
      <c r="AF2793" t="s">
        <v>2134</v>
      </c>
      <c r="AG2793" t="s">
        <v>2125</v>
      </c>
      <c r="AH2793" t="b">
        <v>0</v>
      </c>
    </row>
    <row r="2794" spans="1:34">
      <c r="A2794" t="s">
        <v>2134</v>
      </c>
      <c r="B2794" t="s">
        <v>1538</v>
      </c>
      <c r="AF2794" t="s">
        <v>2134</v>
      </c>
      <c r="AG2794" t="s">
        <v>2125</v>
      </c>
      <c r="AH2794" t="b">
        <v>0</v>
      </c>
    </row>
    <row r="2795" spans="1:34">
      <c r="A2795" t="s">
        <v>2134</v>
      </c>
      <c r="B2795" t="s">
        <v>1724</v>
      </c>
      <c r="AF2795" t="s">
        <v>2134</v>
      </c>
      <c r="AG2795" t="s">
        <v>2125</v>
      </c>
      <c r="AH2795" t="b">
        <v>0</v>
      </c>
    </row>
    <row r="2796" spans="1:34">
      <c r="A2796" t="s">
        <v>2134</v>
      </c>
      <c r="B2796" t="s">
        <v>1803</v>
      </c>
      <c r="AF2796" t="s">
        <v>2134</v>
      </c>
      <c r="AG2796" t="s">
        <v>2125</v>
      </c>
      <c r="AH2796" t="b">
        <v>0</v>
      </c>
    </row>
    <row r="2797" spans="1:34">
      <c r="A2797" t="s">
        <v>2134</v>
      </c>
      <c r="B2797" t="s">
        <v>1838</v>
      </c>
      <c r="AF2797" t="s">
        <v>2134</v>
      </c>
      <c r="AG2797" t="s">
        <v>2125</v>
      </c>
      <c r="AH2797" t="b">
        <v>0</v>
      </c>
    </row>
    <row r="2798" spans="1:34">
      <c r="A2798" t="s">
        <v>2134</v>
      </c>
      <c r="B2798" t="s">
        <v>1842</v>
      </c>
      <c r="AF2798" t="s">
        <v>2134</v>
      </c>
      <c r="AG2798" t="s">
        <v>2125</v>
      </c>
      <c r="AH2798" t="b">
        <v>0</v>
      </c>
    </row>
    <row r="2799" spans="1:34">
      <c r="A2799" t="s">
        <v>2134</v>
      </c>
      <c r="B2799" t="s">
        <v>1620</v>
      </c>
      <c r="AF2799" t="s">
        <v>2134</v>
      </c>
      <c r="AG2799" t="s">
        <v>2125</v>
      </c>
      <c r="AH2799" t="b">
        <v>0</v>
      </c>
    </row>
    <row r="2800" spans="1:34">
      <c r="A2800" t="s">
        <v>2134</v>
      </c>
      <c r="B2800" t="s">
        <v>1688</v>
      </c>
      <c r="AF2800" t="s">
        <v>2134</v>
      </c>
      <c r="AG2800" t="s">
        <v>2125</v>
      </c>
      <c r="AH2800" t="b">
        <v>0</v>
      </c>
    </row>
    <row r="2801" spans="1:34">
      <c r="A2801" t="s">
        <v>2134</v>
      </c>
      <c r="B2801" t="s">
        <v>1500</v>
      </c>
      <c r="AF2801" t="s">
        <v>2134</v>
      </c>
      <c r="AG2801" t="s">
        <v>2125</v>
      </c>
      <c r="AH2801" t="b">
        <v>0</v>
      </c>
    </row>
    <row r="2802" spans="1:34">
      <c r="A2802" t="s">
        <v>2134</v>
      </c>
      <c r="B2802" t="s">
        <v>42</v>
      </c>
      <c r="AF2802" t="s">
        <v>2134</v>
      </c>
      <c r="AG2802" t="s">
        <v>2125</v>
      </c>
      <c r="AH2802" t="b">
        <v>0</v>
      </c>
    </row>
    <row r="2803" spans="1:34">
      <c r="A2803" t="s">
        <v>2134</v>
      </c>
      <c r="B2803" t="s">
        <v>1749</v>
      </c>
      <c r="AF2803" t="s">
        <v>2134</v>
      </c>
      <c r="AG2803" t="s">
        <v>2125</v>
      </c>
      <c r="AH2803" t="b">
        <v>0</v>
      </c>
    </row>
    <row r="2804" spans="1:34">
      <c r="A2804" t="s">
        <v>2134</v>
      </c>
      <c r="B2804" t="s">
        <v>1444</v>
      </c>
      <c r="AF2804" t="s">
        <v>2134</v>
      </c>
      <c r="AG2804" t="s">
        <v>2125</v>
      </c>
      <c r="AH2804" t="b">
        <v>0</v>
      </c>
    </row>
    <row r="2805" spans="1:34">
      <c r="A2805" t="s">
        <v>2134</v>
      </c>
      <c r="B2805" t="s">
        <v>1514</v>
      </c>
      <c r="AF2805" t="s">
        <v>2134</v>
      </c>
      <c r="AG2805" t="s">
        <v>2125</v>
      </c>
      <c r="AH2805" t="b">
        <v>0</v>
      </c>
    </row>
  </sheetData>
  <sheetProtection sheet="1" objects="1" scenarios="1"/>
  <phoneticPr fontId="5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6786E-1BB1-49BB-AB11-8335E1701FE6}">
  <sheetPr codeName="Sheet9"/>
  <dimension ref="A1:AO247"/>
  <sheetViews>
    <sheetView topLeftCell="W1" workbookViewId="0">
      <selection activeCell="C19" sqref="C19"/>
    </sheetView>
  </sheetViews>
  <sheetFormatPr defaultRowHeight="15"/>
  <cols>
    <col min="1" max="1" width="8.5703125" bestFit="1" customWidth="1"/>
    <col min="2" max="2" width="13.28515625" bestFit="1" customWidth="1"/>
    <col min="3" max="3" width="15.5703125" bestFit="1" customWidth="1"/>
    <col min="5" max="5" width="15.42578125" bestFit="1" customWidth="1"/>
    <col min="7" max="7" width="20.5703125" bestFit="1" customWidth="1"/>
    <col min="8" max="8" width="23.140625" bestFit="1" customWidth="1"/>
    <col min="9" max="9" width="29.42578125" bestFit="1" customWidth="1"/>
    <col min="11" max="11" width="11.7109375" bestFit="1" customWidth="1"/>
    <col min="12" max="12" width="15.7109375" bestFit="1" customWidth="1"/>
    <col min="13" max="13" width="45.85546875" bestFit="1" customWidth="1"/>
    <col min="14" max="14" width="62.5703125" bestFit="1" customWidth="1"/>
    <col min="16" max="16" width="22.140625" bestFit="1" customWidth="1"/>
    <col min="17" max="17" width="15.7109375" bestFit="1" customWidth="1"/>
    <col min="18" max="18" width="45.85546875" bestFit="1" customWidth="1"/>
    <col min="19" max="19" width="12.85546875" bestFit="1" customWidth="1"/>
    <col min="20" max="20" width="34.5703125" bestFit="1" customWidth="1"/>
    <col min="21" max="21" width="19.140625" bestFit="1" customWidth="1"/>
    <col min="22" max="22" width="14.7109375" bestFit="1" customWidth="1"/>
    <col min="23" max="23" width="62.5703125" bestFit="1" customWidth="1"/>
    <col min="25" max="25" width="26.140625" bestFit="1" customWidth="1"/>
    <col min="26" max="26" width="30.42578125" bestFit="1" customWidth="1"/>
    <col min="27" max="27" width="35.28515625" bestFit="1" customWidth="1"/>
    <col min="28" max="28" width="16.7109375" bestFit="1" customWidth="1"/>
    <col min="29" max="29" width="33.140625" bestFit="1" customWidth="1"/>
    <col min="31" max="31" width="19.140625" bestFit="1" customWidth="1"/>
    <col min="32" max="32" width="30.42578125" bestFit="1" customWidth="1"/>
    <col min="33" max="33" width="31" bestFit="1" customWidth="1"/>
    <col min="34" max="34" width="16.7109375" bestFit="1" customWidth="1"/>
    <col min="35" max="35" width="30" bestFit="1" customWidth="1"/>
    <col min="37" max="37" width="22.7109375" bestFit="1" customWidth="1"/>
    <col min="38" max="38" width="30.42578125" bestFit="1" customWidth="1"/>
    <col min="39" max="39" width="35.28515625" bestFit="1" customWidth="1"/>
    <col min="40" max="40" width="16.7109375" bestFit="1" customWidth="1"/>
    <col min="41" max="41" width="30.140625" bestFit="1" customWidth="1"/>
  </cols>
  <sheetData>
    <row r="1" spans="1:41">
      <c r="A1" t="s">
        <v>9</v>
      </c>
      <c r="C1" t="s">
        <v>2135</v>
      </c>
      <c r="E1" t="s">
        <v>5</v>
      </c>
      <c r="G1" t="s">
        <v>202</v>
      </c>
      <c r="H1" t="s">
        <v>203</v>
      </c>
      <c r="I1" t="s">
        <v>7</v>
      </c>
      <c r="K1" t="s">
        <v>70</v>
      </c>
      <c r="L1" t="s">
        <v>218</v>
      </c>
      <c r="M1" t="s">
        <v>222</v>
      </c>
      <c r="N1" t="s">
        <v>100</v>
      </c>
      <c r="P1" t="s">
        <v>70</v>
      </c>
      <c r="Q1" t="s">
        <v>218</v>
      </c>
      <c r="R1" t="s">
        <v>222</v>
      </c>
      <c r="S1" t="s">
        <v>217</v>
      </c>
      <c r="T1" t="s">
        <v>219</v>
      </c>
      <c r="U1" t="s">
        <v>220</v>
      </c>
      <c r="V1" t="s">
        <v>221</v>
      </c>
      <c r="W1" t="s">
        <v>223</v>
      </c>
      <c r="Y1" t="s">
        <v>1356</v>
      </c>
      <c r="Z1" t="s">
        <v>1357</v>
      </c>
      <c r="AA1" t="s">
        <v>1358</v>
      </c>
      <c r="AB1" t="s">
        <v>1359</v>
      </c>
      <c r="AC1" t="s">
        <v>1360</v>
      </c>
      <c r="AE1" t="s">
        <v>1356</v>
      </c>
      <c r="AF1" t="s">
        <v>1357</v>
      </c>
      <c r="AG1" t="s">
        <v>1358</v>
      </c>
      <c r="AH1" t="s">
        <v>1359</v>
      </c>
      <c r="AI1" t="s">
        <v>1360</v>
      </c>
      <c r="AK1" t="s">
        <v>1356</v>
      </c>
      <c r="AL1" t="s">
        <v>1357</v>
      </c>
      <c r="AM1" t="s">
        <v>1358</v>
      </c>
      <c r="AN1" t="s">
        <v>1359</v>
      </c>
      <c r="AO1" t="s">
        <v>1360</v>
      </c>
    </row>
    <row r="2" spans="1:41">
      <c r="A2" t="s">
        <v>10</v>
      </c>
      <c r="C2" t="s">
        <v>12</v>
      </c>
      <c r="E2" t="s">
        <v>6</v>
      </c>
      <c r="G2" t="s">
        <v>204</v>
      </c>
      <c r="H2" t="s">
        <v>205</v>
      </c>
      <c r="I2" t="s">
        <v>8</v>
      </c>
      <c r="K2" t="s">
        <v>390</v>
      </c>
      <c r="L2" t="s">
        <v>391</v>
      </c>
      <c r="M2" t="s">
        <v>394</v>
      </c>
      <c r="N2" t="s">
        <v>1250</v>
      </c>
      <c r="P2" t="s">
        <v>226</v>
      </c>
      <c r="Q2" t="s">
        <v>227</v>
      </c>
      <c r="R2" t="s">
        <v>231</v>
      </c>
      <c r="S2" t="s">
        <v>225</v>
      </c>
      <c r="T2" t="s">
        <v>228</v>
      </c>
      <c r="U2" t="s">
        <v>229</v>
      </c>
      <c r="V2" t="s">
        <v>230</v>
      </c>
      <c r="W2" t="s">
        <v>232</v>
      </c>
      <c r="Y2" t="s">
        <v>1361</v>
      </c>
      <c r="Z2" t="s">
        <v>1362</v>
      </c>
      <c r="AA2" t="s">
        <v>1363</v>
      </c>
      <c r="AB2" t="s">
        <v>1364</v>
      </c>
      <c r="AC2" t="s">
        <v>1365</v>
      </c>
      <c r="AE2" t="s">
        <v>1680</v>
      </c>
      <c r="AF2" t="s">
        <v>1362</v>
      </c>
      <c r="AG2" t="s">
        <v>1681</v>
      </c>
      <c r="AH2" t="s">
        <v>1364</v>
      </c>
      <c r="AI2" t="s">
        <v>1682</v>
      </c>
      <c r="AK2" t="s">
        <v>1805</v>
      </c>
      <c r="AL2" t="s">
        <v>1362</v>
      </c>
      <c r="AM2" t="s">
        <v>1806</v>
      </c>
      <c r="AN2" t="s">
        <v>1459</v>
      </c>
      <c r="AO2" t="s">
        <v>1666</v>
      </c>
    </row>
    <row r="3" spans="1:41">
      <c r="A3" t="s">
        <v>37</v>
      </c>
      <c r="C3" t="s">
        <v>196</v>
      </c>
      <c r="E3" t="s">
        <v>200</v>
      </c>
      <c r="G3" t="s">
        <v>204</v>
      </c>
      <c r="H3" t="s">
        <v>206</v>
      </c>
      <c r="I3" t="s">
        <v>207</v>
      </c>
      <c r="K3" t="s">
        <v>396</v>
      </c>
      <c r="L3" t="s">
        <v>397</v>
      </c>
      <c r="N3" t="s">
        <v>399</v>
      </c>
      <c r="P3" t="s">
        <v>234</v>
      </c>
      <c r="Q3" t="s">
        <v>227</v>
      </c>
      <c r="R3" t="s">
        <v>236</v>
      </c>
      <c r="S3" t="s">
        <v>225</v>
      </c>
      <c r="T3" t="s">
        <v>235</v>
      </c>
      <c r="U3" t="s">
        <v>229</v>
      </c>
      <c r="V3" t="s">
        <v>230</v>
      </c>
      <c r="W3" t="s">
        <v>237</v>
      </c>
      <c r="Y3" t="s">
        <v>1366</v>
      </c>
      <c r="Z3" t="s">
        <v>1367</v>
      </c>
      <c r="AA3" t="s">
        <v>1368</v>
      </c>
      <c r="AB3" t="s">
        <v>1369</v>
      </c>
      <c r="AC3" t="s">
        <v>1370</v>
      </c>
      <c r="AE3" t="s">
        <v>1421</v>
      </c>
      <c r="AF3" t="s">
        <v>1362</v>
      </c>
      <c r="AG3" t="s">
        <v>1422</v>
      </c>
      <c r="AH3" t="s">
        <v>1382</v>
      </c>
      <c r="AI3" t="s">
        <v>1423</v>
      </c>
      <c r="AK3" t="s">
        <v>1417</v>
      </c>
      <c r="AL3" t="s">
        <v>1362</v>
      </c>
      <c r="AM3" t="s">
        <v>1418</v>
      </c>
      <c r="AN3" t="s">
        <v>1419</v>
      </c>
      <c r="AO3" t="s">
        <v>1420</v>
      </c>
    </row>
    <row r="4" spans="1:41">
      <c r="A4" t="s">
        <v>192</v>
      </c>
      <c r="C4" t="s">
        <v>197</v>
      </c>
      <c r="G4" t="s">
        <v>208</v>
      </c>
      <c r="H4" t="s">
        <v>209</v>
      </c>
      <c r="I4" t="s">
        <v>210</v>
      </c>
      <c r="K4" t="s">
        <v>400</v>
      </c>
      <c r="L4" t="s">
        <v>401</v>
      </c>
      <c r="M4" t="s">
        <v>403</v>
      </c>
      <c r="N4" t="s">
        <v>1252</v>
      </c>
      <c r="P4" t="s">
        <v>238</v>
      </c>
      <c r="Q4" t="s">
        <v>227</v>
      </c>
      <c r="R4" t="s">
        <v>239</v>
      </c>
      <c r="S4" t="s">
        <v>225</v>
      </c>
      <c r="T4" t="s">
        <v>235</v>
      </c>
      <c r="U4" t="s">
        <v>234</v>
      </c>
      <c r="V4" t="s">
        <v>230</v>
      </c>
      <c r="W4" t="s">
        <v>240</v>
      </c>
      <c r="Y4" t="s">
        <v>1371</v>
      </c>
      <c r="Z4" t="s">
        <v>1362</v>
      </c>
      <c r="AA4" t="s">
        <v>1372</v>
      </c>
      <c r="AB4" t="s">
        <v>1364</v>
      </c>
      <c r="AC4" t="s">
        <v>1373</v>
      </c>
      <c r="AE4" t="s">
        <v>1757</v>
      </c>
      <c r="AF4" t="s">
        <v>1362</v>
      </c>
      <c r="AG4" t="s">
        <v>1758</v>
      </c>
      <c r="AH4" t="s">
        <v>1382</v>
      </c>
      <c r="AI4" t="s">
        <v>1423</v>
      </c>
      <c r="AK4" t="s">
        <v>1442</v>
      </c>
      <c r="AL4" t="s">
        <v>1362</v>
      </c>
      <c r="AM4" t="s">
        <v>1443</v>
      </c>
      <c r="AN4" t="s">
        <v>1419</v>
      </c>
      <c r="AO4" t="s">
        <v>1420</v>
      </c>
    </row>
    <row r="5" spans="1:41">
      <c r="A5" t="s">
        <v>193</v>
      </c>
      <c r="C5" t="s">
        <v>198</v>
      </c>
      <c r="G5" t="s">
        <v>208</v>
      </c>
      <c r="H5" t="s">
        <v>211</v>
      </c>
      <c r="I5" t="s">
        <v>212</v>
      </c>
      <c r="K5" t="s">
        <v>424</v>
      </c>
      <c r="L5" t="s">
        <v>425</v>
      </c>
      <c r="M5" t="s">
        <v>427</v>
      </c>
      <c r="N5" t="s">
        <v>1253</v>
      </c>
      <c r="P5" t="s">
        <v>241</v>
      </c>
      <c r="Q5" t="s">
        <v>227</v>
      </c>
      <c r="R5" t="s">
        <v>242</v>
      </c>
      <c r="S5" t="s">
        <v>225</v>
      </c>
      <c r="T5" t="s">
        <v>235</v>
      </c>
      <c r="U5" t="s">
        <v>234</v>
      </c>
      <c r="V5" t="s">
        <v>230</v>
      </c>
      <c r="W5" t="s">
        <v>243</v>
      </c>
      <c r="Y5" t="s">
        <v>1374</v>
      </c>
      <c r="Z5" t="s">
        <v>1362</v>
      </c>
      <c r="AA5" t="s">
        <v>1375</v>
      </c>
      <c r="AB5" t="s">
        <v>1364</v>
      </c>
      <c r="AC5" t="s">
        <v>1376</v>
      </c>
      <c r="AE5" t="s">
        <v>1833</v>
      </c>
      <c r="AF5" t="s">
        <v>1362</v>
      </c>
      <c r="AG5" t="s">
        <v>1834</v>
      </c>
      <c r="AH5" t="s">
        <v>1364</v>
      </c>
      <c r="AI5" t="s">
        <v>1835</v>
      </c>
      <c r="AK5" t="s">
        <v>1609</v>
      </c>
      <c r="AL5" t="s">
        <v>1362</v>
      </c>
      <c r="AM5" t="s">
        <v>1610</v>
      </c>
      <c r="AN5" t="s">
        <v>1459</v>
      </c>
      <c r="AO5" t="s">
        <v>1420</v>
      </c>
    </row>
    <row r="6" spans="1:41">
      <c r="A6" t="s">
        <v>194</v>
      </c>
      <c r="G6" t="s">
        <v>208</v>
      </c>
      <c r="H6" t="s">
        <v>206</v>
      </c>
      <c r="I6" t="s">
        <v>213</v>
      </c>
      <c r="K6" t="s">
        <v>445</v>
      </c>
      <c r="L6" t="s">
        <v>446</v>
      </c>
      <c r="M6" t="s">
        <v>448</v>
      </c>
      <c r="N6" t="s">
        <v>1254</v>
      </c>
      <c r="P6" t="s">
        <v>245</v>
      </c>
      <c r="Q6" t="s">
        <v>227</v>
      </c>
      <c r="R6" t="s">
        <v>247</v>
      </c>
      <c r="S6" t="s">
        <v>225</v>
      </c>
      <c r="T6" t="s">
        <v>246</v>
      </c>
      <c r="U6" t="s">
        <v>229</v>
      </c>
      <c r="V6" t="s">
        <v>230</v>
      </c>
      <c r="W6" t="s">
        <v>248</v>
      </c>
      <c r="Y6" t="s">
        <v>1377</v>
      </c>
      <c r="Z6" t="s">
        <v>1367</v>
      </c>
      <c r="AA6" t="s">
        <v>1378</v>
      </c>
      <c r="AB6" t="s">
        <v>1369</v>
      </c>
      <c r="AC6" t="s">
        <v>1379</v>
      </c>
      <c r="AE6" t="s">
        <v>1844</v>
      </c>
      <c r="AF6" t="s">
        <v>1362</v>
      </c>
      <c r="AG6" t="s">
        <v>1845</v>
      </c>
      <c r="AH6" t="s">
        <v>1364</v>
      </c>
      <c r="AI6" t="s">
        <v>1423</v>
      </c>
      <c r="AK6" t="s">
        <v>41</v>
      </c>
      <c r="AL6" t="s">
        <v>1362</v>
      </c>
      <c r="AM6" t="s">
        <v>1674</v>
      </c>
      <c r="AN6" t="s">
        <v>1459</v>
      </c>
      <c r="AO6" t="s">
        <v>1420</v>
      </c>
    </row>
    <row r="7" spans="1:41">
      <c r="G7" t="s">
        <v>208</v>
      </c>
      <c r="H7" t="s">
        <v>214</v>
      </c>
      <c r="I7" t="s">
        <v>215</v>
      </c>
      <c r="K7" t="s">
        <v>456</v>
      </c>
      <c r="L7" t="s">
        <v>457</v>
      </c>
      <c r="M7" t="s">
        <v>459</v>
      </c>
      <c r="N7" t="s">
        <v>1255</v>
      </c>
      <c r="P7" t="s">
        <v>249</v>
      </c>
      <c r="Q7" t="s">
        <v>227</v>
      </c>
      <c r="R7" t="s">
        <v>251</v>
      </c>
      <c r="S7" t="s">
        <v>225</v>
      </c>
      <c r="T7" t="s">
        <v>250</v>
      </c>
      <c r="U7" t="s">
        <v>229</v>
      </c>
      <c r="V7" t="s">
        <v>230</v>
      </c>
      <c r="W7" t="s">
        <v>252</v>
      </c>
      <c r="Y7" t="s">
        <v>1380</v>
      </c>
      <c r="Z7" t="s">
        <v>1362</v>
      </c>
      <c r="AA7" t="s">
        <v>1381</v>
      </c>
      <c r="AB7" t="s">
        <v>1382</v>
      </c>
      <c r="AC7" t="s">
        <v>1383</v>
      </c>
      <c r="AE7" t="s">
        <v>1452</v>
      </c>
      <c r="AF7" t="s">
        <v>1362</v>
      </c>
      <c r="AG7" t="s">
        <v>1453</v>
      </c>
      <c r="AH7" t="s">
        <v>1364</v>
      </c>
      <c r="AI7" t="s">
        <v>1454</v>
      </c>
      <c r="AK7" t="s">
        <v>1716</v>
      </c>
      <c r="AL7" t="s">
        <v>1362</v>
      </c>
      <c r="AM7" t="s">
        <v>1717</v>
      </c>
      <c r="AN7" t="s">
        <v>1459</v>
      </c>
      <c r="AO7" t="s">
        <v>1420</v>
      </c>
    </row>
    <row r="8" spans="1:41">
      <c r="K8" t="s">
        <v>515</v>
      </c>
      <c r="L8" t="s">
        <v>516</v>
      </c>
      <c r="M8" t="s">
        <v>518</v>
      </c>
      <c r="N8" t="s">
        <v>1256</v>
      </c>
      <c r="P8" t="s">
        <v>253</v>
      </c>
      <c r="Q8" t="s">
        <v>227</v>
      </c>
      <c r="R8" t="s">
        <v>255</v>
      </c>
      <c r="S8" t="s">
        <v>225</v>
      </c>
      <c r="T8" t="s">
        <v>254</v>
      </c>
      <c r="U8" t="s">
        <v>229</v>
      </c>
      <c r="V8" t="s">
        <v>230</v>
      </c>
      <c r="W8" t="s">
        <v>256</v>
      </c>
      <c r="Y8" t="s">
        <v>1384</v>
      </c>
      <c r="Z8" t="s">
        <v>1362</v>
      </c>
      <c r="AA8" t="s">
        <v>1385</v>
      </c>
      <c r="AB8" t="s">
        <v>1364</v>
      </c>
      <c r="AC8" t="s">
        <v>1386</v>
      </c>
      <c r="AE8" t="s">
        <v>1538</v>
      </c>
      <c r="AF8" t="s">
        <v>1462</v>
      </c>
      <c r="AG8" t="s">
        <v>1539</v>
      </c>
      <c r="AH8" t="s">
        <v>1464</v>
      </c>
      <c r="AI8" t="s">
        <v>1454</v>
      </c>
      <c r="AK8" t="s">
        <v>1516</v>
      </c>
      <c r="AL8" t="s">
        <v>1462</v>
      </c>
      <c r="AM8" t="s">
        <v>1517</v>
      </c>
      <c r="AN8" t="s">
        <v>1464</v>
      </c>
      <c r="AO8" t="s">
        <v>1518</v>
      </c>
    </row>
    <row r="9" spans="1:41">
      <c r="K9" t="s">
        <v>626</v>
      </c>
      <c r="L9" t="s">
        <v>627</v>
      </c>
      <c r="M9" t="s">
        <v>629</v>
      </c>
      <c r="N9" t="s">
        <v>1257</v>
      </c>
      <c r="P9" t="s">
        <v>257</v>
      </c>
      <c r="Q9" t="s">
        <v>227</v>
      </c>
      <c r="R9" t="s">
        <v>259</v>
      </c>
      <c r="S9" t="s">
        <v>225</v>
      </c>
      <c r="T9" t="s">
        <v>258</v>
      </c>
      <c r="U9" t="s">
        <v>229</v>
      </c>
      <c r="V9" t="s">
        <v>230</v>
      </c>
      <c r="W9" t="s">
        <v>260</v>
      </c>
      <c r="Y9" t="s">
        <v>1387</v>
      </c>
      <c r="Z9" t="s">
        <v>1362</v>
      </c>
      <c r="AA9" t="s">
        <v>1388</v>
      </c>
      <c r="AB9" t="s">
        <v>1364</v>
      </c>
      <c r="AC9" t="s">
        <v>1389</v>
      </c>
      <c r="AE9" t="s">
        <v>1724</v>
      </c>
      <c r="AF9" t="s">
        <v>1362</v>
      </c>
      <c r="AG9" t="s">
        <v>1725</v>
      </c>
      <c r="AH9" t="s">
        <v>1364</v>
      </c>
      <c r="AI9" t="s">
        <v>1454</v>
      </c>
      <c r="AK9" t="s">
        <v>17</v>
      </c>
      <c r="AL9" t="s">
        <v>1362</v>
      </c>
      <c r="AM9" t="s">
        <v>1458</v>
      </c>
      <c r="AN9" t="s">
        <v>1459</v>
      </c>
      <c r="AO9" t="s">
        <v>1460</v>
      </c>
    </row>
    <row r="10" spans="1:41">
      <c r="K10" t="s">
        <v>631</v>
      </c>
      <c r="L10" t="s">
        <v>632</v>
      </c>
      <c r="M10" t="s">
        <v>634</v>
      </c>
      <c r="N10" t="s">
        <v>1258</v>
      </c>
      <c r="P10" t="s">
        <v>261</v>
      </c>
      <c r="Q10" t="s">
        <v>227</v>
      </c>
      <c r="R10" t="s">
        <v>263</v>
      </c>
      <c r="S10" t="s">
        <v>225</v>
      </c>
      <c r="T10" t="s">
        <v>262</v>
      </c>
      <c r="U10" t="s">
        <v>229</v>
      </c>
      <c r="V10" t="s">
        <v>230</v>
      </c>
      <c r="W10" t="s">
        <v>264</v>
      </c>
      <c r="Y10" t="s">
        <v>1390</v>
      </c>
      <c r="Z10" t="s">
        <v>1362</v>
      </c>
      <c r="AA10" t="s">
        <v>1391</v>
      </c>
      <c r="AB10" t="s">
        <v>1364</v>
      </c>
      <c r="AC10" t="s">
        <v>1392</v>
      </c>
      <c r="AE10" t="s">
        <v>1803</v>
      </c>
      <c r="AF10" t="s">
        <v>1362</v>
      </c>
      <c r="AG10" t="s">
        <v>1804</v>
      </c>
      <c r="AH10" t="s">
        <v>1382</v>
      </c>
      <c r="AI10" t="s">
        <v>1454</v>
      </c>
      <c r="AK10" t="s">
        <v>1647</v>
      </c>
      <c r="AL10" t="s">
        <v>1462</v>
      </c>
      <c r="AM10" t="s">
        <v>1648</v>
      </c>
      <c r="AN10" t="s">
        <v>1464</v>
      </c>
      <c r="AO10" t="s">
        <v>1649</v>
      </c>
    </row>
    <row r="11" spans="1:41">
      <c r="K11" t="s">
        <v>636</v>
      </c>
      <c r="L11" t="s">
        <v>637</v>
      </c>
      <c r="M11" t="s">
        <v>639</v>
      </c>
      <c r="N11" t="s">
        <v>1259</v>
      </c>
      <c r="P11" t="s">
        <v>265</v>
      </c>
      <c r="Q11" t="s">
        <v>227</v>
      </c>
      <c r="R11" t="s">
        <v>268</v>
      </c>
      <c r="S11" t="s">
        <v>225</v>
      </c>
      <c r="T11" t="s">
        <v>266</v>
      </c>
      <c r="U11" t="s">
        <v>267</v>
      </c>
      <c r="V11" t="s">
        <v>230</v>
      </c>
      <c r="W11" t="s">
        <v>269</v>
      </c>
      <c r="Y11" t="s">
        <v>1393</v>
      </c>
      <c r="Z11" t="s">
        <v>1362</v>
      </c>
      <c r="AA11" t="s">
        <v>1394</v>
      </c>
      <c r="AB11" t="s">
        <v>1364</v>
      </c>
      <c r="AC11" t="s">
        <v>1395</v>
      </c>
      <c r="AE11" t="s">
        <v>1838</v>
      </c>
      <c r="AF11" t="s">
        <v>1362</v>
      </c>
      <c r="AG11" t="s">
        <v>1839</v>
      </c>
      <c r="AH11" t="s">
        <v>1364</v>
      </c>
      <c r="AI11" t="s">
        <v>1454</v>
      </c>
      <c r="AK11" t="s">
        <v>1473</v>
      </c>
      <c r="AL11" t="s">
        <v>1362</v>
      </c>
      <c r="AM11" t="s">
        <v>1474</v>
      </c>
      <c r="AN11" t="s">
        <v>1364</v>
      </c>
      <c r="AO11" t="s">
        <v>1475</v>
      </c>
    </row>
    <row r="12" spans="1:41">
      <c r="K12" t="s">
        <v>641</v>
      </c>
      <c r="L12" t="s">
        <v>642</v>
      </c>
      <c r="M12" t="s">
        <v>644</v>
      </c>
      <c r="N12" t="s">
        <v>1260</v>
      </c>
      <c r="P12" t="s">
        <v>270</v>
      </c>
      <c r="Q12" t="s">
        <v>227</v>
      </c>
      <c r="R12" t="s">
        <v>273</v>
      </c>
      <c r="S12" t="s">
        <v>225</v>
      </c>
      <c r="T12" t="s">
        <v>271</v>
      </c>
      <c r="U12" t="s">
        <v>272</v>
      </c>
      <c r="V12" t="s">
        <v>230</v>
      </c>
      <c r="W12" t="s">
        <v>274</v>
      </c>
      <c r="Y12" t="s">
        <v>1396</v>
      </c>
      <c r="Z12" t="s">
        <v>1362</v>
      </c>
      <c r="AA12" t="s">
        <v>1397</v>
      </c>
      <c r="AB12" t="s">
        <v>1364</v>
      </c>
      <c r="AC12" t="s">
        <v>1398</v>
      </c>
      <c r="AE12" t="s">
        <v>1842</v>
      </c>
      <c r="AF12" t="s">
        <v>1362</v>
      </c>
      <c r="AG12" t="s">
        <v>1843</v>
      </c>
      <c r="AH12" t="s">
        <v>1364</v>
      </c>
      <c r="AI12" t="s">
        <v>1454</v>
      </c>
      <c r="AK12" t="s">
        <v>1611</v>
      </c>
      <c r="AL12" t="s">
        <v>1362</v>
      </c>
      <c r="AM12" t="s">
        <v>1612</v>
      </c>
      <c r="AN12" t="s">
        <v>1364</v>
      </c>
      <c r="AO12" t="s">
        <v>1613</v>
      </c>
    </row>
    <row r="13" spans="1:41">
      <c r="K13" t="s">
        <v>646</v>
      </c>
      <c r="L13" t="s">
        <v>647</v>
      </c>
      <c r="M13" t="s">
        <v>649</v>
      </c>
      <c r="N13" t="s">
        <v>1261</v>
      </c>
      <c r="P13" t="s">
        <v>275</v>
      </c>
      <c r="Q13" t="s">
        <v>227</v>
      </c>
      <c r="R13" t="s">
        <v>247</v>
      </c>
      <c r="S13" t="s">
        <v>225</v>
      </c>
      <c r="T13" t="s">
        <v>276</v>
      </c>
      <c r="U13" t="s">
        <v>272</v>
      </c>
      <c r="V13" t="s">
        <v>230</v>
      </c>
      <c r="W13" t="s">
        <v>277</v>
      </c>
      <c r="Y13" t="s">
        <v>1399</v>
      </c>
      <c r="Z13" t="s">
        <v>1362</v>
      </c>
      <c r="AA13" t="s">
        <v>1400</v>
      </c>
      <c r="AB13" t="s">
        <v>1364</v>
      </c>
      <c r="AC13" t="s">
        <v>1401</v>
      </c>
      <c r="AE13" t="s">
        <v>1620</v>
      </c>
      <c r="AF13" t="s">
        <v>1362</v>
      </c>
      <c r="AG13" t="s">
        <v>1621</v>
      </c>
      <c r="AH13" t="s">
        <v>1364</v>
      </c>
      <c r="AI13" t="s">
        <v>1622</v>
      </c>
      <c r="AK13" t="s">
        <v>1444</v>
      </c>
      <c r="AL13" t="s">
        <v>1362</v>
      </c>
      <c r="AM13" t="s">
        <v>1445</v>
      </c>
      <c r="AN13" t="s">
        <v>1382</v>
      </c>
      <c r="AO13" t="s">
        <v>1446</v>
      </c>
    </row>
    <row r="14" spans="1:41">
      <c r="K14" t="s">
        <v>651</v>
      </c>
      <c r="L14" t="s">
        <v>652</v>
      </c>
      <c r="M14" t="s">
        <v>654</v>
      </c>
      <c r="N14" t="s">
        <v>1262</v>
      </c>
      <c r="P14" t="s">
        <v>278</v>
      </c>
      <c r="Q14" t="s">
        <v>227</v>
      </c>
      <c r="R14" t="s">
        <v>280</v>
      </c>
      <c r="S14" t="s">
        <v>225</v>
      </c>
      <c r="T14" t="s">
        <v>279</v>
      </c>
      <c r="U14" t="s">
        <v>272</v>
      </c>
      <c r="V14" t="s">
        <v>230</v>
      </c>
      <c r="W14" t="s">
        <v>281</v>
      </c>
      <c r="Y14" t="s">
        <v>1402</v>
      </c>
      <c r="Z14" t="s">
        <v>1362</v>
      </c>
      <c r="AA14" t="s">
        <v>1403</v>
      </c>
      <c r="AB14" t="s">
        <v>1364</v>
      </c>
      <c r="AC14" t="s">
        <v>1404</v>
      </c>
      <c r="AE14" t="s">
        <v>1688</v>
      </c>
      <c r="AF14" t="s">
        <v>1362</v>
      </c>
      <c r="AG14" t="s">
        <v>1689</v>
      </c>
      <c r="AH14" t="s">
        <v>1364</v>
      </c>
      <c r="AI14" t="s">
        <v>1622</v>
      </c>
    </row>
    <row r="15" spans="1:41">
      <c r="K15" t="s">
        <v>669</v>
      </c>
      <c r="L15" t="s">
        <v>670</v>
      </c>
      <c r="M15" t="s">
        <v>672</v>
      </c>
      <c r="N15" t="s">
        <v>1263</v>
      </c>
      <c r="P15" t="s">
        <v>282</v>
      </c>
      <c r="Q15" t="s">
        <v>227</v>
      </c>
      <c r="R15" t="s">
        <v>284</v>
      </c>
      <c r="S15" t="s">
        <v>225</v>
      </c>
      <c r="T15" t="s">
        <v>283</v>
      </c>
      <c r="U15" t="s">
        <v>272</v>
      </c>
      <c r="V15" t="s">
        <v>230</v>
      </c>
      <c r="W15" t="s">
        <v>285</v>
      </c>
      <c r="Y15" t="s">
        <v>1405</v>
      </c>
      <c r="Z15" t="s">
        <v>1362</v>
      </c>
      <c r="AA15" t="s">
        <v>1406</v>
      </c>
      <c r="AB15" t="s">
        <v>1407</v>
      </c>
      <c r="AC15" t="s">
        <v>1404</v>
      </c>
      <c r="AE15" t="s">
        <v>1500</v>
      </c>
      <c r="AF15" t="s">
        <v>1362</v>
      </c>
      <c r="AG15" t="s">
        <v>1501</v>
      </c>
      <c r="AH15" t="s">
        <v>1364</v>
      </c>
      <c r="AI15" t="s">
        <v>1502</v>
      </c>
    </row>
    <row r="16" spans="1:41">
      <c r="K16" t="s">
        <v>690</v>
      </c>
      <c r="L16" t="s">
        <v>691</v>
      </c>
      <c r="M16" t="s">
        <v>693</v>
      </c>
      <c r="N16" t="s">
        <v>1264</v>
      </c>
      <c r="P16" t="s">
        <v>286</v>
      </c>
      <c r="Q16" t="s">
        <v>227</v>
      </c>
      <c r="R16" t="s">
        <v>288</v>
      </c>
      <c r="S16" t="s">
        <v>225</v>
      </c>
      <c r="T16" t="s">
        <v>287</v>
      </c>
      <c r="U16" t="s">
        <v>272</v>
      </c>
      <c r="V16" t="s">
        <v>230</v>
      </c>
      <c r="W16" t="s">
        <v>289</v>
      </c>
      <c r="Y16" t="s">
        <v>1408</v>
      </c>
      <c r="Z16" t="s">
        <v>1362</v>
      </c>
      <c r="AA16" t="s">
        <v>1409</v>
      </c>
      <c r="AB16" t="s">
        <v>1364</v>
      </c>
      <c r="AC16" t="s">
        <v>1410</v>
      </c>
      <c r="AE16" t="s">
        <v>42</v>
      </c>
      <c r="AF16" t="s">
        <v>1362</v>
      </c>
      <c r="AG16" t="s">
        <v>1650</v>
      </c>
      <c r="AH16" t="s">
        <v>1364</v>
      </c>
      <c r="AI16" t="s">
        <v>1651</v>
      </c>
    </row>
    <row r="17" spans="11:35">
      <c r="K17" t="s">
        <v>695</v>
      </c>
      <c r="L17" t="s">
        <v>696</v>
      </c>
      <c r="M17" t="s">
        <v>698</v>
      </c>
      <c r="N17" t="s">
        <v>1265</v>
      </c>
      <c r="P17" t="s">
        <v>290</v>
      </c>
      <c r="Q17" t="s">
        <v>227</v>
      </c>
      <c r="R17" t="s">
        <v>292</v>
      </c>
      <c r="S17" t="s">
        <v>225</v>
      </c>
      <c r="T17" t="s">
        <v>291</v>
      </c>
      <c r="U17" t="s">
        <v>272</v>
      </c>
      <c r="V17" t="s">
        <v>230</v>
      </c>
      <c r="W17" t="s">
        <v>293</v>
      </c>
      <c r="Y17" t="s">
        <v>1411</v>
      </c>
      <c r="Z17" t="s">
        <v>1362</v>
      </c>
      <c r="AA17" t="s">
        <v>1412</v>
      </c>
      <c r="AB17" t="s">
        <v>1364</v>
      </c>
      <c r="AC17" t="s">
        <v>1413</v>
      </c>
      <c r="AE17" t="s">
        <v>1749</v>
      </c>
      <c r="AF17" t="s">
        <v>1362</v>
      </c>
      <c r="AG17" t="s">
        <v>1750</v>
      </c>
      <c r="AH17" t="s">
        <v>1364</v>
      </c>
      <c r="AI17" t="s">
        <v>1751</v>
      </c>
    </row>
    <row r="18" spans="11:35">
      <c r="K18" t="s">
        <v>700</v>
      </c>
      <c r="L18" t="s">
        <v>701</v>
      </c>
      <c r="M18" t="s">
        <v>703</v>
      </c>
      <c r="N18" t="s">
        <v>1266</v>
      </c>
      <c r="P18" t="s">
        <v>294</v>
      </c>
      <c r="Q18" t="s">
        <v>227</v>
      </c>
      <c r="R18" t="s">
        <v>296</v>
      </c>
      <c r="S18" t="s">
        <v>225</v>
      </c>
      <c r="T18" t="s">
        <v>295</v>
      </c>
      <c r="U18" t="s">
        <v>272</v>
      </c>
      <c r="V18" t="s">
        <v>230</v>
      </c>
      <c r="W18" t="s">
        <v>297</v>
      </c>
      <c r="Y18" t="s">
        <v>1414</v>
      </c>
      <c r="Z18" t="s">
        <v>1362</v>
      </c>
      <c r="AA18" t="s">
        <v>1415</v>
      </c>
      <c r="AB18" t="s">
        <v>1364</v>
      </c>
      <c r="AC18" t="s">
        <v>1416</v>
      </c>
      <c r="AE18" t="s">
        <v>1444</v>
      </c>
      <c r="AF18" t="s">
        <v>1362</v>
      </c>
      <c r="AG18" t="s">
        <v>1445</v>
      </c>
      <c r="AH18" t="s">
        <v>1382</v>
      </c>
      <c r="AI18" t="s">
        <v>1446</v>
      </c>
    </row>
    <row r="19" spans="11:35">
      <c r="K19" t="s">
        <v>705</v>
      </c>
      <c r="L19" t="s">
        <v>706</v>
      </c>
      <c r="M19" t="s">
        <v>708</v>
      </c>
      <c r="N19" t="s">
        <v>1267</v>
      </c>
      <c r="P19" t="s">
        <v>298</v>
      </c>
      <c r="Q19" t="s">
        <v>227</v>
      </c>
      <c r="R19" t="s">
        <v>300</v>
      </c>
      <c r="S19" t="s">
        <v>225</v>
      </c>
      <c r="T19" t="s">
        <v>299</v>
      </c>
      <c r="U19" t="s">
        <v>272</v>
      </c>
      <c r="V19" t="s">
        <v>230</v>
      </c>
      <c r="W19" t="s">
        <v>301</v>
      </c>
      <c r="Y19" t="s">
        <v>1417</v>
      </c>
      <c r="Z19" t="s">
        <v>1362</v>
      </c>
      <c r="AA19" t="s">
        <v>1418</v>
      </c>
      <c r="AB19" t="s">
        <v>1419</v>
      </c>
      <c r="AC19" t="s">
        <v>1420</v>
      </c>
      <c r="AE19" t="s">
        <v>1514</v>
      </c>
      <c r="AF19" t="s">
        <v>1362</v>
      </c>
      <c r="AG19" t="s">
        <v>1515</v>
      </c>
      <c r="AH19" t="s">
        <v>1382</v>
      </c>
      <c r="AI19" t="s">
        <v>1392</v>
      </c>
    </row>
    <row r="20" spans="11:35">
      <c r="K20" t="s">
        <v>710</v>
      </c>
      <c r="L20" t="s">
        <v>711</v>
      </c>
      <c r="M20" t="s">
        <v>713</v>
      </c>
      <c r="N20" t="s">
        <v>1268</v>
      </c>
      <c r="P20" t="s">
        <v>302</v>
      </c>
      <c r="Q20" t="s">
        <v>227</v>
      </c>
      <c r="R20" t="s">
        <v>305</v>
      </c>
      <c r="S20" t="s">
        <v>225</v>
      </c>
      <c r="T20" t="s">
        <v>303</v>
      </c>
      <c r="U20" t="s">
        <v>304</v>
      </c>
      <c r="V20" t="s">
        <v>230</v>
      </c>
      <c r="W20" t="s">
        <v>306</v>
      </c>
      <c r="Y20" t="s">
        <v>1421</v>
      </c>
      <c r="Z20" t="s">
        <v>1362</v>
      </c>
      <c r="AA20" t="s">
        <v>1422</v>
      </c>
      <c r="AB20" t="s">
        <v>1382</v>
      </c>
      <c r="AC20" t="s">
        <v>1423</v>
      </c>
    </row>
    <row r="21" spans="11:35">
      <c r="K21" t="s">
        <v>715</v>
      </c>
      <c r="L21" t="s">
        <v>716</v>
      </c>
      <c r="M21" t="s">
        <v>718</v>
      </c>
      <c r="N21" t="s">
        <v>1269</v>
      </c>
      <c r="P21" t="s">
        <v>307</v>
      </c>
      <c r="Q21" t="s">
        <v>227</v>
      </c>
      <c r="R21" t="s">
        <v>309</v>
      </c>
      <c r="S21" t="s">
        <v>225</v>
      </c>
      <c r="T21" t="s">
        <v>308</v>
      </c>
      <c r="U21" t="s">
        <v>304</v>
      </c>
      <c r="V21" t="s">
        <v>230</v>
      </c>
      <c r="W21" t="s">
        <v>310</v>
      </c>
      <c r="Y21" t="s">
        <v>1424</v>
      </c>
      <c r="Z21" t="s">
        <v>1362</v>
      </c>
      <c r="AA21" t="s">
        <v>1425</v>
      </c>
      <c r="AB21" t="s">
        <v>1382</v>
      </c>
      <c r="AC21" t="s">
        <v>1426</v>
      </c>
    </row>
    <row r="22" spans="11:35">
      <c r="K22" t="s">
        <v>720</v>
      </c>
      <c r="L22" t="s">
        <v>721</v>
      </c>
      <c r="M22" t="s">
        <v>723</v>
      </c>
      <c r="N22" t="s">
        <v>1270</v>
      </c>
      <c r="P22" t="s">
        <v>311</v>
      </c>
      <c r="Q22" t="s">
        <v>227</v>
      </c>
      <c r="R22" t="s">
        <v>313</v>
      </c>
      <c r="S22" t="s">
        <v>225</v>
      </c>
      <c r="T22" t="s">
        <v>312</v>
      </c>
      <c r="U22" t="s">
        <v>304</v>
      </c>
      <c r="V22" t="s">
        <v>230</v>
      </c>
      <c r="W22" t="s">
        <v>314</v>
      </c>
      <c r="Y22" t="s">
        <v>1427</v>
      </c>
      <c r="Z22" t="s">
        <v>1362</v>
      </c>
      <c r="AA22" t="s">
        <v>1428</v>
      </c>
      <c r="AB22" t="s">
        <v>1364</v>
      </c>
      <c r="AC22" t="s">
        <v>1383</v>
      </c>
    </row>
    <row r="23" spans="11:35">
      <c r="K23" t="s">
        <v>730</v>
      </c>
      <c r="L23" t="s">
        <v>731</v>
      </c>
      <c r="M23" t="s">
        <v>733</v>
      </c>
      <c r="N23" t="s">
        <v>1271</v>
      </c>
      <c r="P23" t="s">
        <v>315</v>
      </c>
      <c r="Q23" t="s">
        <v>227</v>
      </c>
      <c r="R23" t="s">
        <v>317</v>
      </c>
      <c r="S23" t="s">
        <v>225</v>
      </c>
      <c r="T23" t="s">
        <v>316</v>
      </c>
      <c r="U23" t="s">
        <v>311</v>
      </c>
      <c r="V23" t="s">
        <v>230</v>
      </c>
      <c r="W23" t="s">
        <v>318</v>
      </c>
      <c r="Y23" t="s">
        <v>1429</v>
      </c>
      <c r="Z23" t="s">
        <v>1362</v>
      </c>
      <c r="AA23" t="s">
        <v>1430</v>
      </c>
      <c r="AB23" t="s">
        <v>1364</v>
      </c>
      <c r="AC23" t="s">
        <v>1431</v>
      </c>
    </row>
    <row r="24" spans="11:35">
      <c r="K24" t="s">
        <v>735</v>
      </c>
      <c r="L24" t="s">
        <v>736</v>
      </c>
      <c r="M24" t="s">
        <v>738</v>
      </c>
      <c r="N24" t="s">
        <v>1272</v>
      </c>
      <c r="P24" t="s">
        <v>319</v>
      </c>
      <c r="Q24" t="s">
        <v>227</v>
      </c>
      <c r="R24" t="s">
        <v>321</v>
      </c>
      <c r="S24" t="s">
        <v>225</v>
      </c>
      <c r="T24" t="s">
        <v>320</v>
      </c>
      <c r="U24" t="s">
        <v>311</v>
      </c>
      <c r="V24" t="s">
        <v>230</v>
      </c>
      <c r="W24" t="s">
        <v>322</v>
      </c>
      <c r="Y24" t="s">
        <v>1432</v>
      </c>
      <c r="Z24" t="s">
        <v>1362</v>
      </c>
      <c r="AA24" t="s">
        <v>1433</v>
      </c>
      <c r="AB24" t="s">
        <v>1364</v>
      </c>
      <c r="AC24" t="s">
        <v>1416</v>
      </c>
    </row>
    <row r="25" spans="11:35">
      <c r="K25" t="s">
        <v>740</v>
      </c>
      <c r="L25" t="s">
        <v>741</v>
      </c>
      <c r="M25" t="s">
        <v>743</v>
      </c>
      <c r="N25" t="s">
        <v>1273</v>
      </c>
      <c r="P25" t="s">
        <v>323</v>
      </c>
      <c r="Q25" t="s">
        <v>227</v>
      </c>
      <c r="R25" t="s">
        <v>325</v>
      </c>
      <c r="S25" t="s">
        <v>225</v>
      </c>
      <c r="T25" t="s">
        <v>324</v>
      </c>
      <c r="U25" t="s">
        <v>304</v>
      </c>
      <c r="V25" t="s">
        <v>230</v>
      </c>
      <c r="W25" t="s">
        <v>326</v>
      </c>
      <c r="Y25" t="s">
        <v>1434</v>
      </c>
      <c r="Z25" t="s">
        <v>1362</v>
      </c>
      <c r="AA25" t="s">
        <v>1435</v>
      </c>
      <c r="AB25" t="s">
        <v>1364</v>
      </c>
      <c r="AC25" t="s">
        <v>1436</v>
      </c>
    </row>
    <row r="26" spans="11:35">
      <c r="K26" t="s">
        <v>745</v>
      </c>
      <c r="L26" t="s">
        <v>746</v>
      </c>
      <c r="M26" t="s">
        <v>748</v>
      </c>
      <c r="N26" t="s">
        <v>1274</v>
      </c>
      <c r="P26" t="s">
        <v>327</v>
      </c>
      <c r="Q26" t="s">
        <v>227</v>
      </c>
      <c r="R26" t="s">
        <v>329</v>
      </c>
      <c r="S26" t="s">
        <v>225</v>
      </c>
      <c r="T26" t="s">
        <v>328</v>
      </c>
      <c r="U26" t="s">
        <v>304</v>
      </c>
      <c r="V26" t="s">
        <v>230</v>
      </c>
      <c r="W26" t="s">
        <v>330</v>
      </c>
      <c r="Y26" t="s">
        <v>1437</v>
      </c>
      <c r="Z26" t="s">
        <v>1362</v>
      </c>
      <c r="AA26" t="s">
        <v>1438</v>
      </c>
      <c r="AB26" t="s">
        <v>1364</v>
      </c>
    </row>
    <row r="27" spans="11:35">
      <c r="K27" t="s">
        <v>849</v>
      </c>
      <c r="L27" t="s">
        <v>850</v>
      </c>
      <c r="M27" t="s">
        <v>852</v>
      </c>
      <c r="N27" t="s">
        <v>1275</v>
      </c>
      <c r="P27" t="s">
        <v>331</v>
      </c>
      <c r="Q27" t="s">
        <v>227</v>
      </c>
      <c r="R27" t="s">
        <v>280</v>
      </c>
      <c r="S27" t="s">
        <v>225</v>
      </c>
      <c r="T27" t="s">
        <v>332</v>
      </c>
      <c r="U27" t="s">
        <v>304</v>
      </c>
      <c r="V27" t="s">
        <v>230</v>
      </c>
      <c r="W27" t="s">
        <v>333</v>
      </c>
      <c r="Y27" t="s">
        <v>1439</v>
      </c>
      <c r="Z27" t="s">
        <v>1362</v>
      </c>
      <c r="AA27" t="s">
        <v>1440</v>
      </c>
      <c r="AB27" t="s">
        <v>1364</v>
      </c>
      <c r="AC27" t="s">
        <v>1441</v>
      </c>
    </row>
    <row r="28" spans="11:35">
      <c r="K28" t="s">
        <v>854</v>
      </c>
      <c r="L28" t="s">
        <v>855</v>
      </c>
      <c r="M28" t="s">
        <v>857</v>
      </c>
      <c r="N28" t="s">
        <v>1276</v>
      </c>
      <c r="P28" t="s">
        <v>334</v>
      </c>
      <c r="Q28" t="s">
        <v>227</v>
      </c>
      <c r="R28" t="s">
        <v>336</v>
      </c>
      <c r="S28" t="s">
        <v>225</v>
      </c>
      <c r="T28" t="s">
        <v>335</v>
      </c>
      <c r="U28" t="s">
        <v>304</v>
      </c>
      <c r="V28" t="s">
        <v>230</v>
      </c>
      <c r="W28" t="s">
        <v>337</v>
      </c>
      <c r="Y28" t="s">
        <v>1442</v>
      </c>
      <c r="Z28" t="s">
        <v>1362</v>
      </c>
      <c r="AA28" t="s">
        <v>1443</v>
      </c>
      <c r="AB28" t="s">
        <v>1419</v>
      </c>
      <c r="AC28" t="s">
        <v>1420</v>
      </c>
    </row>
    <row r="29" spans="11:35">
      <c r="K29" t="s">
        <v>864</v>
      </c>
      <c r="L29" t="s">
        <v>865</v>
      </c>
      <c r="M29" t="s">
        <v>867</v>
      </c>
      <c r="N29" t="s">
        <v>1277</v>
      </c>
      <c r="P29" t="s">
        <v>338</v>
      </c>
      <c r="Q29" t="s">
        <v>227</v>
      </c>
      <c r="R29" t="s">
        <v>340</v>
      </c>
      <c r="S29" t="s">
        <v>225</v>
      </c>
      <c r="T29" t="s">
        <v>339</v>
      </c>
      <c r="U29" t="s">
        <v>304</v>
      </c>
      <c r="V29" t="s">
        <v>230</v>
      </c>
      <c r="W29" t="s">
        <v>341</v>
      </c>
      <c r="Y29" t="s">
        <v>1444</v>
      </c>
      <c r="Z29" t="s">
        <v>1362</v>
      </c>
      <c r="AA29" t="s">
        <v>1445</v>
      </c>
      <c r="AB29" t="s">
        <v>1382</v>
      </c>
      <c r="AC29" t="s">
        <v>1446</v>
      </c>
    </row>
    <row r="30" spans="11:35">
      <c r="K30" t="s">
        <v>877</v>
      </c>
      <c r="L30" t="s">
        <v>878</v>
      </c>
      <c r="M30" t="s">
        <v>880</v>
      </c>
      <c r="N30" t="s">
        <v>1278</v>
      </c>
      <c r="P30" t="s">
        <v>342</v>
      </c>
      <c r="Q30" t="s">
        <v>227</v>
      </c>
      <c r="R30" t="s">
        <v>344</v>
      </c>
      <c r="S30" t="s">
        <v>225</v>
      </c>
      <c r="T30" t="s">
        <v>343</v>
      </c>
      <c r="U30" t="s">
        <v>304</v>
      </c>
      <c r="V30" t="s">
        <v>230</v>
      </c>
      <c r="W30" t="s">
        <v>345</v>
      </c>
      <c r="Y30" t="s">
        <v>1447</v>
      </c>
      <c r="Z30" t="s">
        <v>1362</v>
      </c>
      <c r="AA30" t="s">
        <v>1448</v>
      </c>
      <c r="AB30" t="s">
        <v>1364</v>
      </c>
      <c r="AC30" t="s">
        <v>1383</v>
      </c>
    </row>
    <row r="31" spans="11:35">
      <c r="K31" t="s">
        <v>882</v>
      </c>
      <c r="L31" t="s">
        <v>883</v>
      </c>
      <c r="M31" t="s">
        <v>885</v>
      </c>
      <c r="N31" t="s">
        <v>1279</v>
      </c>
      <c r="P31" t="s">
        <v>346</v>
      </c>
      <c r="Q31" t="s">
        <v>227</v>
      </c>
      <c r="R31" t="s">
        <v>231</v>
      </c>
      <c r="S31" t="s">
        <v>225</v>
      </c>
      <c r="T31" t="s">
        <v>347</v>
      </c>
      <c r="U31" t="s">
        <v>342</v>
      </c>
      <c r="V31" t="s">
        <v>230</v>
      </c>
      <c r="W31" t="s">
        <v>348</v>
      </c>
      <c r="Y31" t="s">
        <v>1449</v>
      </c>
      <c r="Z31" t="s">
        <v>1362</v>
      </c>
      <c r="AA31" t="s">
        <v>1450</v>
      </c>
      <c r="AC31" t="s">
        <v>1451</v>
      </c>
    </row>
    <row r="32" spans="11:35">
      <c r="K32" t="s">
        <v>887</v>
      </c>
      <c r="L32" t="s">
        <v>888</v>
      </c>
      <c r="M32" t="s">
        <v>890</v>
      </c>
      <c r="N32" t="s">
        <v>1280</v>
      </c>
      <c r="P32" t="s">
        <v>349</v>
      </c>
      <c r="Q32" t="s">
        <v>227</v>
      </c>
      <c r="R32" t="s">
        <v>236</v>
      </c>
      <c r="S32" t="s">
        <v>225</v>
      </c>
      <c r="T32" t="s">
        <v>350</v>
      </c>
      <c r="U32" t="s">
        <v>342</v>
      </c>
      <c r="V32" t="s">
        <v>230</v>
      </c>
      <c r="W32" t="s">
        <v>351</v>
      </c>
      <c r="Y32" t="s">
        <v>1452</v>
      </c>
      <c r="Z32" t="s">
        <v>1362</v>
      </c>
      <c r="AA32" t="s">
        <v>1453</v>
      </c>
      <c r="AB32" t="s">
        <v>1364</v>
      </c>
      <c r="AC32" t="s">
        <v>1454</v>
      </c>
    </row>
    <row r="33" spans="11:29">
      <c r="K33" t="s">
        <v>906</v>
      </c>
      <c r="L33" t="s">
        <v>907</v>
      </c>
      <c r="M33" t="s">
        <v>909</v>
      </c>
      <c r="N33" t="s">
        <v>1281</v>
      </c>
      <c r="P33" t="s">
        <v>352</v>
      </c>
      <c r="Q33" t="s">
        <v>227</v>
      </c>
      <c r="R33" t="s">
        <v>242</v>
      </c>
      <c r="S33" t="s">
        <v>225</v>
      </c>
      <c r="T33" t="s">
        <v>353</v>
      </c>
      <c r="U33" t="s">
        <v>342</v>
      </c>
      <c r="V33" t="s">
        <v>230</v>
      </c>
      <c r="W33" t="s">
        <v>354</v>
      </c>
      <c r="Y33" t="s">
        <v>1455</v>
      </c>
      <c r="Z33" t="s">
        <v>1362</v>
      </c>
      <c r="AA33" t="s">
        <v>1456</v>
      </c>
      <c r="AB33" t="s">
        <v>1364</v>
      </c>
      <c r="AC33" t="s">
        <v>1457</v>
      </c>
    </row>
    <row r="34" spans="11:29">
      <c r="K34" t="s">
        <v>916</v>
      </c>
      <c r="L34" t="s">
        <v>917</v>
      </c>
      <c r="M34" t="s">
        <v>919</v>
      </c>
      <c r="N34" t="s">
        <v>1282</v>
      </c>
      <c r="P34" t="s">
        <v>355</v>
      </c>
      <c r="Q34" t="s">
        <v>227</v>
      </c>
      <c r="R34" t="s">
        <v>247</v>
      </c>
      <c r="S34" t="s">
        <v>225</v>
      </c>
      <c r="T34" t="s">
        <v>356</v>
      </c>
      <c r="U34" t="s">
        <v>342</v>
      </c>
      <c r="V34" t="s">
        <v>230</v>
      </c>
      <c r="W34" t="s">
        <v>357</v>
      </c>
      <c r="Y34" t="s">
        <v>17</v>
      </c>
      <c r="Z34" t="s">
        <v>1362</v>
      </c>
      <c r="AA34" t="s">
        <v>1458</v>
      </c>
      <c r="AB34" t="s">
        <v>1459</v>
      </c>
      <c r="AC34" t="s">
        <v>1460</v>
      </c>
    </row>
    <row r="35" spans="11:29">
      <c r="K35" t="s">
        <v>921</v>
      </c>
      <c r="L35" t="s">
        <v>922</v>
      </c>
      <c r="M35" t="s">
        <v>924</v>
      </c>
      <c r="N35" t="s">
        <v>1283</v>
      </c>
      <c r="P35" t="s">
        <v>358</v>
      </c>
      <c r="Q35" t="s">
        <v>227</v>
      </c>
      <c r="R35" t="s">
        <v>360</v>
      </c>
      <c r="S35" t="s">
        <v>225</v>
      </c>
      <c r="T35" t="s">
        <v>359</v>
      </c>
      <c r="U35" t="s">
        <v>342</v>
      </c>
      <c r="V35" t="s">
        <v>230</v>
      </c>
      <c r="W35" t="s">
        <v>361</v>
      </c>
      <c r="Y35" t="s">
        <v>1461</v>
      </c>
      <c r="Z35" t="s">
        <v>1462</v>
      </c>
      <c r="AA35" t="s">
        <v>1463</v>
      </c>
      <c r="AB35" t="s">
        <v>1464</v>
      </c>
    </row>
    <row r="36" spans="11:29">
      <c r="K36" t="s">
        <v>926</v>
      </c>
      <c r="L36" t="s">
        <v>927</v>
      </c>
      <c r="M36" t="s">
        <v>929</v>
      </c>
      <c r="N36" t="s">
        <v>1284</v>
      </c>
      <c r="P36" t="s">
        <v>362</v>
      </c>
      <c r="Q36" t="s">
        <v>227</v>
      </c>
      <c r="R36" t="s">
        <v>255</v>
      </c>
      <c r="S36" t="s">
        <v>225</v>
      </c>
      <c r="T36" t="s">
        <v>363</v>
      </c>
      <c r="U36" t="s">
        <v>342</v>
      </c>
      <c r="V36" t="s">
        <v>230</v>
      </c>
      <c r="W36" t="s">
        <v>364</v>
      </c>
      <c r="Y36" t="s">
        <v>1465</v>
      </c>
      <c r="Z36" t="s">
        <v>1362</v>
      </c>
      <c r="AA36" t="s">
        <v>1466</v>
      </c>
      <c r="AC36" t="s">
        <v>1467</v>
      </c>
    </row>
    <row r="37" spans="11:29">
      <c r="K37" t="s">
        <v>931</v>
      </c>
      <c r="L37" t="s">
        <v>932</v>
      </c>
      <c r="M37" t="s">
        <v>934</v>
      </c>
      <c r="N37" t="s">
        <v>1285</v>
      </c>
      <c r="P37" t="s">
        <v>365</v>
      </c>
      <c r="Q37" t="s">
        <v>227</v>
      </c>
      <c r="R37" t="s">
        <v>259</v>
      </c>
      <c r="S37" t="s">
        <v>225</v>
      </c>
      <c r="T37" t="s">
        <v>366</v>
      </c>
      <c r="U37" t="s">
        <v>342</v>
      </c>
      <c r="V37" t="s">
        <v>230</v>
      </c>
      <c r="W37" t="s">
        <v>367</v>
      </c>
      <c r="Y37" t="s">
        <v>1468</v>
      </c>
      <c r="Z37" t="s">
        <v>1462</v>
      </c>
      <c r="AA37" t="s">
        <v>1469</v>
      </c>
      <c r="AB37" t="s">
        <v>1464</v>
      </c>
      <c r="AC37" t="s">
        <v>1470</v>
      </c>
    </row>
    <row r="38" spans="11:29">
      <c r="K38" t="s">
        <v>946</v>
      </c>
      <c r="L38" t="s">
        <v>947</v>
      </c>
      <c r="M38" t="s">
        <v>949</v>
      </c>
      <c r="N38" t="s">
        <v>1286</v>
      </c>
      <c r="P38" t="s">
        <v>368</v>
      </c>
      <c r="Q38" t="s">
        <v>227</v>
      </c>
      <c r="R38" t="s">
        <v>263</v>
      </c>
      <c r="S38" t="s">
        <v>225</v>
      </c>
      <c r="T38" t="s">
        <v>369</v>
      </c>
      <c r="U38" t="s">
        <v>342</v>
      </c>
      <c r="V38" t="s">
        <v>230</v>
      </c>
      <c r="W38" t="s">
        <v>370</v>
      </c>
      <c r="Y38" t="s">
        <v>1471</v>
      </c>
      <c r="Z38" t="s">
        <v>1362</v>
      </c>
      <c r="AA38" t="s">
        <v>1472</v>
      </c>
      <c r="AB38" t="s">
        <v>1364</v>
      </c>
      <c r="AC38" t="s">
        <v>1451</v>
      </c>
    </row>
    <row r="39" spans="11:29">
      <c r="K39" t="s">
        <v>951</v>
      </c>
      <c r="L39" t="s">
        <v>952</v>
      </c>
      <c r="M39" t="s">
        <v>954</v>
      </c>
      <c r="N39" t="s">
        <v>1287</v>
      </c>
      <c r="P39" t="s">
        <v>371</v>
      </c>
      <c r="Q39" t="s">
        <v>227</v>
      </c>
      <c r="R39" t="s">
        <v>373</v>
      </c>
      <c r="S39" t="s">
        <v>225</v>
      </c>
      <c r="T39" t="s">
        <v>372</v>
      </c>
      <c r="U39" t="s">
        <v>342</v>
      </c>
      <c r="V39" t="s">
        <v>230</v>
      </c>
      <c r="W39" t="s">
        <v>374</v>
      </c>
      <c r="Y39" t="s">
        <v>1473</v>
      </c>
      <c r="Z39" t="s">
        <v>1362</v>
      </c>
      <c r="AA39" t="s">
        <v>1474</v>
      </c>
      <c r="AB39" t="s">
        <v>1364</v>
      </c>
      <c r="AC39" t="s">
        <v>1475</v>
      </c>
    </row>
    <row r="40" spans="11:29">
      <c r="K40" t="s">
        <v>956</v>
      </c>
      <c r="L40" t="s">
        <v>957</v>
      </c>
      <c r="M40" t="s">
        <v>959</v>
      </c>
      <c r="N40" t="s">
        <v>1288</v>
      </c>
      <c r="P40" t="s">
        <v>375</v>
      </c>
      <c r="Q40" t="s">
        <v>227</v>
      </c>
      <c r="R40" t="s">
        <v>377</v>
      </c>
      <c r="S40" t="s">
        <v>225</v>
      </c>
      <c r="T40" t="s">
        <v>376</v>
      </c>
      <c r="U40" t="s">
        <v>304</v>
      </c>
      <c r="V40" t="s">
        <v>230</v>
      </c>
      <c r="W40" t="s">
        <v>378</v>
      </c>
      <c r="Y40" t="s">
        <v>1476</v>
      </c>
      <c r="Z40" t="s">
        <v>1362</v>
      </c>
      <c r="AA40" t="s">
        <v>1477</v>
      </c>
      <c r="AB40" t="s">
        <v>1364</v>
      </c>
      <c r="AC40" t="s">
        <v>1478</v>
      </c>
    </row>
    <row r="41" spans="11:29">
      <c r="K41" t="s">
        <v>966</v>
      </c>
      <c r="L41" t="s">
        <v>967</v>
      </c>
      <c r="M41" t="s">
        <v>969</v>
      </c>
      <c r="N41" t="s">
        <v>1289</v>
      </c>
      <c r="P41" t="s">
        <v>379</v>
      </c>
      <c r="Q41" t="s">
        <v>227</v>
      </c>
      <c r="R41" t="s">
        <v>381</v>
      </c>
      <c r="S41" t="s">
        <v>225</v>
      </c>
      <c r="T41" t="s">
        <v>380</v>
      </c>
      <c r="U41" t="s">
        <v>304</v>
      </c>
      <c r="V41" t="s">
        <v>230</v>
      </c>
      <c r="W41" t="s">
        <v>382</v>
      </c>
      <c r="Y41" t="s">
        <v>1479</v>
      </c>
      <c r="Z41" t="s">
        <v>1362</v>
      </c>
      <c r="AA41" t="s">
        <v>1480</v>
      </c>
      <c r="AB41" t="s">
        <v>1364</v>
      </c>
      <c r="AC41" t="s">
        <v>1481</v>
      </c>
    </row>
    <row r="42" spans="11:29">
      <c r="K42" t="s">
        <v>986</v>
      </c>
      <c r="L42" t="s">
        <v>987</v>
      </c>
      <c r="M42" t="s">
        <v>989</v>
      </c>
      <c r="N42" t="s">
        <v>1290</v>
      </c>
      <c r="P42" t="s">
        <v>383</v>
      </c>
      <c r="Q42" t="s">
        <v>227</v>
      </c>
      <c r="R42" t="s">
        <v>385</v>
      </c>
      <c r="S42" t="s">
        <v>225</v>
      </c>
      <c r="T42" t="s">
        <v>384</v>
      </c>
      <c r="U42" t="s">
        <v>304</v>
      </c>
      <c r="V42" t="s">
        <v>230</v>
      </c>
      <c r="W42" t="s">
        <v>386</v>
      </c>
      <c r="Y42" t="s">
        <v>1482</v>
      </c>
      <c r="Z42" t="s">
        <v>1362</v>
      </c>
      <c r="AA42" t="s">
        <v>1483</v>
      </c>
      <c r="AB42" t="s">
        <v>1484</v>
      </c>
      <c r="AC42" t="s">
        <v>1370</v>
      </c>
    </row>
    <row r="43" spans="11:29">
      <c r="K43" t="s">
        <v>991</v>
      </c>
      <c r="L43" t="s">
        <v>992</v>
      </c>
      <c r="M43" t="s">
        <v>994</v>
      </c>
      <c r="N43" t="s">
        <v>1291</v>
      </c>
      <c r="P43" t="s">
        <v>387</v>
      </c>
      <c r="Q43" t="s">
        <v>227</v>
      </c>
      <c r="R43" t="s">
        <v>373</v>
      </c>
      <c r="S43" t="s">
        <v>225</v>
      </c>
      <c r="T43" t="s">
        <v>388</v>
      </c>
      <c r="U43" t="s">
        <v>304</v>
      </c>
      <c r="V43" t="s">
        <v>230</v>
      </c>
      <c r="W43" t="s">
        <v>389</v>
      </c>
      <c r="Y43" t="s">
        <v>1485</v>
      </c>
      <c r="Z43" t="s">
        <v>1362</v>
      </c>
      <c r="AA43" t="s">
        <v>1486</v>
      </c>
      <c r="AB43" t="s">
        <v>1364</v>
      </c>
      <c r="AC43" t="s">
        <v>1487</v>
      </c>
    </row>
    <row r="44" spans="11:29">
      <c r="K44" t="s">
        <v>996</v>
      </c>
      <c r="L44" t="s">
        <v>997</v>
      </c>
      <c r="M44" t="s">
        <v>999</v>
      </c>
      <c r="N44" t="s">
        <v>1292</v>
      </c>
      <c r="P44" t="s">
        <v>390</v>
      </c>
      <c r="Q44" t="s">
        <v>391</v>
      </c>
      <c r="R44" t="s">
        <v>394</v>
      </c>
      <c r="S44" t="s">
        <v>225</v>
      </c>
      <c r="T44" t="s">
        <v>392</v>
      </c>
      <c r="U44" t="s">
        <v>393</v>
      </c>
      <c r="V44" t="s">
        <v>230</v>
      </c>
      <c r="W44" t="s">
        <v>395</v>
      </c>
      <c r="Y44" t="s">
        <v>1488</v>
      </c>
      <c r="Z44" t="s">
        <v>1362</v>
      </c>
      <c r="AA44" t="s">
        <v>1489</v>
      </c>
      <c r="AB44" t="s">
        <v>1382</v>
      </c>
      <c r="AC44" t="s">
        <v>1490</v>
      </c>
    </row>
    <row r="45" spans="11:29">
      <c r="K45" t="s">
        <v>1011</v>
      </c>
      <c r="L45" t="s">
        <v>1012</v>
      </c>
      <c r="M45" t="s">
        <v>1014</v>
      </c>
      <c r="N45" t="s">
        <v>1293</v>
      </c>
      <c r="P45" t="s">
        <v>396</v>
      </c>
      <c r="Q45" t="s">
        <v>397</v>
      </c>
      <c r="S45" t="s">
        <v>225</v>
      </c>
      <c r="T45" t="s">
        <v>398</v>
      </c>
      <c r="U45" t="s">
        <v>393</v>
      </c>
      <c r="V45" t="s">
        <v>230</v>
      </c>
      <c r="W45" t="s">
        <v>399</v>
      </c>
      <c r="Y45" t="s">
        <v>1491</v>
      </c>
      <c r="Z45" t="s">
        <v>1362</v>
      </c>
      <c r="AA45" t="s">
        <v>1492</v>
      </c>
      <c r="AB45" t="s">
        <v>1364</v>
      </c>
      <c r="AC45" t="s">
        <v>1493</v>
      </c>
    </row>
    <row r="46" spans="11:29">
      <c r="K46" t="s">
        <v>1025</v>
      </c>
      <c r="L46" t="s">
        <v>1026</v>
      </c>
      <c r="M46" t="s">
        <v>1028</v>
      </c>
      <c r="N46" t="s">
        <v>1294</v>
      </c>
      <c r="P46" t="s">
        <v>400</v>
      </c>
      <c r="Q46" t="s">
        <v>401</v>
      </c>
      <c r="R46" t="s">
        <v>403</v>
      </c>
      <c r="S46" t="s">
        <v>225</v>
      </c>
      <c r="T46" t="s">
        <v>402</v>
      </c>
      <c r="U46" t="s">
        <v>393</v>
      </c>
      <c r="V46" t="s">
        <v>230</v>
      </c>
      <c r="W46" t="s">
        <v>404</v>
      </c>
      <c r="Y46" t="s">
        <v>1494</v>
      </c>
      <c r="Z46" t="s">
        <v>1362</v>
      </c>
      <c r="AA46" t="s">
        <v>1495</v>
      </c>
      <c r="AB46" t="s">
        <v>1364</v>
      </c>
      <c r="AC46" t="s">
        <v>1496</v>
      </c>
    </row>
    <row r="47" spans="11:29">
      <c r="K47" t="s">
        <v>1030</v>
      </c>
      <c r="L47" t="s">
        <v>1031</v>
      </c>
      <c r="M47" t="s">
        <v>1033</v>
      </c>
      <c r="N47" t="s">
        <v>1295</v>
      </c>
      <c r="P47" t="s">
        <v>405</v>
      </c>
      <c r="Q47" t="s">
        <v>227</v>
      </c>
      <c r="R47" t="s">
        <v>407</v>
      </c>
      <c r="S47" t="s">
        <v>225</v>
      </c>
      <c r="T47" t="s">
        <v>406</v>
      </c>
      <c r="U47" t="s">
        <v>307</v>
      </c>
      <c r="V47" t="s">
        <v>230</v>
      </c>
      <c r="W47" t="s">
        <v>408</v>
      </c>
      <c r="Y47" t="s">
        <v>1497</v>
      </c>
      <c r="Z47" t="s">
        <v>1362</v>
      </c>
      <c r="AA47" t="s">
        <v>1498</v>
      </c>
      <c r="AB47" t="s">
        <v>1364</v>
      </c>
      <c r="AC47" t="s">
        <v>1499</v>
      </c>
    </row>
    <row r="48" spans="11:29">
      <c r="K48" t="s">
        <v>1048</v>
      </c>
      <c r="L48" t="s">
        <v>1049</v>
      </c>
      <c r="M48" t="s">
        <v>1051</v>
      </c>
      <c r="N48" t="s">
        <v>1296</v>
      </c>
      <c r="P48" t="s">
        <v>409</v>
      </c>
      <c r="Q48" t="s">
        <v>227</v>
      </c>
      <c r="R48" t="s">
        <v>412</v>
      </c>
      <c r="S48" t="s">
        <v>225</v>
      </c>
      <c r="T48" t="s">
        <v>410</v>
      </c>
      <c r="U48" t="s">
        <v>411</v>
      </c>
      <c r="V48" t="s">
        <v>230</v>
      </c>
      <c r="W48" t="s">
        <v>413</v>
      </c>
      <c r="Y48" t="s">
        <v>1500</v>
      </c>
      <c r="Z48" t="s">
        <v>1362</v>
      </c>
      <c r="AA48" t="s">
        <v>1501</v>
      </c>
      <c r="AB48" t="s">
        <v>1364</v>
      </c>
      <c r="AC48" t="s">
        <v>1502</v>
      </c>
    </row>
    <row r="49" spans="11:29">
      <c r="K49" t="s">
        <v>1071</v>
      </c>
      <c r="L49" t="s">
        <v>1072</v>
      </c>
      <c r="M49" t="s">
        <v>1074</v>
      </c>
      <c r="N49" t="s">
        <v>1297</v>
      </c>
      <c r="P49" t="s">
        <v>414</v>
      </c>
      <c r="Q49" t="s">
        <v>227</v>
      </c>
      <c r="R49" t="s">
        <v>417</v>
      </c>
      <c r="S49" t="s">
        <v>225</v>
      </c>
      <c r="T49" t="s">
        <v>415</v>
      </c>
      <c r="U49" t="s">
        <v>416</v>
      </c>
      <c r="V49" t="s">
        <v>230</v>
      </c>
      <c r="W49" t="s">
        <v>418</v>
      </c>
      <c r="Y49" t="s">
        <v>1503</v>
      </c>
      <c r="Z49" t="s">
        <v>1362</v>
      </c>
      <c r="AA49" t="s">
        <v>1504</v>
      </c>
      <c r="AB49" t="s">
        <v>1364</v>
      </c>
      <c r="AC49" t="s">
        <v>1505</v>
      </c>
    </row>
    <row r="50" spans="11:29">
      <c r="K50" t="s">
        <v>1076</v>
      </c>
      <c r="L50" t="s">
        <v>1077</v>
      </c>
      <c r="M50" t="s">
        <v>1079</v>
      </c>
      <c r="N50" t="s">
        <v>1298</v>
      </c>
      <c r="P50" t="s">
        <v>419</v>
      </c>
      <c r="Q50" t="s">
        <v>227</v>
      </c>
      <c r="R50" t="s">
        <v>422</v>
      </c>
      <c r="S50" t="s">
        <v>225</v>
      </c>
      <c r="T50" t="s">
        <v>420</v>
      </c>
      <c r="U50" t="s">
        <v>421</v>
      </c>
      <c r="V50" t="s">
        <v>230</v>
      </c>
      <c r="W50" t="s">
        <v>423</v>
      </c>
      <c r="Y50" t="s">
        <v>1506</v>
      </c>
      <c r="Z50" t="s">
        <v>1462</v>
      </c>
      <c r="AA50" t="s">
        <v>1507</v>
      </c>
      <c r="AB50" t="s">
        <v>1464</v>
      </c>
      <c r="AC50" t="s">
        <v>1395</v>
      </c>
    </row>
    <row r="51" spans="11:29">
      <c r="K51" t="s">
        <v>1091</v>
      </c>
      <c r="L51" t="s">
        <v>1092</v>
      </c>
      <c r="M51" t="s">
        <v>1094</v>
      </c>
      <c r="N51" t="s">
        <v>1299</v>
      </c>
      <c r="P51" t="s">
        <v>424</v>
      </c>
      <c r="Q51" t="s">
        <v>425</v>
      </c>
      <c r="R51" t="s">
        <v>427</v>
      </c>
      <c r="S51" t="s">
        <v>225</v>
      </c>
      <c r="T51" t="s">
        <v>426</v>
      </c>
      <c r="U51" t="s">
        <v>393</v>
      </c>
      <c r="V51" t="s">
        <v>230</v>
      </c>
      <c r="W51" t="s">
        <v>428</v>
      </c>
      <c r="Y51" t="s">
        <v>1508</v>
      </c>
      <c r="Z51" t="s">
        <v>1362</v>
      </c>
      <c r="AA51" t="s">
        <v>1509</v>
      </c>
      <c r="AB51" t="s">
        <v>1364</v>
      </c>
      <c r="AC51" t="s">
        <v>1510</v>
      </c>
    </row>
    <row r="52" spans="11:29">
      <c r="K52" t="s">
        <v>1096</v>
      </c>
      <c r="L52" t="s">
        <v>1097</v>
      </c>
      <c r="M52" t="s">
        <v>1099</v>
      </c>
      <c r="N52" t="s">
        <v>1300</v>
      </c>
      <c r="P52" t="s">
        <v>429</v>
      </c>
      <c r="Q52" t="s">
        <v>227</v>
      </c>
      <c r="R52" t="s">
        <v>430</v>
      </c>
      <c r="S52" t="s">
        <v>225</v>
      </c>
      <c r="T52" t="s">
        <v>235</v>
      </c>
      <c r="U52" t="s">
        <v>234</v>
      </c>
      <c r="V52" t="s">
        <v>230</v>
      </c>
      <c r="W52" t="s">
        <v>431</v>
      </c>
      <c r="Y52" t="s">
        <v>1511</v>
      </c>
      <c r="Z52" t="s">
        <v>1362</v>
      </c>
      <c r="AA52" t="s">
        <v>1512</v>
      </c>
      <c r="AB52" t="s">
        <v>1364</v>
      </c>
      <c r="AC52" t="s">
        <v>1513</v>
      </c>
    </row>
    <row r="53" spans="11:29">
      <c r="K53" t="s">
        <v>1106</v>
      </c>
      <c r="L53" t="s">
        <v>1107</v>
      </c>
      <c r="M53" t="s">
        <v>1109</v>
      </c>
      <c r="N53" t="s">
        <v>1301</v>
      </c>
      <c r="P53" t="s">
        <v>432</v>
      </c>
      <c r="Q53" t="s">
        <v>227</v>
      </c>
      <c r="R53" t="s">
        <v>433</v>
      </c>
      <c r="S53" t="s">
        <v>225</v>
      </c>
      <c r="T53" t="s">
        <v>235</v>
      </c>
      <c r="U53" t="s">
        <v>234</v>
      </c>
      <c r="V53" t="s">
        <v>230</v>
      </c>
      <c r="W53" t="s">
        <v>434</v>
      </c>
      <c r="Y53" t="s">
        <v>1514</v>
      </c>
      <c r="Z53" t="s">
        <v>1362</v>
      </c>
      <c r="AA53" t="s">
        <v>1515</v>
      </c>
      <c r="AB53" t="s">
        <v>1382</v>
      </c>
      <c r="AC53" t="s">
        <v>1392</v>
      </c>
    </row>
    <row r="54" spans="11:29">
      <c r="K54" t="s">
        <v>1131</v>
      </c>
      <c r="L54" t="s">
        <v>1132</v>
      </c>
      <c r="M54" t="s">
        <v>1104</v>
      </c>
      <c r="N54" t="s">
        <v>1302</v>
      </c>
      <c r="P54" t="s">
        <v>435</v>
      </c>
      <c r="Q54" t="s">
        <v>227</v>
      </c>
      <c r="R54" t="s">
        <v>436</v>
      </c>
      <c r="S54" t="s">
        <v>225</v>
      </c>
      <c r="T54" t="s">
        <v>235</v>
      </c>
      <c r="U54" t="s">
        <v>234</v>
      </c>
      <c r="V54" t="s">
        <v>230</v>
      </c>
      <c r="W54" t="s">
        <v>437</v>
      </c>
      <c r="Y54" t="s">
        <v>1516</v>
      </c>
      <c r="Z54" t="s">
        <v>1462</v>
      </c>
      <c r="AA54" t="s">
        <v>1517</v>
      </c>
      <c r="AB54" t="s">
        <v>1464</v>
      </c>
      <c r="AC54" t="s">
        <v>1518</v>
      </c>
    </row>
    <row r="55" spans="11:29">
      <c r="K55" t="s">
        <v>1135</v>
      </c>
      <c r="L55" t="s">
        <v>1136</v>
      </c>
      <c r="M55" t="s">
        <v>1138</v>
      </c>
      <c r="N55" t="s">
        <v>1303</v>
      </c>
      <c r="P55" t="s">
        <v>438</v>
      </c>
      <c r="Q55" t="s">
        <v>227</v>
      </c>
      <c r="R55" t="s">
        <v>440</v>
      </c>
      <c r="S55" t="s">
        <v>225</v>
      </c>
      <c r="T55" t="s">
        <v>439</v>
      </c>
      <c r="U55" t="s">
        <v>416</v>
      </c>
      <c r="V55" t="s">
        <v>230</v>
      </c>
      <c r="W55" t="s">
        <v>441</v>
      </c>
      <c r="Y55" t="s">
        <v>1519</v>
      </c>
      <c r="Z55" t="s">
        <v>1362</v>
      </c>
      <c r="AA55" t="s">
        <v>1520</v>
      </c>
      <c r="AB55" t="s">
        <v>1364</v>
      </c>
      <c r="AC55" t="s">
        <v>1521</v>
      </c>
    </row>
    <row r="56" spans="11:29">
      <c r="K56" t="s">
        <v>1140</v>
      </c>
      <c r="L56" t="s">
        <v>1141</v>
      </c>
      <c r="M56" t="s">
        <v>1143</v>
      </c>
      <c r="N56" t="s">
        <v>1304</v>
      </c>
      <c r="P56" t="s">
        <v>442</v>
      </c>
      <c r="Q56" t="s">
        <v>227</v>
      </c>
      <c r="R56" t="s">
        <v>373</v>
      </c>
      <c r="S56" t="s">
        <v>225</v>
      </c>
      <c r="T56" t="s">
        <v>443</v>
      </c>
      <c r="U56" t="s">
        <v>229</v>
      </c>
      <c r="V56" t="s">
        <v>230</v>
      </c>
      <c r="W56" t="s">
        <v>444</v>
      </c>
      <c r="Y56" t="s">
        <v>1522</v>
      </c>
      <c r="Z56" t="s">
        <v>1462</v>
      </c>
      <c r="AA56" t="s">
        <v>1523</v>
      </c>
      <c r="AB56" t="s">
        <v>1464</v>
      </c>
      <c r="AC56" t="s">
        <v>1389</v>
      </c>
    </row>
    <row r="57" spans="11:29">
      <c r="K57" t="s">
        <v>1155</v>
      </c>
      <c r="L57" t="s">
        <v>1156</v>
      </c>
      <c r="M57" t="s">
        <v>1124</v>
      </c>
      <c r="N57" t="s">
        <v>1305</v>
      </c>
      <c r="P57" t="s">
        <v>445</v>
      </c>
      <c r="Q57" t="s">
        <v>446</v>
      </c>
      <c r="R57" t="s">
        <v>448</v>
      </c>
      <c r="S57" t="s">
        <v>225</v>
      </c>
      <c r="T57" t="s">
        <v>447</v>
      </c>
      <c r="U57" t="s">
        <v>393</v>
      </c>
      <c r="V57" t="s">
        <v>230</v>
      </c>
      <c r="W57" t="s">
        <v>449</v>
      </c>
      <c r="Y57" t="s">
        <v>1524</v>
      </c>
      <c r="Z57" t="s">
        <v>1362</v>
      </c>
      <c r="AA57" t="s">
        <v>1525</v>
      </c>
      <c r="AB57" t="s">
        <v>1382</v>
      </c>
      <c r="AC57" t="s">
        <v>1383</v>
      </c>
    </row>
    <row r="58" spans="11:29">
      <c r="K58" t="s">
        <v>1188</v>
      </c>
      <c r="L58" t="s">
        <v>1189</v>
      </c>
      <c r="M58" t="s">
        <v>1191</v>
      </c>
      <c r="N58" t="s">
        <v>1306</v>
      </c>
      <c r="P58" t="s">
        <v>450</v>
      </c>
      <c r="Q58" t="s">
        <v>227</v>
      </c>
      <c r="R58" t="s">
        <v>451</v>
      </c>
      <c r="S58" t="s">
        <v>225</v>
      </c>
      <c r="T58" t="s">
        <v>235</v>
      </c>
      <c r="U58" t="s">
        <v>234</v>
      </c>
      <c r="V58" t="s">
        <v>230</v>
      </c>
      <c r="W58" t="s">
        <v>452</v>
      </c>
      <c r="Y58" t="s">
        <v>1526</v>
      </c>
      <c r="Z58" t="s">
        <v>1362</v>
      </c>
      <c r="AA58" t="s">
        <v>1527</v>
      </c>
      <c r="AB58" t="s">
        <v>1364</v>
      </c>
      <c r="AC58" t="s">
        <v>1383</v>
      </c>
    </row>
    <row r="59" spans="11:29">
      <c r="K59" t="s">
        <v>1193</v>
      </c>
      <c r="L59" t="s">
        <v>1194</v>
      </c>
      <c r="M59" t="s">
        <v>1196</v>
      </c>
      <c r="N59" t="s">
        <v>1307</v>
      </c>
      <c r="P59" t="s">
        <v>453</v>
      </c>
      <c r="Q59" t="s">
        <v>227</v>
      </c>
      <c r="R59" t="s">
        <v>454</v>
      </c>
      <c r="S59" t="s">
        <v>225</v>
      </c>
      <c r="T59" t="s">
        <v>235</v>
      </c>
      <c r="U59" t="s">
        <v>234</v>
      </c>
      <c r="V59" t="s">
        <v>230</v>
      </c>
      <c r="W59" t="s">
        <v>455</v>
      </c>
      <c r="Y59" t="s">
        <v>1528</v>
      </c>
      <c r="Z59" t="s">
        <v>1362</v>
      </c>
      <c r="AA59" t="s">
        <v>1529</v>
      </c>
      <c r="AB59" t="s">
        <v>1364</v>
      </c>
      <c r="AC59" t="s">
        <v>1373</v>
      </c>
    </row>
    <row r="60" spans="11:29">
      <c r="K60" t="s">
        <v>1198</v>
      </c>
      <c r="L60" t="s">
        <v>1199</v>
      </c>
      <c r="M60" t="s">
        <v>1201</v>
      </c>
      <c r="N60" t="s">
        <v>1308</v>
      </c>
      <c r="P60" t="s">
        <v>456</v>
      </c>
      <c r="Q60" t="s">
        <v>457</v>
      </c>
      <c r="R60" t="s">
        <v>459</v>
      </c>
      <c r="S60" t="s">
        <v>225</v>
      </c>
      <c r="T60" t="s">
        <v>458</v>
      </c>
      <c r="U60" t="s">
        <v>393</v>
      </c>
      <c r="V60" t="s">
        <v>230</v>
      </c>
      <c r="W60" t="s">
        <v>460</v>
      </c>
      <c r="Y60" t="s">
        <v>1530</v>
      </c>
      <c r="Z60" t="s">
        <v>1362</v>
      </c>
      <c r="AA60" t="s">
        <v>1531</v>
      </c>
      <c r="AB60" t="s">
        <v>1407</v>
      </c>
      <c r="AC60" t="s">
        <v>1532</v>
      </c>
    </row>
    <row r="61" spans="11:29">
      <c r="K61" t="s">
        <v>1233</v>
      </c>
      <c r="L61" t="s">
        <v>1234</v>
      </c>
      <c r="M61" t="s">
        <v>1236</v>
      </c>
      <c r="N61" t="s">
        <v>1309</v>
      </c>
      <c r="P61" t="s">
        <v>461</v>
      </c>
      <c r="Q61" t="s">
        <v>227</v>
      </c>
      <c r="R61" t="s">
        <v>463</v>
      </c>
      <c r="S61" t="s">
        <v>225</v>
      </c>
      <c r="T61" t="s">
        <v>462</v>
      </c>
      <c r="U61" t="s">
        <v>304</v>
      </c>
      <c r="V61" t="s">
        <v>230</v>
      </c>
      <c r="W61" t="s">
        <v>464</v>
      </c>
      <c r="Y61" t="s">
        <v>1533</v>
      </c>
      <c r="Z61" t="s">
        <v>1362</v>
      </c>
      <c r="AA61" t="s">
        <v>1534</v>
      </c>
      <c r="AB61" t="s">
        <v>1484</v>
      </c>
      <c r="AC61" t="s">
        <v>1379</v>
      </c>
    </row>
    <row r="62" spans="11:29">
      <c r="K62" t="s">
        <v>621</v>
      </c>
      <c r="L62" t="s">
        <v>622</v>
      </c>
      <c r="M62" t="s">
        <v>624</v>
      </c>
      <c r="N62" t="s">
        <v>1310</v>
      </c>
      <c r="P62" t="s">
        <v>465</v>
      </c>
      <c r="Q62" t="s">
        <v>227</v>
      </c>
      <c r="R62" t="s">
        <v>467</v>
      </c>
      <c r="S62" t="s">
        <v>225</v>
      </c>
      <c r="T62" t="s">
        <v>466</v>
      </c>
      <c r="U62" t="s">
        <v>272</v>
      </c>
      <c r="V62" t="s">
        <v>230</v>
      </c>
      <c r="W62" t="s">
        <v>468</v>
      </c>
      <c r="Y62" t="s">
        <v>1535</v>
      </c>
      <c r="Z62" t="s">
        <v>1462</v>
      </c>
      <c r="AA62" t="s">
        <v>1536</v>
      </c>
      <c r="AB62" t="s">
        <v>1464</v>
      </c>
      <c r="AC62" t="s">
        <v>1537</v>
      </c>
    </row>
    <row r="63" spans="11:29">
      <c r="K63" t="s">
        <v>664</v>
      </c>
      <c r="L63" t="s">
        <v>665</v>
      </c>
      <c r="M63" t="s">
        <v>667</v>
      </c>
      <c r="N63" t="s">
        <v>1311</v>
      </c>
      <c r="P63" t="s">
        <v>469</v>
      </c>
      <c r="Q63" t="s">
        <v>227</v>
      </c>
      <c r="R63" t="s">
        <v>471</v>
      </c>
      <c r="S63" t="s">
        <v>225</v>
      </c>
      <c r="T63" t="s">
        <v>470</v>
      </c>
      <c r="U63" t="s">
        <v>267</v>
      </c>
      <c r="V63" t="s">
        <v>230</v>
      </c>
      <c r="W63" t="s">
        <v>472</v>
      </c>
      <c r="Y63" t="s">
        <v>1538</v>
      </c>
      <c r="Z63" t="s">
        <v>1462</v>
      </c>
      <c r="AA63" t="s">
        <v>1539</v>
      </c>
      <c r="AB63" t="s">
        <v>1464</v>
      </c>
      <c r="AC63" t="s">
        <v>1454</v>
      </c>
    </row>
    <row r="64" spans="11:29">
      <c r="K64" t="s">
        <v>725</v>
      </c>
      <c r="L64" t="s">
        <v>726</v>
      </c>
      <c r="M64" t="s">
        <v>728</v>
      </c>
      <c r="N64" t="s">
        <v>1312</v>
      </c>
      <c r="P64" t="s">
        <v>473</v>
      </c>
      <c r="Q64" t="s">
        <v>227</v>
      </c>
      <c r="R64" t="s">
        <v>476</v>
      </c>
      <c r="S64" t="s">
        <v>225</v>
      </c>
      <c r="T64" t="s">
        <v>474</v>
      </c>
      <c r="U64" t="s">
        <v>475</v>
      </c>
      <c r="V64" t="s">
        <v>230</v>
      </c>
      <c r="W64" t="s">
        <v>477</v>
      </c>
      <c r="Y64" t="s">
        <v>1540</v>
      </c>
      <c r="Z64" t="s">
        <v>1362</v>
      </c>
      <c r="AA64" t="s">
        <v>1541</v>
      </c>
      <c r="AB64" t="s">
        <v>1364</v>
      </c>
      <c r="AC64" t="s">
        <v>1542</v>
      </c>
    </row>
    <row r="65" spans="11:29">
      <c r="K65" t="s">
        <v>844</v>
      </c>
      <c r="L65" t="s">
        <v>845</v>
      </c>
      <c r="M65" t="s">
        <v>847</v>
      </c>
      <c r="N65" t="s">
        <v>1313</v>
      </c>
      <c r="P65" t="s">
        <v>478</v>
      </c>
      <c r="Q65" t="s">
        <v>227</v>
      </c>
      <c r="R65" t="s">
        <v>480</v>
      </c>
      <c r="S65" t="s">
        <v>225</v>
      </c>
      <c r="T65" t="s">
        <v>479</v>
      </c>
      <c r="U65" t="s">
        <v>475</v>
      </c>
      <c r="V65" t="s">
        <v>230</v>
      </c>
      <c r="W65" t="s">
        <v>481</v>
      </c>
      <c r="Y65" t="s">
        <v>1543</v>
      </c>
      <c r="Z65" t="s">
        <v>1462</v>
      </c>
      <c r="AA65" t="s">
        <v>1544</v>
      </c>
      <c r="AB65" t="s">
        <v>1464</v>
      </c>
      <c r="AC65" t="s">
        <v>1379</v>
      </c>
    </row>
    <row r="66" spans="11:29">
      <c r="K66" t="s">
        <v>859</v>
      </c>
      <c r="L66" t="s">
        <v>860</v>
      </c>
      <c r="M66" t="s">
        <v>862</v>
      </c>
      <c r="N66" t="s">
        <v>1314</v>
      </c>
      <c r="P66" t="s">
        <v>482</v>
      </c>
      <c r="Q66" t="s">
        <v>227</v>
      </c>
      <c r="R66" t="s">
        <v>430</v>
      </c>
      <c r="S66" t="s">
        <v>225</v>
      </c>
      <c r="T66" t="s">
        <v>483</v>
      </c>
      <c r="U66" t="s">
        <v>349</v>
      </c>
      <c r="V66" t="s">
        <v>230</v>
      </c>
      <c r="W66" t="s">
        <v>484</v>
      </c>
      <c r="Y66" t="s">
        <v>1545</v>
      </c>
      <c r="Z66" t="s">
        <v>1362</v>
      </c>
      <c r="AA66" t="s">
        <v>1546</v>
      </c>
      <c r="AB66" t="s">
        <v>1364</v>
      </c>
      <c r="AC66" t="s">
        <v>1547</v>
      </c>
    </row>
    <row r="67" spans="11:29">
      <c r="K67" t="s">
        <v>892</v>
      </c>
      <c r="L67" t="s">
        <v>893</v>
      </c>
      <c r="M67" t="s">
        <v>895</v>
      </c>
      <c r="N67" t="s">
        <v>1315</v>
      </c>
      <c r="P67" t="s">
        <v>485</v>
      </c>
      <c r="Q67" t="s">
        <v>227</v>
      </c>
      <c r="R67" t="s">
        <v>433</v>
      </c>
      <c r="S67" t="s">
        <v>225</v>
      </c>
      <c r="T67" t="s">
        <v>486</v>
      </c>
      <c r="U67" t="s">
        <v>349</v>
      </c>
      <c r="V67" t="s">
        <v>230</v>
      </c>
      <c r="W67" t="s">
        <v>487</v>
      </c>
      <c r="Y67" t="s">
        <v>1548</v>
      </c>
      <c r="Z67" t="s">
        <v>1362</v>
      </c>
      <c r="AA67" t="s">
        <v>1549</v>
      </c>
      <c r="AB67" t="s">
        <v>1407</v>
      </c>
      <c r="AC67" t="s">
        <v>1404</v>
      </c>
    </row>
    <row r="68" spans="11:29">
      <c r="K68" t="s">
        <v>901</v>
      </c>
      <c r="L68" t="s">
        <v>902</v>
      </c>
      <c r="M68" t="s">
        <v>904</v>
      </c>
      <c r="N68" t="s">
        <v>1316</v>
      </c>
      <c r="P68" t="s">
        <v>488</v>
      </c>
      <c r="Q68" t="s">
        <v>227</v>
      </c>
      <c r="R68" t="s">
        <v>490</v>
      </c>
      <c r="S68" t="s">
        <v>225</v>
      </c>
      <c r="T68" t="s">
        <v>489</v>
      </c>
      <c r="U68" t="s">
        <v>349</v>
      </c>
      <c r="V68" t="s">
        <v>230</v>
      </c>
      <c r="W68" t="s">
        <v>491</v>
      </c>
      <c r="Y68" t="s">
        <v>1550</v>
      </c>
      <c r="Z68" t="s">
        <v>1362</v>
      </c>
      <c r="AA68" t="s">
        <v>1551</v>
      </c>
      <c r="AB68" t="s">
        <v>1364</v>
      </c>
      <c r="AC68" t="s">
        <v>1416</v>
      </c>
    </row>
    <row r="69" spans="11:29">
      <c r="K69" t="s">
        <v>911</v>
      </c>
      <c r="L69" t="s">
        <v>912</v>
      </c>
      <c r="M69" t="s">
        <v>914</v>
      </c>
      <c r="N69" t="s">
        <v>1317</v>
      </c>
      <c r="P69" t="s">
        <v>492</v>
      </c>
      <c r="Q69" t="s">
        <v>227</v>
      </c>
      <c r="R69" t="s">
        <v>494</v>
      </c>
      <c r="S69" t="s">
        <v>225</v>
      </c>
      <c r="T69" t="s">
        <v>493</v>
      </c>
      <c r="U69" t="s">
        <v>349</v>
      </c>
      <c r="V69" t="s">
        <v>230</v>
      </c>
      <c r="W69" t="s">
        <v>495</v>
      </c>
      <c r="Y69" t="s">
        <v>1552</v>
      </c>
      <c r="Z69" t="s">
        <v>1362</v>
      </c>
      <c r="AA69" t="s">
        <v>1553</v>
      </c>
      <c r="AB69" t="s">
        <v>1407</v>
      </c>
      <c r="AC69" t="s">
        <v>1554</v>
      </c>
    </row>
    <row r="70" spans="11:29">
      <c r="K70" t="s">
        <v>976</v>
      </c>
      <c r="L70" t="s">
        <v>977</v>
      </c>
      <c r="M70" t="s">
        <v>979</v>
      </c>
      <c r="N70" t="s">
        <v>1318</v>
      </c>
      <c r="P70" t="s">
        <v>496</v>
      </c>
      <c r="Q70" t="s">
        <v>227</v>
      </c>
      <c r="R70" t="s">
        <v>436</v>
      </c>
      <c r="S70" t="s">
        <v>225</v>
      </c>
      <c r="T70" t="s">
        <v>497</v>
      </c>
      <c r="U70" t="s">
        <v>349</v>
      </c>
      <c r="V70" t="s">
        <v>230</v>
      </c>
      <c r="W70" t="s">
        <v>498</v>
      </c>
      <c r="Y70" t="s">
        <v>1555</v>
      </c>
      <c r="Z70" t="s">
        <v>1362</v>
      </c>
      <c r="AA70" t="s">
        <v>1556</v>
      </c>
      <c r="AB70" t="s">
        <v>1364</v>
      </c>
      <c r="AC70" t="s">
        <v>1395</v>
      </c>
    </row>
    <row r="71" spans="11:29">
      <c r="K71" t="s">
        <v>936</v>
      </c>
      <c r="L71" t="s">
        <v>937</v>
      </c>
      <c r="M71" t="s">
        <v>939</v>
      </c>
      <c r="N71" t="s">
        <v>1319</v>
      </c>
      <c r="P71" t="s">
        <v>499</v>
      </c>
      <c r="Q71" t="s">
        <v>227</v>
      </c>
      <c r="R71" t="s">
        <v>451</v>
      </c>
      <c r="S71" t="s">
        <v>225</v>
      </c>
      <c r="T71" t="s">
        <v>500</v>
      </c>
      <c r="U71" t="s">
        <v>349</v>
      </c>
      <c r="V71" t="s">
        <v>230</v>
      </c>
      <c r="W71" t="s">
        <v>501</v>
      </c>
      <c r="Y71" t="s">
        <v>1557</v>
      </c>
      <c r="Z71" t="s">
        <v>1362</v>
      </c>
      <c r="AA71" t="s">
        <v>1558</v>
      </c>
      <c r="AB71" t="s">
        <v>1407</v>
      </c>
      <c r="AC71" t="s">
        <v>1559</v>
      </c>
    </row>
    <row r="72" spans="11:29">
      <c r="K72" t="s">
        <v>941</v>
      </c>
      <c r="L72" t="s">
        <v>942</v>
      </c>
      <c r="M72" t="s">
        <v>944</v>
      </c>
      <c r="N72" t="s">
        <v>1320</v>
      </c>
      <c r="P72" t="s">
        <v>502</v>
      </c>
      <c r="Q72" t="s">
        <v>227</v>
      </c>
      <c r="R72" t="s">
        <v>504</v>
      </c>
      <c r="S72" t="s">
        <v>225</v>
      </c>
      <c r="T72" t="s">
        <v>503</v>
      </c>
      <c r="U72" t="s">
        <v>349</v>
      </c>
      <c r="V72" t="s">
        <v>230</v>
      </c>
      <c r="W72" t="s">
        <v>505</v>
      </c>
      <c r="Y72" t="s">
        <v>1560</v>
      </c>
      <c r="Z72" t="s">
        <v>1462</v>
      </c>
      <c r="AA72" t="s">
        <v>1561</v>
      </c>
      <c r="AB72" t="s">
        <v>1464</v>
      </c>
      <c r="AC72" t="s">
        <v>1562</v>
      </c>
    </row>
    <row r="73" spans="11:29">
      <c r="K73" t="s">
        <v>961</v>
      </c>
      <c r="L73" t="s">
        <v>962</v>
      </c>
      <c r="M73" t="s">
        <v>964</v>
      </c>
      <c r="N73" t="s">
        <v>1321</v>
      </c>
      <c r="P73" t="s">
        <v>506</v>
      </c>
      <c r="Q73" t="s">
        <v>227</v>
      </c>
      <c r="R73" t="s">
        <v>509</v>
      </c>
      <c r="S73" t="s">
        <v>225</v>
      </c>
      <c r="T73" t="s">
        <v>507</v>
      </c>
      <c r="U73" t="s">
        <v>508</v>
      </c>
      <c r="V73" t="s">
        <v>230</v>
      </c>
      <c r="W73" t="s">
        <v>510</v>
      </c>
      <c r="Y73" t="s">
        <v>1563</v>
      </c>
      <c r="Z73" t="s">
        <v>1362</v>
      </c>
      <c r="AA73" t="s">
        <v>1564</v>
      </c>
      <c r="AB73" t="s">
        <v>1382</v>
      </c>
      <c r="AC73" t="s">
        <v>1565</v>
      </c>
    </row>
    <row r="74" spans="11:29">
      <c r="K74" t="s">
        <v>971</v>
      </c>
      <c r="L74" t="s">
        <v>972</v>
      </c>
      <c r="M74" t="s">
        <v>974</v>
      </c>
      <c r="N74" t="s">
        <v>1322</v>
      </c>
      <c r="P74" t="s">
        <v>511</v>
      </c>
      <c r="Q74" t="s">
        <v>227</v>
      </c>
      <c r="R74" t="s">
        <v>513</v>
      </c>
      <c r="S74" t="s">
        <v>225</v>
      </c>
      <c r="T74" t="s">
        <v>512</v>
      </c>
      <c r="U74" t="s">
        <v>508</v>
      </c>
      <c r="V74" t="s">
        <v>230</v>
      </c>
      <c r="W74" t="s">
        <v>514</v>
      </c>
      <c r="Y74" t="s">
        <v>1566</v>
      </c>
      <c r="Z74" t="s">
        <v>1362</v>
      </c>
      <c r="AA74" t="s">
        <v>1567</v>
      </c>
      <c r="AB74" t="s">
        <v>1407</v>
      </c>
      <c r="AC74" t="s">
        <v>1568</v>
      </c>
    </row>
    <row r="75" spans="11:29">
      <c r="K75" t="s">
        <v>981</v>
      </c>
      <c r="L75" t="s">
        <v>982</v>
      </c>
      <c r="M75" t="s">
        <v>984</v>
      </c>
      <c r="N75" t="s">
        <v>1323</v>
      </c>
      <c r="P75" t="s">
        <v>515</v>
      </c>
      <c r="Q75" t="s">
        <v>516</v>
      </c>
      <c r="R75" t="s">
        <v>518</v>
      </c>
      <c r="S75" t="s">
        <v>225</v>
      </c>
      <c r="T75" t="s">
        <v>517</v>
      </c>
      <c r="U75" t="s">
        <v>393</v>
      </c>
      <c r="V75" t="s">
        <v>230</v>
      </c>
      <c r="W75" t="s">
        <v>519</v>
      </c>
      <c r="Y75" t="s">
        <v>1569</v>
      </c>
      <c r="Z75" t="s">
        <v>1362</v>
      </c>
      <c r="AA75" t="s">
        <v>1570</v>
      </c>
      <c r="AB75" t="s">
        <v>1364</v>
      </c>
      <c r="AC75" t="s">
        <v>1383</v>
      </c>
    </row>
    <row r="76" spans="11:29">
      <c r="K76" t="s">
        <v>1001</v>
      </c>
      <c r="L76" t="s">
        <v>1002</v>
      </c>
      <c r="M76" t="s">
        <v>1004</v>
      </c>
      <c r="N76" t="s">
        <v>1324</v>
      </c>
      <c r="P76" t="s">
        <v>520</v>
      </c>
      <c r="Q76" t="s">
        <v>227</v>
      </c>
      <c r="R76" t="s">
        <v>520</v>
      </c>
      <c r="S76" t="s">
        <v>225</v>
      </c>
      <c r="T76" t="s">
        <v>521</v>
      </c>
      <c r="U76" t="s">
        <v>393</v>
      </c>
      <c r="V76" t="s">
        <v>230</v>
      </c>
      <c r="W76" t="s">
        <v>522</v>
      </c>
      <c r="Y76" t="s">
        <v>1571</v>
      </c>
      <c r="Z76" t="s">
        <v>1362</v>
      </c>
      <c r="AA76" t="s">
        <v>1572</v>
      </c>
      <c r="AB76" t="s">
        <v>1364</v>
      </c>
      <c r="AC76" t="s">
        <v>1573</v>
      </c>
    </row>
    <row r="77" spans="11:29">
      <c r="K77" t="s">
        <v>1006</v>
      </c>
      <c r="L77" t="s">
        <v>1007</v>
      </c>
      <c r="M77" t="s">
        <v>1009</v>
      </c>
      <c r="N77" t="s">
        <v>1325</v>
      </c>
      <c r="P77" t="s">
        <v>523</v>
      </c>
      <c r="Q77" t="s">
        <v>227</v>
      </c>
      <c r="R77" t="s">
        <v>525</v>
      </c>
      <c r="S77" t="s">
        <v>225</v>
      </c>
      <c r="T77" t="s">
        <v>524</v>
      </c>
      <c r="U77" t="s">
        <v>520</v>
      </c>
      <c r="V77" t="s">
        <v>230</v>
      </c>
      <c r="W77" t="s">
        <v>526</v>
      </c>
      <c r="Y77" t="s">
        <v>1574</v>
      </c>
      <c r="Z77" t="s">
        <v>1362</v>
      </c>
      <c r="AA77" t="s">
        <v>1575</v>
      </c>
      <c r="AB77" t="s">
        <v>1364</v>
      </c>
      <c r="AC77" t="s">
        <v>1487</v>
      </c>
    </row>
    <row r="78" spans="11:29">
      <c r="K78" t="s">
        <v>1016</v>
      </c>
      <c r="L78" t="s">
        <v>1017</v>
      </c>
      <c r="M78" t="s">
        <v>1019</v>
      </c>
      <c r="N78" t="s">
        <v>1326</v>
      </c>
      <c r="P78" t="s">
        <v>527</v>
      </c>
      <c r="Q78" t="s">
        <v>227</v>
      </c>
      <c r="R78" t="s">
        <v>273</v>
      </c>
      <c r="S78" t="s">
        <v>225</v>
      </c>
      <c r="T78" t="s">
        <v>528</v>
      </c>
      <c r="U78" t="s">
        <v>520</v>
      </c>
      <c r="V78" t="s">
        <v>230</v>
      </c>
      <c r="W78" t="s">
        <v>529</v>
      </c>
      <c r="Y78" t="s">
        <v>1576</v>
      </c>
      <c r="Z78" t="s">
        <v>1462</v>
      </c>
      <c r="AA78" t="s">
        <v>1577</v>
      </c>
      <c r="AB78" t="s">
        <v>1464</v>
      </c>
      <c r="AC78" t="s">
        <v>1457</v>
      </c>
    </row>
    <row r="79" spans="11:29">
      <c r="K79" t="s">
        <v>1035</v>
      </c>
      <c r="L79" t="s">
        <v>1036</v>
      </c>
      <c r="M79" t="s">
        <v>1038</v>
      </c>
      <c r="N79" t="s">
        <v>1327</v>
      </c>
      <c r="P79" t="s">
        <v>530</v>
      </c>
      <c r="Q79" t="s">
        <v>227</v>
      </c>
      <c r="R79" t="s">
        <v>247</v>
      </c>
      <c r="S79" t="s">
        <v>225</v>
      </c>
      <c r="T79" t="s">
        <v>531</v>
      </c>
      <c r="U79" t="s">
        <v>520</v>
      </c>
      <c r="V79" t="s">
        <v>230</v>
      </c>
      <c r="W79" t="s">
        <v>532</v>
      </c>
      <c r="Y79" t="s">
        <v>1578</v>
      </c>
      <c r="Z79" t="s">
        <v>1362</v>
      </c>
      <c r="AA79" t="s">
        <v>1579</v>
      </c>
      <c r="AB79" t="s">
        <v>1364</v>
      </c>
      <c r="AC79" t="s">
        <v>1383</v>
      </c>
    </row>
    <row r="80" spans="11:29">
      <c r="K80" t="s">
        <v>1040</v>
      </c>
      <c r="L80" t="s">
        <v>1041</v>
      </c>
      <c r="M80" t="s">
        <v>639</v>
      </c>
      <c r="N80" t="s">
        <v>1328</v>
      </c>
      <c r="P80" t="s">
        <v>533</v>
      </c>
      <c r="Q80" t="s">
        <v>227</v>
      </c>
      <c r="R80" t="s">
        <v>535</v>
      </c>
      <c r="S80" t="s">
        <v>225</v>
      </c>
      <c r="T80" t="s">
        <v>534</v>
      </c>
      <c r="U80" t="s">
        <v>520</v>
      </c>
      <c r="V80" t="s">
        <v>230</v>
      </c>
      <c r="W80" t="s">
        <v>536</v>
      </c>
      <c r="Y80" t="s">
        <v>1580</v>
      </c>
      <c r="Z80" t="s">
        <v>1362</v>
      </c>
      <c r="AA80" t="s">
        <v>1581</v>
      </c>
      <c r="AB80" t="s">
        <v>1364</v>
      </c>
      <c r="AC80" t="s">
        <v>1582</v>
      </c>
    </row>
    <row r="81" spans="11:29">
      <c r="K81" t="s">
        <v>1126</v>
      </c>
      <c r="L81" t="s">
        <v>1127</v>
      </c>
      <c r="M81" t="s">
        <v>1129</v>
      </c>
      <c r="N81" t="s">
        <v>1329</v>
      </c>
      <c r="P81" t="s">
        <v>537</v>
      </c>
      <c r="Q81" t="s">
        <v>227</v>
      </c>
      <c r="R81" t="s">
        <v>280</v>
      </c>
      <c r="S81" t="s">
        <v>225</v>
      </c>
      <c r="T81" t="s">
        <v>538</v>
      </c>
      <c r="U81" t="s">
        <v>520</v>
      </c>
      <c r="V81" t="s">
        <v>230</v>
      </c>
      <c r="W81" t="s">
        <v>539</v>
      </c>
      <c r="Y81" t="s">
        <v>1583</v>
      </c>
      <c r="Z81" t="s">
        <v>1362</v>
      </c>
      <c r="AA81" t="s">
        <v>1584</v>
      </c>
      <c r="AB81" t="s">
        <v>1382</v>
      </c>
      <c r="AC81" t="s">
        <v>1585</v>
      </c>
    </row>
    <row r="82" spans="11:29">
      <c r="K82" t="s">
        <v>1081</v>
      </c>
      <c r="L82" t="s">
        <v>1082</v>
      </c>
      <c r="M82" t="s">
        <v>1084</v>
      </c>
      <c r="N82" t="s">
        <v>1330</v>
      </c>
      <c r="P82" t="s">
        <v>540</v>
      </c>
      <c r="Q82" t="s">
        <v>227</v>
      </c>
      <c r="R82" t="s">
        <v>284</v>
      </c>
      <c r="S82" t="s">
        <v>225</v>
      </c>
      <c r="T82" t="s">
        <v>541</v>
      </c>
      <c r="U82" t="s">
        <v>520</v>
      </c>
      <c r="V82" t="s">
        <v>230</v>
      </c>
      <c r="W82" t="s">
        <v>542</v>
      </c>
      <c r="Y82" t="s">
        <v>1586</v>
      </c>
      <c r="Z82" t="s">
        <v>1362</v>
      </c>
      <c r="AA82" t="s">
        <v>1587</v>
      </c>
      <c r="AB82" t="s">
        <v>1364</v>
      </c>
      <c r="AC82" t="s">
        <v>1588</v>
      </c>
    </row>
    <row r="83" spans="11:29">
      <c r="K83" t="s">
        <v>1057</v>
      </c>
      <c r="L83" t="s">
        <v>1058</v>
      </c>
      <c r="M83" t="s">
        <v>1060</v>
      </c>
      <c r="N83" t="s">
        <v>1331</v>
      </c>
      <c r="P83" t="s">
        <v>543</v>
      </c>
      <c r="Q83" t="s">
        <v>227</v>
      </c>
      <c r="R83" t="s">
        <v>288</v>
      </c>
      <c r="S83" t="s">
        <v>225</v>
      </c>
      <c r="T83" t="s">
        <v>544</v>
      </c>
      <c r="U83" t="s">
        <v>520</v>
      </c>
      <c r="V83" t="s">
        <v>230</v>
      </c>
      <c r="W83" t="s">
        <v>545</v>
      </c>
      <c r="Y83" t="s">
        <v>1589</v>
      </c>
      <c r="Z83" t="s">
        <v>1362</v>
      </c>
      <c r="AA83" t="s">
        <v>1590</v>
      </c>
      <c r="AB83" t="s">
        <v>1364</v>
      </c>
      <c r="AC83" t="s">
        <v>1591</v>
      </c>
    </row>
    <row r="84" spans="11:29">
      <c r="K84" t="s">
        <v>1062</v>
      </c>
      <c r="L84" t="s">
        <v>1063</v>
      </c>
      <c r="M84" t="s">
        <v>1065</v>
      </c>
      <c r="N84" t="s">
        <v>1332</v>
      </c>
      <c r="P84" t="s">
        <v>546</v>
      </c>
      <c r="Q84" t="s">
        <v>227</v>
      </c>
      <c r="R84" t="s">
        <v>381</v>
      </c>
      <c r="S84" t="s">
        <v>225</v>
      </c>
      <c r="T84" t="s">
        <v>547</v>
      </c>
      <c r="U84" t="s">
        <v>520</v>
      </c>
      <c r="V84" t="s">
        <v>230</v>
      </c>
      <c r="W84" t="s">
        <v>548</v>
      </c>
      <c r="Y84" t="s">
        <v>1592</v>
      </c>
      <c r="Z84" t="s">
        <v>1362</v>
      </c>
      <c r="AA84" t="s">
        <v>1593</v>
      </c>
      <c r="AB84" t="s">
        <v>1364</v>
      </c>
      <c r="AC84" t="s">
        <v>1594</v>
      </c>
    </row>
    <row r="85" spans="11:29">
      <c r="K85" t="s">
        <v>1101</v>
      </c>
      <c r="L85" t="s">
        <v>1102</v>
      </c>
      <c r="M85" t="s">
        <v>1104</v>
      </c>
      <c r="N85" t="s">
        <v>1333</v>
      </c>
      <c r="P85" t="s">
        <v>549</v>
      </c>
      <c r="Q85" t="s">
        <v>227</v>
      </c>
      <c r="R85" t="s">
        <v>296</v>
      </c>
      <c r="S85" t="s">
        <v>225</v>
      </c>
      <c r="T85" t="s">
        <v>550</v>
      </c>
      <c r="U85" t="s">
        <v>520</v>
      </c>
      <c r="V85" t="s">
        <v>230</v>
      </c>
      <c r="W85" t="s">
        <v>551</v>
      </c>
      <c r="Y85" t="s">
        <v>1595</v>
      </c>
      <c r="Z85" t="s">
        <v>1362</v>
      </c>
      <c r="AA85" t="s">
        <v>1596</v>
      </c>
      <c r="AB85" t="s">
        <v>1382</v>
      </c>
      <c r="AC85" t="s">
        <v>1597</v>
      </c>
    </row>
    <row r="86" spans="11:29">
      <c r="K86" t="s">
        <v>1111</v>
      </c>
      <c r="L86" t="s">
        <v>1112</v>
      </c>
      <c r="M86" t="s">
        <v>1114</v>
      </c>
      <c r="N86" t="s">
        <v>1334</v>
      </c>
      <c r="P86" t="s">
        <v>552</v>
      </c>
      <c r="Q86" t="s">
        <v>227</v>
      </c>
      <c r="R86" t="s">
        <v>300</v>
      </c>
      <c r="S86" t="s">
        <v>225</v>
      </c>
      <c r="T86" t="s">
        <v>553</v>
      </c>
      <c r="U86" t="s">
        <v>520</v>
      </c>
      <c r="V86" t="s">
        <v>230</v>
      </c>
      <c r="W86" t="s">
        <v>554</v>
      </c>
      <c r="Y86" t="s">
        <v>1598</v>
      </c>
      <c r="Z86" t="s">
        <v>1362</v>
      </c>
      <c r="AA86" t="s">
        <v>1599</v>
      </c>
      <c r="AB86" t="s">
        <v>1364</v>
      </c>
      <c r="AC86" t="s">
        <v>1600</v>
      </c>
    </row>
    <row r="87" spans="11:29">
      <c r="K87" t="s">
        <v>1116</v>
      </c>
      <c r="L87" t="s">
        <v>1117</v>
      </c>
      <c r="M87" t="s">
        <v>1119</v>
      </c>
      <c r="N87" t="s">
        <v>1335</v>
      </c>
      <c r="P87" t="s">
        <v>555</v>
      </c>
      <c r="Q87" t="s">
        <v>227</v>
      </c>
      <c r="R87" t="s">
        <v>557</v>
      </c>
      <c r="S87" t="s">
        <v>225</v>
      </c>
      <c r="T87" t="s">
        <v>556</v>
      </c>
      <c r="U87" t="s">
        <v>520</v>
      </c>
      <c r="V87" t="s">
        <v>230</v>
      </c>
      <c r="W87" t="s">
        <v>558</v>
      </c>
      <c r="Y87" t="s">
        <v>1601</v>
      </c>
      <c r="Z87" t="s">
        <v>1362</v>
      </c>
      <c r="AA87" t="s">
        <v>1602</v>
      </c>
      <c r="AB87" t="s">
        <v>1382</v>
      </c>
      <c r="AC87" t="s">
        <v>1597</v>
      </c>
    </row>
    <row r="88" spans="11:29">
      <c r="K88" t="s">
        <v>1178</v>
      </c>
      <c r="L88" t="s">
        <v>1179</v>
      </c>
      <c r="M88" t="s">
        <v>1181</v>
      </c>
      <c r="N88" t="s">
        <v>1336</v>
      </c>
      <c r="P88" t="s">
        <v>559</v>
      </c>
      <c r="Q88" t="s">
        <v>227</v>
      </c>
      <c r="R88" t="s">
        <v>561</v>
      </c>
      <c r="S88" t="s">
        <v>225</v>
      </c>
      <c r="T88" t="s">
        <v>560</v>
      </c>
      <c r="U88" t="s">
        <v>520</v>
      </c>
      <c r="V88" t="s">
        <v>230</v>
      </c>
      <c r="W88" t="s">
        <v>562</v>
      </c>
      <c r="Y88" t="s">
        <v>1603</v>
      </c>
      <c r="Z88" t="s">
        <v>1362</v>
      </c>
      <c r="AA88" t="s">
        <v>1604</v>
      </c>
      <c r="AB88" t="s">
        <v>1605</v>
      </c>
      <c r="AC88" t="s">
        <v>1383</v>
      </c>
    </row>
    <row r="89" spans="11:29">
      <c r="K89" t="s">
        <v>1121</v>
      </c>
      <c r="L89" t="s">
        <v>1122</v>
      </c>
      <c r="M89" t="s">
        <v>1124</v>
      </c>
      <c r="N89" t="s">
        <v>1337</v>
      </c>
      <c r="P89" t="s">
        <v>563</v>
      </c>
      <c r="Q89" t="s">
        <v>227</v>
      </c>
      <c r="R89" t="s">
        <v>231</v>
      </c>
      <c r="S89" t="s">
        <v>225</v>
      </c>
      <c r="T89" t="s">
        <v>564</v>
      </c>
      <c r="U89" t="s">
        <v>559</v>
      </c>
      <c r="V89" t="s">
        <v>230</v>
      </c>
      <c r="W89" t="s">
        <v>565</v>
      </c>
      <c r="Y89" t="s">
        <v>1606</v>
      </c>
      <c r="Z89" t="s">
        <v>1462</v>
      </c>
      <c r="AA89" t="s">
        <v>1607</v>
      </c>
      <c r="AB89" t="s">
        <v>1464</v>
      </c>
      <c r="AC89" t="s">
        <v>1608</v>
      </c>
    </row>
    <row r="90" spans="11:29">
      <c r="K90" t="s">
        <v>1145</v>
      </c>
      <c r="L90" t="s">
        <v>1146</v>
      </c>
      <c r="M90" t="s">
        <v>1148</v>
      </c>
      <c r="N90" t="s">
        <v>1338</v>
      </c>
      <c r="P90" t="s">
        <v>566</v>
      </c>
      <c r="Q90" t="s">
        <v>227</v>
      </c>
      <c r="R90" t="s">
        <v>236</v>
      </c>
      <c r="S90" t="s">
        <v>225</v>
      </c>
      <c r="T90" t="s">
        <v>567</v>
      </c>
      <c r="U90" t="s">
        <v>559</v>
      </c>
      <c r="V90" t="s">
        <v>230</v>
      </c>
      <c r="W90" t="s">
        <v>568</v>
      </c>
      <c r="Y90" t="s">
        <v>1609</v>
      </c>
      <c r="Z90" t="s">
        <v>1362</v>
      </c>
      <c r="AA90" t="s">
        <v>1610</v>
      </c>
      <c r="AB90" t="s">
        <v>1459</v>
      </c>
      <c r="AC90" t="s">
        <v>1420</v>
      </c>
    </row>
    <row r="91" spans="11:29">
      <c r="K91" t="s">
        <v>1150</v>
      </c>
      <c r="L91" t="s">
        <v>1151</v>
      </c>
      <c r="M91" t="s">
        <v>1153</v>
      </c>
      <c r="N91" t="s">
        <v>1339</v>
      </c>
      <c r="P91" t="s">
        <v>569</v>
      </c>
      <c r="Q91" t="s">
        <v>227</v>
      </c>
      <c r="R91" t="s">
        <v>239</v>
      </c>
      <c r="S91" t="s">
        <v>225</v>
      </c>
      <c r="T91" t="s">
        <v>570</v>
      </c>
      <c r="U91" t="s">
        <v>566</v>
      </c>
      <c r="V91" t="s">
        <v>230</v>
      </c>
      <c r="W91" t="s">
        <v>571</v>
      </c>
      <c r="Y91" t="s">
        <v>1611</v>
      </c>
      <c r="Z91" t="s">
        <v>1362</v>
      </c>
      <c r="AA91" t="s">
        <v>1612</v>
      </c>
      <c r="AB91" t="s">
        <v>1364</v>
      </c>
      <c r="AC91" t="s">
        <v>1613</v>
      </c>
    </row>
    <row r="92" spans="11:29">
      <c r="K92" t="s">
        <v>1159</v>
      </c>
      <c r="L92" t="s">
        <v>1160</v>
      </c>
      <c r="M92" t="s">
        <v>1162</v>
      </c>
      <c r="N92" t="s">
        <v>1340</v>
      </c>
      <c r="P92" t="s">
        <v>572</v>
      </c>
      <c r="Q92" t="s">
        <v>227</v>
      </c>
      <c r="R92" t="s">
        <v>242</v>
      </c>
      <c r="S92" t="s">
        <v>225</v>
      </c>
      <c r="T92" t="s">
        <v>573</v>
      </c>
      <c r="U92" t="s">
        <v>566</v>
      </c>
      <c r="V92" t="s">
        <v>230</v>
      </c>
      <c r="W92" t="s">
        <v>574</v>
      </c>
      <c r="Y92" t="s">
        <v>1614</v>
      </c>
      <c r="Z92" t="s">
        <v>1462</v>
      </c>
      <c r="AA92" t="s">
        <v>1615</v>
      </c>
      <c r="AB92" t="s">
        <v>1464</v>
      </c>
      <c r="AC92" t="s">
        <v>1467</v>
      </c>
    </row>
    <row r="93" spans="11:29">
      <c r="K93" t="s">
        <v>1164</v>
      </c>
      <c r="L93" t="s">
        <v>1165</v>
      </c>
      <c r="M93" t="s">
        <v>1167</v>
      </c>
      <c r="N93" t="s">
        <v>1341</v>
      </c>
      <c r="P93" t="s">
        <v>575</v>
      </c>
      <c r="Q93" t="s">
        <v>227</v>
      </c>
      <c r="R93" t="s">
        <v>430</v>
      </c>
      <c r="S93" t="s">
        <v>225</v>
      </c>
      <c r="T93" t="s">
        <v>576</v>
      </c>
      <c r="U93" t="s">
        <v>566</v>
      </c>
      <c r="V93" t="s">
        <v>230</v>
      </c>
      <c r="W93" t="s">
        <v>577</v>
      </c>
      <c r="Y93" t="s">
        <v>1616</v>
      </c>
      <c r="Z93" t="s">
        <v>1362</v>
      </c>
      <c r="AA93" t="s">
        <v>1617</v>
      </c>
      <c r="AB93" t="s">
        <v>1364</v>
      </c>
      <c r="AC93" t="s">
        <v>1562</v>
      </c>
    </row>
    <row r="94" spans="11:29">
      <c r="K94" t="s">
        <v>1169</v>
      </c>
      <c r="L94" t="s">
        <v>1170</v>
      </c>
      <c r="M94" t="s">
        <v>1172</v>
      </c>
      <c r="N94" t="s">
        <v>1342</v>
      </c>
      <c r="P94" t="s">
        <v>578</v>
      </c>
      <c r="Q94" t="s">
        <v>227</v>
      </c>
      <c r="R94" t="s">
        <v>433</v>
      </c>
      <c r="S94" t="s">
        <v>225</v>
      </c>
      <c r="T94" t="s">
        <v>579</v>
      </c>
      <c r="U94" t="s">
        <v>566</v>
      </c>
      <c r="V94" t="s">
        <v>230</v>
      </c>
      <c r="W94" t="s">
        <v>580</v>
      </c>
      <c r="Y94" t="s">
        <v>1618</v>
      </c>
      <c r="Z94" t="s">
        <v>1362</v>
      </c>
      <c r="AA94" t="s">
        <v>1619</v>
      </c>
      <c r="AB94" t="s">
        <v>1364</v>
      </c>
      <c r="AC94" t="s">
        <v>1490</v>
      </c>
    </row>
    <row r="95" spans="11:29">
      <c r="K95" t="s">
        <v>1183</v>
      </c>
      <c r="L95" t="s">
        <v>1184</v>
      </c>
      <c r="M95" t="s">
        <v>1186</v>
      </c>
      <c r="N95" t="s">
        <v>1343</v>
      </c>
      <c r="P95" t="s">
        <v>581</v>
      </c>
      <c r="Q95" t="s">
        <v>227</v>
      </c>
      <c r="R95" t="s">
        <v>490</v>
      </c>
      <c r="S95" t="s">
        <v>225</v>
      </c>
      <c r="T95" t="s">
        <v>582</v>
      </c>
      <c r="U95" t="s">
        <v>566</v>
      </c>
      <c r="V95" t="s">
        <v>230</v>
      </c>
      <c r="W95" t="s">
        <v>583</v>
      </c>
      <c r="Y95" t="s">
        <v>1620</v>
      </c>
      <c r="Z95" t="s">
        <v>1362</v>
      </c>
      <c r="AA95" t="s">
        <v>1621</v>
      </c>
      <c r="AB95" t="s">
        <v>1364</v>
      </c>
      <c r="AC95" t="s">
        <v>1622</v>
      </c>
    </row>
    <row r="96" spans="11:29">
      <c r="K96" t="s">
        <v>1218</v>
      </c>
      <c r="L96" t="s">
        <v>1219</v>
      </c>
      <c r="M96" t="s">
        <v>1221</v>
      </c>
      <c r="N96" t="s">
        <v>1344</v>
      </c>
      <c r="P96" t="s">
        <v>584</v>
      </c>
      <c r="Q96" t="s">
        <v>227</v>
      </c>
      <c r="R96" t="s">
        <v>494</v>
      </c>
      <c r="S96" t="s">
        <v>225</v>
      </c>
      <c r="T96" t="s">
        <v>585</v>
      </c>
      <c r="U96" t="s">
        <v>566</v>
      </c>
      <c r="V96" t="s">
        <v>230</v>
      </c>
      <c r="W96" t="s">
        <v>586</v>
      </c>
      <c r="Y96" t="s">
        <v>1623</v>
      </c>
      <c r="Z96" t="s">
        <v>1362</v>
      </c>
      <c r="AA96" t="s">
        <v>1624</v>
      </c>
      <c r="AB96" t="s">
        <v>1364</v>
      </c>
      <c r="AC96" t="s">
        <v>1625</v>
      </c>
    </row>
    <row r="97" spans="11:29">
      <c r="K97" t="s">
        <v>1223</v>
      </c>
      <c r="L97" t="s">
        <v>1224</v>
      </c>
      <c r="M97" t="s">
        <v>1226</v>
      </c>
      <c r="N97" t="s">
        <v>1345</v>
      </c>
      <c r="P97" t="s">
        <v>587</v>
      </c>
      <c r="Q97" t="s">
        <v>227</v>
      </c>
      <c r="R97" t="s">
        <v>436</v>
      </c>
      <c r="S97" t="s">
        <v>225</v>
      </c>
      <c r="T97" t="s">
        <v>588</v>
      </c>
      <c r="U97" t="s">
        <v>566</v>
      </c>
      <c r="V97" t="s">
        <v>230</v>
      </c>
      <c r="W97" t="s">
        <v>589</v>
      </c>
      <c r="Y97" t="s">
        <v>1626</v>
      </c>
      <c r="Z97" t="s">
        <v>1362</v>
      </c>
      <c r="AA97" t="s">
        <v>1627</v>
      </c>
      <c r="AB97" t="s">
        <v>1484</v>
      </c>
      <c r="AC97" t="s">
        <v>1379</v>
      </c>
    </row>
    <row r="98" spans="11:29">
      <c r="K98" t="s">
        <v>1208</v>
      </c>
      <c r="L98" t="s">
        <v>1209</v>
      </c>
      <c r="M98" t="s">
        <v>1211</v>
      </c>
      <c r="N98" t="s">
        <v>1346</v>
      </c>
      <c r="P98" t="s">
        <v>590</v>
      </c>
      <c r="Q98" t="s">
        <v>227</v>
      </c>
      <c r="R98" t="s">
        <v>451</v>
      </c>
      <c r="S98" t="s">
        <v>225</v>
      </c>
      <c r="T98" t="s">
        <v>591</v>
      </c>
      <c r="U98" t="s">
        <v>566</v>
      </c>
      <c r="V98" t="s">
        <v>230</v>
      </c>
      <c r="W98" t="s">
        <v>592</v>
      </c>
      <c r="Y98" t="s">
        <v>1628</v>
      </c>
      <c r="Z98" t="s">
        <v>1362</v>
      </c>
      <c r="AA98" t="s">
        <v>1629</v>
      </c>
      <c r="AB98" t="s">
        <v>1364</v>
      </c>
      <c r="AC98" t="s">
        <v>1630</v>
      </c>
    </row>
    <row r="99" spans="11:29">
      <c r="K99" t="s">
        <v>1213</v>
      </c>
      <c r="L99" t="s">
        <v>1214</v>
      </c>
      <c r="M99" t="s">
        <v>1216</v>
      </c>
      <c r="N99" t="s">
        <v>1347</v>
      </c>
      <c r="P99" t="s">
        <v>593</v>
      </c>
      <c r="Q99" t="s">
        <v>227</v>
      </c>
      <c r="R99" t="s">
        <v>595</v>
      </c>
      <c r="S99" t="s">
        <v>225</v>
      </c>
      <c r="T99" t="s">
        <v>594</v>
      </c>
      <c r="U99" t="s">
        <v>566</v>
      </c>
      <c r="V99" t="s">
        <v>230</v>
      </c>
      <c r="W99" t="s">
        <v>596</v>
      </c>
      <c r="Y99" t="s">
        <v>1631</v>
      </c>
      <c r="Z99" t="s">
        <v>1362</v>
      </c>
      <c r="AA99" t="s">
        <v>1632</v>
      </c>
      <c r="AB99" t="s">
        <v>1364</v>
      </c>
      <c r="AC99" t="s">
        <v>1630</v>
      </c>
    </row>
    <row r="100" spans="11:29">
      <c r="K100" t="s">
        <v>1228</v>
      </c>
      <c r="L100" t="s">
        <v>1229</v>
      </c>
      <c r="M100" t="s">
        <v>1231</v>
      </c>
      <c r="N100" t="s">
        <v>1348</v>
      </c>
      <c r="P100" t="s">
        <v>597</v>
      </c>
      <c r="Q100" t="s">
        <v>227</v>
      </c>
      <c r="R100" t="s">
        <v>247</v>
      </c>
      <c r="S100" t="s">
        <v>225</v>
      </c>
      <c r="T100" t="s">
        <v>598</v>
      </c>
      <c r="U100" t="s">
        <v>559</v>
      </c>
      <c r="V100" t="s">
        <v>230</v>
      </c>
      <c r="W100" t="s">
        <v>599</v>
      </c>
      <c r="Y100" t="s">
        <v>1633</v>
      </c>
      <c r="Z100" t="s">
        <v>1362</v>
      </c>
      <c r="AA100" t="s">
        <v>1634</v>
      </c>
      <c r="AB100" t="s">
        <v>1364</v>
      </c>
      <c r="AC100" t="s">
        <v>1600</v>
      </c>
    </row>
    <row r="101" spans="11:29">
      <c r="K101" t="s">
        <v>1203</v>
      </c>
      <c r="L101" t="s">
        <v>1204</v>
      </c>
      <c r="M101" t="s">
        <v>1206</v>
      </c>
      <c r="N101" t="s">
        <v>1349</v>
      </c>
      <c r="P101" t="s">
        <v>600</v>
      </c>
      <c r="Q101" t="s">
        <v>227</v>
      </c>
      <c r="R101" t="s">
        <v>251</v>
      </c>
      <c r="S101" t="s">
        <v>225</v>
      </c>
      <c r="T101" t="s">
        <v>601</v>
      </c>
      <c r="U101" t="s">
        <v>559</v>
      </c>
      <c r="V101" t="s">
        <v>230</v>
      </c>
      <c r="W101" t="s">
        <v>602</v>
      </c>
      <c r="Y101" t="s">
        <v>1635</v>
      </c>
      <c r="Z101" t="s">
        <v>1362</v>
      </c>
      <c r="AA101" t="s">
        <v>1636</v>
      </c>
      <c r="AB101" t="s">
        <v>1605</v>
      </c>
      <c r="AC101" t="s">
        <v>1383</v>
      </c>
    </row>
    <row r="102" spans="11:29">
      <c r="K102" t="s">
        <v>1238</v>
      </c>
      <c r="L102" t="s">
        <v>1239</v>
      </c>
      <c r="M102" t="s">
        <v>1241</v>
      </c>
      <c r="N102" t="s">
        <v>1350</v>
      </c>
      <c r="P102" t="s">
        <v>603</v>
      </c>
      <c r="Q102" t="s">
        <v>227</v>
      </c>
      <c r="R102" t="s">
        <v>255</v>
      </c>
      <c r="S102" t="s">
        <v>225</v>
      </c>
      <c r="T102" t="s">
        <v>604</v>
      </c>
      <c r="U102" t="s">
        <v>559</v>
      </c>
      <c r="V102" t="s">
        <v>230</v>
      </c>
      <c r="W102" t="s">
        <v>605</v>
      </c>
      <c r="Y102" t="s">
        <v>1637</v>
      </c>
      <c r="Z102" t="s">
        <v>1362</v>
      </c>
      <c r="AA102" t="s">
        <v>1638</v>
      </c>
      <c r="AB102" t="s">
        <v>1364</v>
      </c>
      <c r="AC102" t="s">
        <v>1639</v>
      </c>
    </row>
    <row r="103" spans="11:29">
      <c r="K103" t="s">
        <v>1243</v>
      </c>
      <c r="L103" t="s">
        <v>1244</v>
      </c>
      <c r="M103" t="s">
        <v>1246</v>
      </c>
      <c r="N103" t="s">
        <v>1351</v>
      </c>
      <c r="P103" t="s">
        <v>606</v>
      </c>
      <c r="Q103" t="s">
        <v>227</v>
      </c>
      <c r="R103" t="s">
        <v>608</v>
      </c>
      <c r="S103" t="s">
        <v>225</v>
      </c>
      <c r="T103" t="s">
        <v>607</v>
      </c>
      <c r="U103" t="s">
        <v>559</v>
      </c>
      <c r="V103" t="s">
        <v>230</v>
      </c>
      <c r="W103" t="s">
        <v>609</v>
      </c>
      <c r="Y103" t="s">
        <v>1640</v>
      </c>
      <c r="Z103" t="s">
        <v>1362</v>
      </c>
      <c r="AA103" t="s">
        <v>1641</v>
      </c>
      <c r="AB103" t="s">
        <v>1382</v>
      </c>
      <c r="AC103" t="s">
        <v>1642</v>
      </c>
    </row>
    <row r="104" spans="11:29">
      <c r="K104" t="s">
        <v>1352</v>
      </c>
      <c r="L104" t="s">
        <v>227</v>
      </c>
      <c r="M104" t="s">
        <v>1353</v>
      </c>
      <c r="N104" t="s">
        <v>1354</v>
      </c>
      <c r="P104" t="s">
        <v>610</v>
      </c>
      <c r="Q104" t="s">
        <v>227</v>
      </c>
      <c r="R104" t="s">
        <v>612</v>
      </c>
      <c r="S104" t="s">
        <v>225</v>
      </c>
      <c r="T104" t="s">
        <v>611</v>
      </c>
      <c r="U104" t="s">
        <v>559</v>
      </c>
      <c r="V104" t="s">
        <v>230</v>
      </c>
      <c r="W104" t="s">
        <v>613</v>
      </c>
      <c r="Y104" t="s">
        <v>1643</v>
      </c>
      <c r="Z104" t="s">
        <v>1362</v>
      </c>
      <c r="AA104" t="s">
        <v>1644</v>
      </c>
      <c r="AB104" t="s">
        <v>1364</v>
      </c>
      <c r="AC104" t="s">
        <v>1379</v>
      </c>
    </row>
    <row r="105" spans="11:29">
      <c r="P105" t="s">
        <v>614</v>
      </c>
      <c r="Q105" t="s">
        <v>227</v>
      </c>
      <c r="R105" t="s">
        <v>373</v>
      </c>
      <c r="S105" t="s">
        <v>225</v>
      </c>
      <c r="T105" t="s">
        <v>615</v>
      </c>
      <c r="U105" t="s">
        <v>559</v>
      </c>
      <c r="V105" t="s">
        <v>230</v>
      </c>
      <c r="W105" t="s">
        <v>616</v>
      </c>
      <c r="Y105" t="s">
        <v>1645</v>
      </c>
      <c r="Z105" t="s">
        <v>1362</v>
      </c>
      <c r="AA105" t="s">
        <v>1646</v>
      </c>
      <c r="AB105" t="s">
        <v>1382</v>
      </c>
      <c r="AC105" t="s">
        <v>1490</v>
      </c>
    </row>
    <row r="106" spans="11:29">
      <c r="P106" t="s">
        <v>617</v>
      </c>
      <c r="Q106" t="s">
        <v>227</v>
      </c>
      <c r="R106" t="s">
        <v>619</v>
      </c>
      <c r="S106" t="s">
        <v>225</v>
      </c>
      <c r="T106" t="s">
        <v>618</v>
      </c>
      <c r="U106" t="s">
        <v>393</v>
      </c>
      <c r="V106" t="s">
        <v>230</v>
      </c>
      <c r="W106" t="s">
        <v>620</v>
      </c>
      <c r="Y106" t="s">
        <v>1647</v>
      </c>
      <c r="Z106" t="s">
        <v>1462</v>
      </c>
      <c r="AA106" t="s">
        <v>1648</v>
      </c>
      <c r="AB106" t="s">
        <v>1464</v>
      </c>
      <c r="AC106" t="s">
        <v>1649</v>
      </c>
    </row>
    <row r="107" spans="11:29">
      <c r="P107" t="s">
        <v>621</v>
      </c>
      <c r="Q107" t="s">
        <v>622</v>
      </c>
      <c r="R107" t="s">
        <v>624</v>
      </c>
      <c r="S107" t="s">
        <v>225</v>
      </c>
      <c r="T107" t="s">
        <v>623</v>
      </c>
      <c r="U107" t="s">
        <v>393</v>
      </c>
      <c r="V107" t="s">
        <v>230</v>
      </c>
      <c r="W107" t="s">
        <v>625</v>
      </c>
      <c r="Y107" t="s">
        <v>42</v>
      </c>
      <c r="Z107" t="s">
        <v>1362</v>
      </c>
      <c r="AA107" t="s">
        <v>1650</v>
      </c>
      <c r="AB107" t="s">
        <v>1364</v>
      </c>
      <c r="AC107" t="s">
        <v>1651</v>
      </c>
    </row>
    <row r="108" spans="11:29">
      <c r="P108" t="s">
        <v>626</v>
      </c>
      <c r="Q108" t="s">
        <v>627</v>
      </c>
      <c r="R108" t="s">
        <v>629</v>
      </c>
      <c r="S108" t="s">
        <v>225</v>
      </c>
      <c r="T108" t="s">
        <v>628</v>
      </c>
      <c r="U108" t="s">
        <v>393</v>
      </c>
      <c r="V108" t="s">
        <v>230</v>
      </c>
      <c r="W108" t="s">
        <v>630</v>
      </c>
      <c r="Y108" t="s">
        <v>1652</v>
      </c>
      <c r="Z108" t="s">
        <v>1362</v>
      </c>
      <c r="AA108" t="s">
        <v>1653</v>
      </c>
      <c r="AB108" t="s">
        <v>1364</v>
      </c>
      <c r="AC108" t="s">
        <v>1654</v>
      </c>
    </row>
    <row r="109" spans="11:29">
      <c r="P109" t="s">
        <v>631</v>
      </c>
      <c r="Q109" t="s">
        <v>632</v>
      </c>
      <c r="R109" t="s">
        <v>634</v>
      </c>
      <c r="S109" t="s">
        <v>225</v>
      </c>
      <c r="T109" t="s">
        <v>633</v>
      </c>
      <c r="U109" t="s">
        <v>393</v>
      </c>
      <c r="V109" t="s">
        <v>230</v>
      </c>
      <c r="W109" t="s">
        <v>635</v>
      </c>
      <c r="Y109" t="s">
        <v>1655</v>
      </c>
      <c r="Z109" t="s">
        <v>1362</v>
      </c>
      <c r="AA109" t="s">
        <v>1656</v>
      </c>
      <c r="AB109" t="s">
        <v>1364</v>
      </c>
      <c r="AC109" t="s">
        <v>1657</v>
      </c>
    </row>
    <row r="110" spans="11:29">
      <c r="P110" t="s">
        <v>636</v>
      </c>
      <c r="Q110" t="s">
        <v>637</v>
      </c>
      <c r="R110" t="s">
        <v>639</v>
      </c>
      <c r="S110" t="s">
        <v>225</v>
      </c>
      <c r="T110" t="s">
        <v>638</v>
      </c>
      <c r="U110" t="s">
        <v>393</v>
      </c>
      <c r="V110" t="s">
        <v>230</v>
      </c>
      <c r="W110" t="s">
        <v>640</v>
      </c>
      <c r="Y110" t="s">
        <v>1658</v>
      </c>
      <c r="Z110" t="s">
        <v>1462</v>
      </c>
      <c r="AA110" t="s">
        <v>1659</v>
      </c>
      <c r="AB110" t="s">
        <v>1464</v>
      </c>
      <c r="AC110" t="s">
        <v>1660</v>
      </c>
    </row>
    <row r="111" spans="11:29">
      <c r="P111" t="s">
        <v>641</v>
      </c>
      <c r="Q111" t="s">
        <v>642</v>
      </c>
      <c r="R111" t="s">
        <v>644</v>
      </c>
      <c r="S111" t="s">
        <v>225</v>
      </c>
      <c r="T111" t="s">
        <v>643</v>
      </c>
      <c r="U111" t="s">
        <v>393</v>
      </c>
      <c r="V111" t="s">
        <v>230</v>
      </c>
      <c r="W111" t="s">
        <v>645</v>
      </c>
      <c r="Y111" t="s">
        <v>1661</v>
      </c>
      <c r="Z111" t="s">
        <v>1362</v>
      </c>
      <c r="AA111" t="s">
        <v>1662</v>
      </c>
      <c r="AB111" t="s">
        <v>1364</v>
      </c>
      <c r="AC111" t="s">
        <v>1663</v>
      </c>
    </row>
    <row r="112" spans="11:29">
      <c r="P112" t="s">
        <v>646</v>
      </c>
      <c r="Q112" t="s">
        <v>647</v>
      </c>
      <c r="R112" t="s">
        <v>649</v>
      </c>
      <c r="S112" t="s">
        <v>225</v>
      </c>
      <c r="T112" t="s">
        <v>648</v>
      </c>
      <c r="U112" t="s">
        <v>393</v>
      </c>
      <c r="V112" t="s">
        <v>230</v>
      </c>
      <c r="W112" t="s">
        <v>650</v>
      </c>
      <c r="Y112" t="s">
        <v>1664</v>
      </c>
      <c r="Z112" t="s">
        <v>1362</v>
      </c>
      <c r="AA112" t="s">
        <v>1665</v>
      </c>
      <c r="AB112" t="s">
        <v>1459</v>
      </c>
      <c r="AC112" t="s">
        <v>1666</v>
      </c>
    </row>
    <row r="113" spans="16:29">
      <c r="P113" t="s">
        <v>651</v>
      </c>
      <c r="Q113" t="s">
        <v>652</v>
      </c>
      <c r="R113" t="s">
        <v>654</v>
      </c>
      <c r="S113" t="s">
        <v>225</v>
      </c>
      <c r="T113" t="s">
        <v>653</v>
      </c>
      <c r="U113" t="s">
        <v>393</v>
      </c>
      <c r="V113" t="s">
        <v>230</v>
      </c>
      <c r="W113" t="s">
        <v>655</v>
      </c>
      <c r="Y113" t="s">
        <v>1667</v>
      </c>
      <c r="Z113" t="s">
        <v>1362</v>
      </c>
      <c r="AA113" t="s">
        <v>1668</v>
      </c>
      <c r="AB113" t="s">
        <v>1364</v>
      </c>
      <c r="AC113" t="s">
        <v>1669</v>
      </c>
    </row>
    <row r="114" spans="16:29">
      <c r="P114" t="s">
        <v>656</v>
      </c>
      <c r="Q114" t="s">
        <v>227</v>
      </c>
      <c r="R114" t="s">
        <v>658</v>
      </c>
      <c r="S114" t="s">
        <v>225</v>
      </c>
      <c r="T114" t="s">
        <v>657</v>
      </c>
      <c r="U114" t="s">
        <v>307</v>
      </c>
      <c r="V114" t="s">
        <v>230</v>
      </c>
      <c r="W114" t="s">
        <v>659</v>
      </c>
      <c r="Y114" t="s">
        <v>1670</v>
      </c>
      <c r="Z114" t="s">
        <v>1362</v>
      </c>
      <c r="AA114" t="s">
        <v>1671</v>
      </c>
      <c r="AB114" t="s">
        <v>1459</v>
      </c>
      <c r="AC114" t="s">
        <v>1420</v>
      </c>
    </row>
    <row r="115" spans="16:29">
      <c r="P115" t="s">
        <v>660</v>
      </c>
      <c r="Q115" t="s">
        <v>227</v>
      </c>
      <c r="R115" t="s">
        <v>662</v>
      </c>
      <c r="S115" t="s">
        <v>225</v>
      </c>
      <c r="T115" t="s">
        <v>661</v>
      </c>
      <c r="U115" t="s">
        <v>393</v>
      </c>
      <c r="V115" t="s">
        <v>230</v>
      </c>
      <c r="W115" t="s">
        <v>663</v>
      </c>
      <c r="Y115" t="s">
        <v>1672</v>
      </c>
      <c r="Z115" t="s">
        <v>1362</v>
      </c>
      <c r="AA115" t="s">
        <v>1673</v>
      </c>
      <c r="AB115" t="s">
        <v>1364</v>
      </c>
      <c r="AC115" t="s">
        <v>1379</v>
      </c>
    </row>
    <row r="116" spans="16:29">
      <c r="P116" t="s">
        <v>664</v>
      </c>
      <c r="Q116" t="s">
        <v>665</v>
      </c>
      <c r="R116" t="s">
        <v>667</v>
      </c>
      <c r="S116" t="s">
        <v>225</v>
      </c>
      <c r="T116" t="s">
        <v>666</v>
      </c>
      <c r="U116" t="s">
        <v>393</v>
      </c>
      <c r="V116" t="s">
        <v>230</v>
      </c>
      <c r="W116" t="s">
        <v>668</v>
      </c>
      <c r="Y116" t="s">
        <v>41</v>
      </c>
      <c r="Z116" t="s">
        <v>1362</v>
      </c>
      <c r="AA116" t="s">
        <v>1674</v>
      </c>
      <c r="AB116" t="s">
        <v>1459</v>
      </c>
      <c r="AC116" t="s">
        <v>1420</v>
      </c>
    </row>
    <row r="117" spans="16:29">
      <c r="P117" t="s">
        <v>669</v>
      </c>
      <c r="Q117" t="s">
        <v>670</v>
      </c>
      <c r="R117" t="s">
        <v>672</v>
      </c>
      <c r="S117" t="s">
        <v>225</v>
      </c>
      <c r="T117" t="s">
        <v>671</v>
      </c>
      <c r="U117" t="s">
        <v>393</v>
      </c>
      <c r="V117" t="s">
        <v>230</v>
      </c>
      <c r="W117" t="s">
        <v>673</v>
      </c>
      <c r="Y117" t="s">
        <v>1675</v>
      </c>
      <c r="Z117" t="s">
        <v>1362</v>
      </c>
      <c r="AA117" t="s">
        <v>1676</v>
      </c>
      <c r="AB117" t="s">
        <v>1364</v>
      </c>
      <c r="AC117" t="s">
        <v>1677</v>
      </c>
    </row>
    <row r="118" spans="16:29">
      <c r="P118" t="s">
        <v>674</v>
      </c>
      <c r="Q118" t="s">
        <v>227</v>
      </c>
      <c r="R118" t="s">
        <v>676</v>
      </c>
      <c r="S118" t="s">
        <v>225</v>
      </c>
      <c r="T118" t="s">
        <v>675</v>
      </c>
      <c r="U118" t="s">
        <v>393</v>
      </c>
      <c r="V118" t="s">
        <v>230</v>
      </c>
      <c r="W118" t="s">
        <v>677</v>
      </c>
      <c r="Y118" t="s">
        <v>1678</v>
      </c>
      <c r="Z118" t="s">
        <v>1462</v>
      </c>
      <c r="AA118" t="s">
        <v>1679</v>
      </c>
      <c r="AB118" t="s">
        <v>1464</v>
      </c>
      <c r="AC118" t="s">
        <v>1490</v>
      </c>
    </row>
    <row r="119" spans="16:29">
      <c r="P119" t="s">
        <v>678</v>
      </c>
      <c r="Q119" t="s">
        <v>227</v>
      </c>
      <c r="R119" t="s">
        <v>680</v>
      </c>
      <c r="S119" t="s">
        <v>225</v>
      </c>
      <c r="T119" t="s">
        <v>679</v>
      </c>
      <c r="U119" t="s">
        <v>393</v>
      </c>
      <c r="V119" t="s">
        <v>230</v>
      </c>
      <c r="W119" t="s">
        <v>681</v>
      </c>
      <c r="Y119" t="s">
        <v>1680</v>
      </c>
      <c r="Z119" t="s">
        <v>1362</v>
      </c>
      <c r="AA119" t="s">
        <v>1681</v>
      </c>
      <c r="AB119" t="s">
        <v>1364</v>
      </c>
      <c r="AC119" t="s">
        <v>1682</v>
      </c>
    </row>
    <row r="120" spans="16:29">
      <c r="P120" t="s">
        <v>682</v>
      </c>
      <c r="Q120" t="s">
        <v>227</v>
      </c>
      <c r="R120" t="s">
        <v>684</v>
      </c>
      <c r="S120" t="s">
        <v>225</v>
      </c>
      <c r="T120" t="s">
        <v>683</v>
      </c>
      <c r="U120" t="s">
        <v>393</v>
      </c>
      <c r="V120" t="s">
        <v>230</v>
      </c>
      <c r="W120" t="s">
        <v>685</v>
      </c>
      <c r="Y120" t="s">
        <v>1683</v>
      </c>
      <c r="Z120" t="s">
        <v>1362</v>
      </c>
      <c r="AA120" t="s">
        <v>1684</v>
      </c>
      <c r="AB120" t="s">
        <v>1484</v>
      </c>
      <c r="AC120" t="s">
        <v>1685</v>
      </c>
    </row>
    <row r="121" spans="16:29">
      <c r="P121" t="s">
        <v>686</v>
      </c>
      <c r="Q121" t="s">
        <v>227</v>
      </c>
      <c r="R121" t="s">
        <v>688</v>
      </c>
      <c r="S121" t="s">
        <v>225</v>
      </c>
      <c r="T121" t="s">
        <v>687</v>
      </c>
      <c r="U121" t="s">
        <v>393</v>
      </c>
      <c r="V121" t="s">
        <v>230</v>
      </c>
      <c r="W121" t="s">
        <v>689</v>
      </c>
      <c r="Y121" t="s">
        <v>1686</v>
      </c>
      <c r="Z121" t="s">
        <v>1362</v>
      </c>
      <c r="AA121" t="s">
        <v>1687</v>
      </c>
      <c r="AB121" t="s">
        <v>1364</v>
      </c>
      <c r="AC121" t="s">
        <v>1499</v>
      </c>
    </row>
    <row r="122" spans="16:29">
      <c r="P122" t="s">
        <v>690</v>
      </c>
      <c r="Q122" t="s">
        <v>691</v>
      </c>
      <c r="R122" t="s">
        <v>693</v>
      </c>
      <c r="S122" t="s">
        <v>225</v>
      </c>
      <c r="T122" t="s">
        <v>692</v>
      </c>
      <c r="U122" t="s">
        <v>393</v>
      </c>
      <c r="V122" t="s">
        <v>230</v>
      </c>
      <c r="W122" t="s">
        <v>694</v>
      </c>
      <c r="Y122" t="s">
        <v>1688</v>
      </c>
      <c r="Z122" t="s">
        <v>1362</v>
      </c>
      <c r="AA122" t="s">
        <v>1689</v>
      </c>
      <c r="AB122" t="s">
        <v>1364</v>
      </c>
      <c r="AC122" t="s">
        <v>1622</v>
      </c>
    </row>
    <row r="123" spans="16:29">
      <c r="P123" t="s">
        <v>695</v>
      </c>
      <c r="Q123" t="s">
        <v>696</v>
      </c>
      <c r="R123" t="s">
        <v>698</v>
      </c>
      <c r="S123" t="s">
        <v>225</v>
      </c>
      <c r="T123" t="s">
        <v>697</v>
      </c>
      <c r="U123" t="s">
        <v>393</v>
      </c>
      <c r="V123" t="s">
        <v>230</v>
      </c>
      <c r="W123" t="s">
        <v>699</v>
      </c>
      <c r="Y123" t="s">
        <v>1690</v>
      </c>
      <c r="Z123" t="s">
        <v>1362</v>
      </c>
      <c r="AA123" t="s">
        <v>1691</v>
      </c>
      <c r="AB123" t="s">
        <v>1364</v>
      </c>
      <c r="AC123" t="s">
        <v>1554</v>
      </c>
    </row>
    <row r="124" spans="16:29">
      <c r="P124" t="s">
        <v>700</v>
      </c>
      <c r="Q124" t="s">
        <v>701</v>
      </c>
      <c r="R124" t="s">
        <v>703</v>
      </c>
      <c r="S124" t="s">
        <v>225</v>
      </c>
      <c r="T124" t="s">
        <v>702</v>
      </c>
      <c r="U124" t="s">
        <v>393</v>
      </c>
      <c r="V124" t="s">
        <v>230</v>
      </c>
      <c r="W124" t="s">
        <v>704</v>
      </c>
      <c r="Y124" t="s">
        <v>1692</v>
      </c>
      <c r="Z124" t="s">
        <v>1362</v>
      </c>
      <c r="AA124" t="s">
        <v>1693</v>
      </c>
      <c r="AB124" t="s">
        <v>1364</v>
      </c>
      <c r="AC124" t="s">
        <v>1694</v>
      </c>
    </row>
    <row r="125" spans="16:29">
      <c r="P125" t="s">
        <v>705</v>
      </c>
      <c r="Q125" t="s">
        <v>706</v>
      </c>
      <c r="R125" t="s">
        <v>708</v>
      </c>
      <c r="S125" t="s">
        <v>225</v>
      </c>
      <c r="T125" t="s">
        <v>707</v>
      </c>
      <c r="U125" t="s">
        <v>393</v>
      </c>
      <c r="V125" t="s">
        <v>230</v>
      </c>
      <c r="W125" t="s">
        <v>709</v>
      </c>
      <c r="Y125" t="s">
        <v>1695</v>
      </c>
      <c r="Z125" t="s">
        <v>1362</v>
      </c>
      <c r="AA125" t="s">
        <v>1696</v>
      </c>
      <c r="AB125" t="s">
        <v>1407</v>
      </c>
      <c r="AC125" t="s">
        <v>1697</v>
      </c>
    </row>
    <row r="126" spans="16:29">
      <c r="P126" t="s">
        <v>710</v>
      </c>
      <c r="Q126" t="s">
        <v>711</v>
      </c>
      <c r="R126" t="s">
        <v>713</v>
      </c>
      <c r="S126" t="s">
        <v>225</v>
      </c>
      <c r="T126" t="s">
        <v>712</v>
      </c>
      <c r="U126" t="s">
        <v>393</v>
      </c>
      <c r="V126" t="s">
        <v>230</v>
      </c>
      <c r="W126" t="s">
        <v>714</v>
      </c>
      <c r="Y126" t="s">
        <v>1698</v>
      </c>
      <c r="Z126" t="s">
        <v>1362</v>
      </c>
      <c r="AA126" t="s">
        <v>1699</v>
      </c>
      <c r="AB126" t="s">
        <v>1605</v>
      </c>
      <c r="AC126" t="s">
        <v>1383</v>
      </c>
    </row>
    <row r="127" spans="16:29">
      <c r="P127" t="s">
        <v>715</v>
      </c>
      <c r="Q127" t="s">
        <v>716</v>
      </c>
      <c r="R127" t="s">
        <v>718</v>
      </c>
      <c r="S127" t="s">
        <v>225</v>
      </c>
      <c r="T127" t="s">
        <v>717</v>
      </c>
      <c r="U127" t="s">
        <v>393</v>
      </c>
      <c r="V127" t="s">
        <v>230</v>
      </c>
      <c r="W127" t="s">
        <v>719</v>
      </c>
      <c r="Y127" t="s">
        <v>1700</v>
      </c>
      <c r="Z127" t="s">
        <v>1362</v>
      </c>
      <c r="AA127" t="s">
        <v>1701</v>
      </c>
      <c r="AB127" t="s">
        <v>1364</v>
      </c>
      <c r="AC127" t="s">
        <v>1490</v>
      </c>
    </row>
    <row r="128" spans="16:29">
      <c r="P128" t="s">
        <v>720</v>
      </c>
      <c r="Q128" t="s">
        <v>721</v>
      </c>
      <c r="R128" t="s">
        <v>723</v>
      </c>
      <c r="S128" t="s">
        <v>225</v>
      </c>
      <c r="T128" t="s">
        <v>722</v>
      </c>
      <c r="U128" t="s">
        <v>393</v>
      </c>
      <c r="V128" t="s">
        <v>230</v>
      </c>
      <c r="W128" t="s">
        <v>724</v>
      </c>
      <c r="Y128" t="s">
        <v>1702</v>
      </c>
      <c r="Z128" t="s">
        <v>1362</v>
      </c>
      <c r="AA128" t="s">
        <v>1703</v>
      </c>
      <c r="AB128" t="s">
        <v>1364</v>
      </c>
      <c r="AC128" t="s">
        <v>1704</v>
      </c>
    </row>
    <row r="129" spans="16:29">
      <c r="P129" t="s">
        <v>725</v>
      </c>
      <c r="Q129" t="s">
        <v>726</v>
      </c>
      <c r="R129" t="s">
        <v>728</v>
      </c>
      <c r="S129" t="s">
        <v>225</v>
      </c>
      <c r="T129" t="s">
        <v>727</v>
      </c>
      <c r="U129" t="s">
        <v>393</v>
      </c>
      <c r="V129" t="s">
        <v>230</v>
      </c>
      <c r="W129" t="s">
        <v>729</v>
      </c>
      <c r="Y129" t="s">
        <v>1705</v>
      </c>
      <c r="Z129" t="s">
        <v>1362</v>
      </c>
      <c r="AA129" t="s">
        <v>1706</v>
      </c>
      <c r="AB129" t="s">
        <v>1364</v>
      </c>
      <c r="AC129" t="s">
        <v>1707</v>
      </c>
    </row>
    <row r="130" spans="16:29">
      <c r="P130" t="s">
        <v>730</v>
      </c>
      <c r="Q130" t="s">
        <v>731</v>
      </c>
      <c r="R130" t="s">
        <v>733</v>
      </c>
      <c r="S130" t="s">
        <v>225</v>
      </c>
      <c r="T130" t="s">
        <v>732</v>
      </c>
      <c r="U130" t="s">
        <v>393</v>
      </c>
      <c r="V130" t="s">
        <v>230</v>
      </c>
      <c r="W130" t="s">
        <v>734</v>
      </c>
      <c r="Y130" t="s">
        <v>1708</v>
      </c>
      <c r="Z130" t="s">
        <v>1362</v>
      </c>
      <c r="AA130" t="s">
        <v>1709</v>
      </c>
      <c r="AB130" t="s">
        <v>1364</v>
      </c>
      <c r="AC130" t="s">
        <v>1436</v>
      </c>
    </row>
    <row r="131" spans="16:29">
      <c r="P131" t="s">
        <v>735</v>
      </c>
      <c r="Q131" t="s">
        <v>736</v>
      </c>
      <c r="R131" t="s">
        <v>738</v>
      </c>
      <c r="S131" t="s">
        <v>225</v>
      </c>
      <c r="T131" t="s">
        <v>737</v>
      </c>
      <c r="U131" t="s">
        <v>393</v>
      </c>
      <c r="V131" t="s">
        <v>230</v>
      </c>
      <c r="W131" t="s">
        <v>739</v>
      </c>
      <c r="Y131" t="s">
        <v>1710</v>
      </c>
      <c r="Z131" t="s">
        <v>1362</v>
      </c>
      <c r="AA131" t="s">
        <v>1711</v>
      </c>
      <c r="AB131" t="s">
        <v>1605</v>
      </c>
      <c r="AC131" t="s">
        <v>1490</v>
      </c>
    </row>
    <row r="132" spans="16:29">
      <c r="P132" t="s">
        <v>740</v>
      </c>
      <c r="Q132" t="s">
        <v>741</v>
      </c>
      <c r="R132" t="s">
        <v>743</v>
      </c>
      <c r="S132" t="s">
        <v>225</v>
      </c>
      <c r="T132" t="s">
        <v>742</v>
      </c>
      <c r="U132" t="s">
        <v>393</v>
      </c>
      <c r="V132" t="s">
        <v>230</v>
      </c>
      <c r="W132" t="s">
        <v>744</v>
      </c>
      <c r="Y132" t="s">
        <v>1712</v>
      </c>
      <c r="Z132" t="s">
        <v>1362</v>
      </c>
      <c r="AA132" t="s">
        <v>1713</v>
      </c>
      <c r="AB132" t="s">
        <v>1364</v>
      </c>
      <c r="AC132" t="s">
        <v>1383</v>
      </c>
    </row>
    <row r="133" spans="16:29">
      <c r="P133" t="s">
        <v>745</v>
      </c>
      <c r="Q133" t="s">
        <v>746</v>
      </c>
      <c r="R133" t="s">
        <v>748</v>
      </c>
      <c r="S133" t="s">
        <v>225</v>
      </c>
      <c r="T133" t="s">
        <v>747</v>
      </c>
      <c r="U133" t="s">
        <v>393</v>
      </c>
      <c r="V133" t="s">
        <v>230</v>
      </c>
      <c r="W133" t="s">
        <v>749</v>
      </c>
      <c r="Y133" t="s">
        <v>1714</v>
      </c>
      <c r="Z133" t="s">
        <v>1362</v>
      </c>
      <c r="AA133" t="s">
        <v>1715</v>
      </c>
      <c r="AB133" t="s">
        <v>1364</v>
      </c>
      <c r="AC133" t="s">
        <v>1379</v>
      </c>
    </row>
    <row r="134" spans="16:29">
      <c r="P134" t="s">
        <v>750</v>
      </c>
      <c r="Q134" t="s">
        <v>227</v>
      </c>
      <c r="R134" t="s">
        <v>752</v>
      </c>
      <c r="S134" t="s">
        <v>225</v>
      </c>
      <c r="T134" t="s">
        <v>751</v>
      </c>
      <c r="U134" t="s">
        <v>267</v>
      </c>
      <c r="V134" t="s">
        <v>230</v>
      </c>
      <c r="W134" t="s">
        <v>753</v>
      </c>
      <c r="Y134" t="s">
        <v>1716</v>
      </c>
      <c r="Z134" t="s">
        <v>1362</v>
      </c>
      <c r="AA134" t="s">
        <v>1717</v>
      </c>
      <c r="AB134" t="s">
        <v>1459</v>
      </c>
      <c r="AC134" t="s">
        <v>1420</v>
      </c>
    </row>
    <row r="135" spans="16:29">
      <c r="P135" t="s">
        <v>754</v>
      </c>
      <c r="Q135" t="s">
        <v>227</v>
      </c>
      <c r="R135" t="s">
        <v>754</v>
      </c>
      <c r="S135" t="s">
        <v>225</v>
      </c>
      <c r="T135" t="s">
        <v>755</v>
      </c>
      <c r="U135" t="s">
        <v>393</v>
      </c>
      <c r="V135" t="s">
        <v>230</v>
      </c>
      <c r="W135" t="s">
        <v>756</v>
      </c>
      <c r="Y135" t="s">
        <v>1718</v>
      </c>
      <c r="Z135" t="s">
        <v>1362</v>
      </c>
      <c r="AA135" t="s">
        <v>1719</v>
      </c>
      <c r="AB135" t="s">
        <v>1364</v>
      </c>
      <c r="AC135" t="s">
        <v>1720</v>
      </c>
    </row>
    <row r="136" spans="16:29">
      <c r="P136" t="s">
        <v>757</v>
      </c>
      <c r="Q136" t="s">
        <v>227</v>
      </c>
      <c r="R136" t="s">
        <v>525</v>
      </c>
      <c r="S136" t="s">
        <v>225</v>
      </c>
      <c r="T136" t="s">
        <v>758</v>
      </c>
      <c r="U136" t="s">
        <v>754</v>
      </c>
      <c r="V136" t="s">
        <v>230</v>
      </c>
      <c r="W136" t="s">
        <v>759</v>
      </c>
      <c r="Y136" t="s">
        <v>1721</v>
      </c>
      <c r="Z136" t="s">
        <v>1362</v>
      </c>
      <c r="AA136" t="s">
        <v>1722</v>
      </c>
      <c r="AB136" t="s">
        <v>1364</v>
      </c>
      <c r="AC136" t="s">
        <v>1723</v>
      </c>
    </row>
    <row r="137" spans="16:29">
      <c r="P137" t="s">
        <v>760</v>
      </c>
      <c r="Q137" t="s">
        <v>227</v>
      </c>
      <c r="R137" t="s">
        <v>273</v>
      </c>
      <c r="S137" t="s">
        <v>225</v>
      </c>
      <c r="T137" t="s">
        <v>761</v>
      </c>
      <c r="U137" t="s">
        <v>754</v>
      </c>
      <c r="V137" t="s">
        <v>230</v>
      </c>
      <c r="W137" t="s">
        <v>762</v>
      </c>
      <c r="Y137" t="s">
        <v>1724</v>
      </c>
      <c r="Z137" t="s">
        <v>1362</v>
      </c>
      <c r="AA137" t="s">
        <v>1725</v>
      </c>
      <c r="AB137" t="s">
        <v>1364</v>
      </c>
      <c r="AC137" t="s">
        <v>1454</v>
      </c>
    </row>
    <row r="138" spans="16:29">
      <c r="P138" t="s">
        <v>763</v>
      </c>
      <c r="Q138" t="s">
        <v>227</v>
      </c>
      <c r="R138" t="s">
        <v>247</v>
      </c>
      <c r="S138" t="s">
        <v>225</v>
      </c>
      <c r="T138" t="s">
        <v>764</v>
      </c>
      <c r="U138" t="s">
        <v>754</v>
      </c>
      <c r="V138" t="s">
        <v>230</v>
      </c>
      <c r="W138" t="s">
        <v>765</v>
      </c>
      <c r="Y138" t="s">
        <v>1726</v>
      </c>
      <c r="Z138" t="s">
        <v>1362</v>
      </c>
      <c r="AA138" t="s">
        <v>1727</v>
      </c>
      <c r="AB138" t="s">
        <v>1382</v>
      </c>
      <c r="AC138" t="s">
        <v>1490</v>
      </c>
    </row>
    <row r="139" spans="16:29">
      <c r="P139" t="s">
        <v>766</v>
      </c>
      <c r="Q139" t="s">
        <v>227</v>
      </c>
      <c r="R139" t="s">
        <v>535</v>
      </c>
      <c r="S139" t="s">
        <v>225</v>
      </c>
      <c r="T139" t="s">
        <v>767</v>
      </c>
      <c r="U139" t="s">
        <v>754</v>
      </c>
      <c r="V139" t="s">
        <v>230</v>
      </c>
      <c r="W139" t="s">
        <v>768</v>
      </c>
      <c r="Y139" t="s">
        <v>1728</v>
      </c>
      <c r="Z139" t="s">
        <v>1362</v>
      </c>
      <c r="AA139" t="s">
        <v>1729</v>
      </c>
      <c r="AB139" t="s">
        <v>1605</v>
      </c>
      <c r="AC139" t="s">
        <v>1730</v>
      </c>
    </row>
    <row r="140" spans="16:29">
      <c r="P140" t="s">
        <v>769</v>
      </c>
      <c r="Q140" t="s">
        <v>227</v>
      </c>
      <c r="R140" t="s">
        <v>280</v>
      </c>
      <c r="S140" t="s">
        <v>225</v>
      </c>
      <c r="T140" t="s">
        <v>770</v>
      </c>
      <c r="U140" t="s">
        <v>754</v>
      </c>
      <c r="V140" t="s">
        <v>230</v>
      </c>
      <c r="W140" t="s">
        <v>771</v>
      </c>
      <c r="Y140" t="s">
        <v>1731</v>
      </c>
      <c r="Z140" t="s">
        <v>1362</v>
      </c>
      <c r="AA140" t="s">
        <v>1732</v>
      </c>
      <c r="AB140" t="s">
        <v>1382</v>
      </c>
      <c r="AC140" t="s">
        <v>1383</v>
      </c>
    </row>
    <row r="141" spans="16:29">
      <c r="P141" t="s">
        <v>772</v>
      </c>
      <c r="Q141" t="s">
        <v>227</v>
      </c>
      <c r="R141" t="s">
        <v>284</v>
      </c>
      <c r="S141" t="s">
        <v>225</v>
      </c>
      <c r="T141" t="s">
        <v>773</v>
      </c>
      <c r="U141" t="s">
        <v>754</v>
      </c>
      <c r="V141" t="s">
        <v>230</v>
      </c>
      <c r="W141" t="s">
        <v>774</v>
      </c>
      <c r="Y141" t="s">
        <v>1733</v>
      </c>
      <c r="Z141" t="s">
        <v>1462</v>
      </c>
      <c r="AA141" t="s">
        <v>1734</v>
      </c>
      <c r="AB141" t="s">
        <v>1464</v>
      </c>
      <c r="AC141" t="s">
        <v>1505</v>
      </c>
    </row>
    <row r="142" spans="16:29">
      <c r="P142" t="s">
        <v>775</v>
      </c>
      <c r="Q142" t="s">
        <v>227</v>
      </c>
      <c r="R142" t="s">
        <v>288</v>
      </c>
      <c r="S142" t="s">
        <v>225</v>
      </c>
      <c r="T142" t="s">
        <v>776</v>
      </c>
      <c r="U142" t="s">
        <v>754</v>
      </c>
      <c r="V142" t="s">
        <v>230</v>
      </c>
      <c r="W142" t="s">
        <v>777</v>
      </c>
      <c r="Y142" t="s">
        <v>1735</v>
      </c>
      <c r="Z142" t="s">
        <v>1362</v>
      </c>
      <c r="AA142" t="s">
        <v>1736</v>
      </c>
      <c r="AB142" t="s">
        <v>1364</v>
      </c>
    </row>
    <row r="143" spans="16:29">
      <c r="P143" t="s">
        <v>778</v>
      </c>
      <c r="Q143" t="s">
        <v>227</v>
      </c>
      <c r="R143" t="s">
        <v>381</v>
      </c>
      <c r="S143" t="s">
        <v>225</v>
      </c>
      <c r="T143" t="s">
        <v>779</v>
      </c>
      <c r="U143" t="s">
        <v>754</v>
      </c>
      <c r="V143" t="s">
        <v>230</v>
      </c>
      <c r="W143" t="s">
        <v>780</v>
      </c>
      <c r="Y143" t="s">
        <v>1737</v>
      </c>
      <c r="Z143" t="s">
        <v>1362</v>
      </c>
      <c r="AA143" t="s">
        <v>1738</v>
      </c>
      <c r="AB143" t="s">
        <v>1364</v>
      </c>
      <c r="AC143" t="s">
        <v>1370</v>
      </c>
    </row>
    <row r="144" spans="16:29">
      <c r="P144" t="s">
        <v>781</v>
      </c>
      <c r="Q144" t="s">
        <v>227</v>
      </c>
      <c r="R144" t="s">
        <v>296</v>
      </c>
      <c r="S144" t="s">
        <v>225</v>
      </c>
      <c r="T144" t="s">
        <v>782</v>
      </c>
      <c r="U144" t="s">
        <v>754</v>
      </c>
      <c r="V144" t="s">
        <v>230</v>
      </c>
      <c r="W144" t="s">
        <v>783</v>
      </c>
      <c r="Y144" t="s">
        <v>1739</v>
      </c>
      <c r="Z144" t="s">
        <v>1362</v>
      </c>
      <c r="AA144" t="s">
        <v>1740</v>
      </c>
      <c r="AB144" t="s">
        <v>1364</v>
      </c>
      <c r="AC144" t="s">
        <v>1379</v>
      </c>
    </row>
    <row r="145" spans="16:29">
      <c r="P145" t="s">
        <v>784</v>
      </c>
      <c r="Q145" t="s">
        <v>227</v>
      </c>
      <c r="R145" t="s">
        <v>300</v>
      </c>
      <c r="S145" t="s">
        <v>225</v>
      </c>
      <c r="T145" t="s">
        <v>785</v>
      </c>
      <c r="U145" t="s">
        <v>754</v>
      </c>
      <c r="V145" t="s">
        <v>230</v>
      </c>
      <c r="W145" t="s">
        <v>786</v>
      </c>
      <c r="Y145" t="s">
        <v>1741</v>
      </c>
      <c r="Z145" t="s">
        <v>1362</v>
      </c>
      <c r="AA145" t="s">
        <v>1742</v>
      </c>
      <c r="AB145" t="s">
        <v>1364</v>
      </c>
      <c r="AC145" t="s">
        <v>1383</v>
      </c>
    </row>
    <row r="146" spans="16:29">
      <c r="P146" t="s">
        <v>787</v>
      </c>
      <c r="Q146" t="s">
        <v>227</v>
      </c>
      <c r="R146" t="s">
        <v>557</v>
      </c>
      <c r="S146" t="s">
        <v>225</v>
      </c>
      <c r="T146" t="s">
        <v>788</v>
      </c>
      <c r="U146" t="s">
        <v>754</v>
      </c>
      <c r="V146" t="s">
        <v>230</v>
      </c>
      <c r="W146" t="s">
        <v>789</v>
      </c>
      <c r="Y146" t="s">
        <v>1743</v>
      </c>
      <c r="Z146" t="s">
        <v>1362</v>
      </c>
      <c r="AA146" t="s">
        <v>1744</v>
      </c>
      <c r="AB146" t="s">
        <v>1364</v>
      </c>
      <c r="AC146" t="s">
        <v>1383</v>
      </c>
    </row>
    <row r="147" spans="16:29">
      <c r="P147" t="s">
        <v>790</v>
      </c>
      <c r="Q147" t="s">
        <v>227</v>
      </c>
      <c r="R147" t="s">
        <v>561</v>
      </c>
      <c r="S147" t="s">
        <v>225</v>
      </c>
      <c r="T147" t="s">
        <v>791</v>
      </c>
      <c r="U147" t="s">
        <v>754</v>
      </c>
      <c r="V147" t="s">
        <v>230</v>
      </c>
      <c r="W147" t="s">
        <v>792</v>
      </c>
      <c r="Y147" t="s">
        <v>1745</v>
      </c>
      <c r="Z147" t="s">
        <v>1362</v>
      </c>
      <c r="AA147" t="s">
        <v>1746</v>
      </c>
      <c r="AB147" t="s">
        <v>1382</v>
      </c>
      <c r="AC147" t="s">
        <v>1490</v>
      </c>
    </row>
    <row r="148" spans="16:29">
      <c r="P148" t="s">
        <v>793</v>
      </c>
      <c r="Q148" t="s">
        <v>227</v>
      </c>
      <c r="R148" t="s">
        <v>231</v>
      </c>
      <c r="S148" t="s">
        <v>225</v>
      </c>
      <c r="T148" t="s">
        <v>794</v>
      </c>
      <c r="U148" t="s">
        <v>790</v>
      </c>
      <c r="V148" t="s">
        <v>230</v>
      </c>
      <c r="W148" t="s">
        <v>795</v>
      </c>
      <c r="Y148" t="s">
        <v>1747</v>
      </c>
      <c r="Z148" t="s">
        <v>1362</v>
      </c>
      <c r="AA148" t="s">
        <v>1748</v>
      </c>
      <c r="AB148" t="s">
        <v>1364</v>
      </c>
      <c r="AC148" t="s">
        <v>1383</v>
      </c>
    </row>
    <row r="149" spans="16:29">
      <c r="P149" t="s">
        <v>796</v>
      </c>
      <c r="Q149" t="s">
        <v>227</v>
      </c>
      <c r="R149" t="s">
        <v>236</v>
      </c>
      <c r="S149" t="s">
        <v>225</v>
      </c>
      <c r="T149" t="s">
        <v>797</v>
      </c>
      <c r="U149" t="s">
        <v>790</v>
      </c>
      <c r="V149" t="s">
        <v>230</v>
      </c>
      <c r="W149" t="s">
        <v>798</v>
      </c>
      <c r="Y149" t="s">
        <v>1749</v>
      </c>
      <c r="Z149" t="s">
        <v>1362</v>
      </c>
      <c r="AA149" t="s">
        <v>1750</v>
      </c>
      <c r="AB149" t="s">
        <v>1364</v>
      </c>
      <c r="AC149" t="s">
        <v>1751</v>
      </c>
    </row>
    <row r="150" spans="16:29">
      <c r="P150" t="s">
        <v>799</v>
      </c>
      <c r="Q150" t="s">
        <v>227</v>
      </c>
      <c r="R150" t="s">
        <v>247</v>
      </c>
      <c r="S150" t="s">
        <v>225</v>
      </c>
      <c r="T150" t="s">
        <v>800</v>
      </c>
      <c r="U150" t="s">
        <v>790</v>
      </c>
      <c r="V150" t="s">
        <v>230</v>
      </c>
      <c r="W150" t="s">
        <v>801</v>
      </c>
      <c r="Y150" t="s">
        <v>1752</v>
      </c>
      <c r="Z150" t="s">
        <v>1362</v>
      </c>
      <c r="AA150" t="s">
        <v>1753</v>
      </c>
      <c r="AB150" t="s">
        <v>1364</v>
      </c>
      <c r="AC150" t="s">
        <v>1562</v>
      </c>
    </row>
    <row r="151" spans="16:29">
      <c r="P151" t="s">
        <v>802</v>
      </c>
      <c r="Q151" t="s">
        <v>227</v>
      </c>
      <c r="R151" t="s">
        <v>251</v>
      </c>
      <c r="S151" t="s">
        <v>225</v>
      </c>
      <c r="T151" t="s">
        <v>803</v>
      </c>
      <c r="U151" t="s">
        <v>790</v>
      </c>
      <c r="V151" t="s">
        <v>230</v>
      </c>
      <c r="W151" t="s">
        <v>804</v>
      </c>
      <c r="Y151" t="s">
        <v>1754</v>
      </c>
      <c r="Z151" t="s">
        <v>1362</v>
      </c>
      <c r="AA151" t="s">
        <v>1755</v>
      </c>
      <c r="AB151" t="s">
        <v>1364</v>
      </c>
      <c r="AC151" t="s">
        <v>1756</v>
      </c>
    </row>
    <row r="152" spans="16:29">
      <c r="P152" t="s">
        <v>805</v>
      </c>
      <c r="Q152" t="s">
        <v>227</v>
      </c>
      <c r="R152" t="s">
        <v>255</v>
      </c>
      <c r="S152" t="s">
        <v>225</v>
      </c>
      <c r="T152" t="s">
        <v>806</v>
      </c>
      <c r="U152" t="s">
        <v>790</v>
      </c>
      <c r="V152" t="s">
        <v>230</v>
      </c>
      <c r="W152" t="s">
        <v>807</v>
      </c>
      <c r="Y152" t="s">
        <v>1757</v>
      </c>
      <c r="Z152" t="s">
        <v>1362</v>
      </c>
      <c r="AA152" t="s">
        <v>1758</v>
      </c>
      <c r="AB152" t="s">
        <v>1382</v>
      </c>
      <c r="AC152" t="s">
        <v>1423</v>
      </c>
    </row>
    <row r="153" spans="16:29">
      <c r="P153" t="s">
        <v>808</v>
      </c>
      <c r="Q153" t="s">
        <v>227</v>
      </c>
      <c r="R153" t="s">
        <v>608</v>
      </c>
      <c r="S153" t="s">
        <v>225</v>
      </c>
      <c r="T153" t="s">
        <v>809</v>
      </c>
      <c r="U153" t="s">
        <v>790</v>
      </c>
      <c r="V153" t="s">
        <v>230</v>
      </c>
      <c r="W153" t="s">
        <v>810</v>
      </c>
      <c r="Y153" t="s">
        <v>1759</v>
      </c>
      <c r="Z153" t="s">
        <v>1362</v>
      </c>
      <c r="AA153" t="s">
        <v>1760</v>
      </c>
      <c r="AB153" t="s">
        <v>1382</v>
      </c>
      <c r="AC153" t="s">
        <v>1490</v>
      </c>
    </row>
    <row r="154" spans="16:29">
      <c r="P154" t="s">
        <v>811</v>
      </c>
      <c r="Q154" t="s">
        <v>227</v>
      </c>
      <c r="R154" t="s">
        <v>612</v>
      </c>
      <c r="S154" t="s">
        <v>225</v>
      </c>
      <c r="T154" t="s">
        <v>812</v>
      </c>
      <c r="U154" t="s">
        <v>790</v>
      </c>
      <c r="V154" t="s">
        <v>230</v>
      </c>
      <c r="W154" t="s">
        <v>813</v>
      </c>
      <c r="Y154" t="s">
        <v>1761</v>
      </c>
      <c r="Z154" t="s">
        <v>1362</v>
      </c>
      <c r="AA154" t="s">
        <v>1762</v>
      </c>
      <c r="AB154" t="s">
        <v>1364</v>
      </c>
      <c r="AC154" t="s">
        <v>1763</v>
      </c>
    </row>
    <row r="155" spans="16:29">
      <c r="P155" t="s">
        <v>814</v>
      </c>
      <c r="Q155" t="s">
        <v>227</v>
      </c>
      <c r="R155" t="s">
        <v>373</v>
      </c>
      <c r="S155" t="s">
        <v>225</v>
      </c>
      <c r="T155" t="s">
        <v>815</v>
      </c>
      <c r="U155" t="s">
        <v>790</v>
      </c>
      <c r="V155" t="s">
        <v>230</v>
      </c>
      <c r="W155" t="s">
        <v>816</v>
      </c>
      <c r="Y155" t="s">
        <v>1764</v>
      </c>
      <c r="Z155" t="s">
        <v>1362</v>
      </c>
      <c r="AA155" t="s">
        <v>1765</v>
      </c>
      <c r="AB155" t="s">
        <v>1364</v>
      </c>
      <c r="AC155" t="s">
        <v>1766</v>
      </c>
    </row>
    <row r="156" spans="16:29">
      <c r="P156" t="s">
        <v>817</v>
      </c>
      <c r="Q156" t="s">
        <v>227</v>
      </c>
      <c r="R156" t="s">
        <v>239</v>
      </c>
      <c r="S156" t="s">
        <v>225</v>
      </c>
      <c r="T156" t="s">
        <v>818</v>
      </c>
      <c r="U156" t="s">
        <v>796</v>
      </c>
      <c r="V156" t="s">
        <v>230</v>
      </c>
      <c r="W156" t="s">
        <v>819</v>
      </c>
      <c r="Y156" t="s">
        <v>1767</v>
      </c>
      <c r="Z156" t="s">
        <v>1462</v>
      </c>
      <c r="AA156" t="s">
        <v>1768</v>
      </c>
      <c r="AB156" t="s">
        <v>1464</v>
      </c>
      <c r="AC156" t="s">
        <v>1379</v>
      </c>
    </row>
    <row r="157" spans="16:29">
      <c r="P157" t="s">
        <v>820</v>
      </c>
      <c r="Q157" t="s">
        <v>227</v>
      </c>
      <c r="R157" t="s">
        <v>242</v>
      </c>
      <c r="S157" t="s">
        <v>225</v>
      </c>
      <c r="T157" t="s">
        <v>821</v>
      </c>
      <c r="U157" t="s">
        <v>796</v>
      </c>
      <c r="V157" t="s">
        <v>230</v>
      </c>
      <c r="W157" t="s">
        <v>822</v>
      </c>
      <c r="Y157" t="s">
        <v>1769</v>
      </c>
      <c r="Z157" t="s">
        <v>1362</v>
      </c>
      <c r="AA157" t="s">
        <v>1770</v>
      </c>
      <c r="AB157" t="s">
        <v>1364</v>
      </c>
      <c r="AC157" t="s">
        <v>1588</v>
      </c>
    </row>
    <row r="158" spans="16:29">
      <c r="P158" t="s">
        <v>823</v>
      </c>
      <c r="Q158" t="s">
        <v>227</v>
      </c>
      <c r="R158" t="s">
        <v>430</v>
      </c>
      <c r="S158" t="s">
        <v>225</v>
      </c>
      <c r="T158" t="s">
        <v>824</v>
      </c>
      <c r="U158" t="s">
        <v>796</v>
      </c>
      <c r="V158" t="s">
        <v>230</v>
      </c>
      <c r="W158" t="s">
        <v>825</v>
      </c>
      <c r="Y158" t="s">
        <v>1771</v>
      </c>
      <c r="Z158" t="s">
        <v>1362</v>
      </c>
      <c r="AA158" t="s">
        <v>1772</v>
      </c>
      <c r="AB158" t="s">
        <v>1364</v>
      </c>
      <c r="AC158" t="s">
        <v>1694</v>
      </c>
    </row>
    <row r="159" spans="16:29">
      <c r="P159" t="s">
        <v>826</v>
      </c>
      <c r="Q159" t="s">
        <v>227</v>
      </c>
      <c r="R159" t="s">
        <v>433</v>
      </c>
      <c r="S159" t="s">
        <v>225</v>
      </c>
      <c r="T159" t="s">
        <v>827</v>
      </c>
      <c r="U159" t="s">
        <v>796</v>
      </c>
      <c r="V159" t="s">
        <v>230</v>
      </c>
      <c r="W159" t="s">
        <v>828</v>
      </c>
      <c r="Y159" t="s">
        <v>1773</v>
      </c>
      <c r="Z159" t="s">
        <v>1462</v>
      </c>
      <c r="AA159" t="s">
        <v>1774</v>
      </c>
      <c r="AB159" t="s">
        <v>1464</v>
      </c>
      <c r="AC159" t="s">
        <v>1591</v>
      </c>
    </row>
    <row r="160" spans="16:29">
      <c r="P160" t="s">
        <v>829</v>
      </c>
      <c r="Q160" t="s">
        <v>227</v>
      </c>
      <c r="R160" t="s">
        <v>490</v>
      </c>
      <c r="S160" t="s">
        <v>225</v>
      </c>
      <c r="T160" t="s">
        <v>830</v>
      </c>
      <c r="U160" t="s">
        <v>796</v>
      </c>
      <c r="V160" t="s">
        <v>230</v>
      </c>
      <c r="W160" t="s">
        <v>831</v>
      </c>
      <c r="Y160" t="s">
        <v>1775</v>
      </c>
      <c r="Z160" t="s">
        <v>1362</v>
      </c>
      <c r="AA160" t="s">
        <v>1776</v>
      </c>
      <c r="AB160" t="s">
        <v>1382</v>
      </c>
      <c r="AC160" t="s">
        <v>1657</v>
      </c>
    </row>
    <row r="161" spans="16:29">
      <c r="P161" t="s">
        <v>832</v>
      </c>
      <c r="Q161" t="s">
        <v>227</v>
      </c>
      <c r="R161" t="s">
        <v>494</v>
      </c>
      <c r="S161" t="s">
        <v>225</v>
      </c>
      <c r="T161" t="s">
        <v>833</v>
      </c>
      <c r="U161" t="s">
        <v>796</v>
      </c>
      <c r="V161" t="s">
        <v>230</v>
      </c>
      <c r="W161" t="s">
        <v>834</v>
      </c>
      <c r="Y161" t="s">
        <v>1777</v>
      </c>
      <c r="Z161" t="s">
        <v>1362</v>
      </c>
      <c r="AA161" t="s">
        <v>1778</v>
      </c>
      <c r="AB161" t="s">
        <v>1364</v>
      </c>
      <c r="AC161" t="s">
        <v>1379</v>
      </c>
    </row>
    <row r="162" spans="16:29">
      <c r="P162" t="s">
        <v>835</v>
      </c>
      <c r="Q162" t="s">
        <v>227</v>
      </c>
      <c r="R162" t="s">
        <v>436</v>
      </c>
      <c r="S162" t="s">
        <v>225</v>
      </c>
      <c r="T162" t="s">
        <v>836</v>
      </c>
      <c r="U162" t="s">
        <v>796</v>
      </c>
      <c r="V162" t="s">
        <v>230</v>
      </c>
      <c r="W162" t="s">
        <v>837</v>
      </c>
      <c r="Y162" t="s">
        <v>1779</v>
      </c>
      <c r="Z162" t="s">
        <v>1362</v>
      </c>
      <c r="AA162" t="s">
        <v>1780</v>
      </c>
      <c r="AB162" t="s">
        <v>1364</v>
      </c>
      <c r="AC162" t="s">
        <v>1426</v>
      </c>
    </row>
    <row r="163" spans="16:29">
      <c r="P163" t="s">
        <v>838</v>
      </c>
      <c r="Q163" t="s">
        <v>227</v>
      </c>
      <c r="R163" t="s">
        <v>451</v>
      </c>
      <c r="S163" t="s">
        <v>225</v>
      </c>
      <c r="T163" t="s">
        <v>839</v>
      </c>
      <c r="U163" t="s">
        <v>796</v>
      </c>
      <c r="V163" t="s">
        <v>230</v>
      </c>
      <c r="W163" t="s">
        <v>840</v>
      </c>
      <c r="Y163" t="s">
        <v>1781</v>
      </c>
      <c r="Z163" t="s">
        <v>1362</v>
      </c>
      <c r="AA163" t="s">
        <v>1782</v>
      </c>
      <c r="AB163" t="s">
        <v>1364</v>
      </c>
      <c r="AC163" t="s">
        <v>1783</v>
      </c>
    </row>
    <row r="164" spans="16:29">
      <c r="P164" t="s">
        <v>841</v>
      </c>
      <c r="Q164" t="s">
        <v>227</v>
      </c>
      <c r="R164" t="s">
        <v>595</v>
      </c>
      <c r="S164" t="s">
        <v>225</v>
      </c>
      <c r="T164" t="s">
        <v>842</v>
      </c>
      <c r="U164" t="s">
        <v>796</v>
      </c>
      <c r="V164" t="s">
        <v>230</v>
      </c>
      <c r="W164" t="s">
        <v>843</v>
      </c>
      <c r="Y164" t="s">
        <v>1784</v>
      </c>
      <c r="Z164" t="s">
        <v>1462</v>
      </c>
      <c r="AA164" t="s">
        <v>1785</v>
      </c>
      <c r="AB164" t="s">
        <v>1464</v>
      </c>
      <c r="AC164" t="s">
        <v>1786</v>
      </c>
    </row>
    <row r="165" spans="16:29">
      <c r="P165" t="s">
        <v>844</v>
      </c>
      <c r="Q165" t="s">
        <v>845</v>
      </c>
      <c r="R165" t="s">
        <v>847</v>
      </c>
      <c r="S165" t="s">
        <v>225</v>
      </c>
      <c r="T165" t="s">
        <v>846</v>
      </c>
      <c r="U165" t="s">
        <v>393</v>
      </c>
      <c r="V165" t="s">
        <v>230</v>
      </c>
      <c r="W165" t="s">
        <v>848</v>
      </c>
      <c r="Y165" t="s">
        <v>1787</v>
      </c>
      <c r="Z165" t="s">
        <v>1362</v>
      </c>
      <c r="AA165" t="s">
        <v>1788</v>
      </c>
      <c r="AB165" t="s">
        <v>1364</v>
      </c>
      <c r="AC165" t="s">
        <v>1499</v>
      </c>
    </row>
    <row r="166" spans="16:29">
      <c r="P166" t="s">
        <v>849</v>
      </c>
      <c r="Q166" t="s">
        <v>850</v>
      </c>
      <c r="R166" t="s">
        <v>852</v>
      </c>
      <c r="S166" t="s">
        <v>225</v>
      </c>
      <c r="T166" t="s">
        <v>851</v>
      </c>
      <c r="U166" t="s">
        <v>393</v>
      </c>
      <c r="V166" t="s">
        <v>230</v>
      </c>
      <c r="W166" t="s">
        <v>853</v>
      </c>
      <c r="Y166" t="s">
        <v>1789</v>
      </c>
      <c r="Z166" t="s">
        <v>1362</v>
      </c>
      <c r="AA166" t="s">
        <v>1790</v>
      </c>
      <c r="AB166" t="s">
        <v>1364</v>
      </c>
      <c r="AC166" t="s">
        <v>1630</v>
      </c>
    </row>
    <row r="167" spans="16:29">
      <c r="P167" t="s">
        <v>854</v>
      </c>
      <c r="Q167" t="s">
        <v>855</v>
      </c>
      <c r="R167" t="s">
        <v>857</v>
      </c>
      <c r="S167" t="s">
        <v>225</v>
      </c>
      <c r="T167" t="s">
        <v>856</v>
      </c>
      <c r="U167" t="s">
        <v>393</v>
      </c>
      <c r="V167" t="s">
        <v>230</v>
      </c>
      <c r="W167" t="s">
        <v>858</v>
      </c>
      <c r="Y167" t="s">
        <v>1791</v>
      </c>
      <c r="Z167" t="s">
        <v>1362</v>
      </c>
      <c r="AA167" t="s">
        <v>1792</v>
      </c>
      <c r="AB167" t="s">
        <v>1364</v>
      </c>
      <c r="AC167" t="s">
        <v>1793</v>
      </c>
    </row>
    <row r="168" spans="16:29">
      <c r="P168" t="s">
        <v>859</v>
      </c>
      <c r="Q168" t="s">
        <v>860</v>
      </c>
      <c r="R168" t="s">
        <v>862</v>
      </c>
      <c r="S168" t="s">
        <v>225</v>
      </c>
      <c r="T168" t="s">
        <v>861</v>
      </c>
      <c r="U168" t="s">
        <v>393</v>
      </c>
      <c r="V168" t="s">
        <v>230</v>
      </c>
      <c r="W168" t="s">
        <v>863</v>
      </c>
      <c r="Y168" t="s">
        <v>1794</v>
      </c>
      <c r="Z168" t="s">
        <v>1362</v>
      </c>
      <c r="AA168" t="s">
        <v>1795</v>
      </c>
      <c r="AB168" t="s">
        <v>1364</v>
      </c>
      <c r="AC168" t="s">
        <v>1796</v>
      </c>
    </row>
    <row r="169" spans="16:29">
      <c r="P169" t="s">
        <v>864</v>
      </c>
      <c r="Q169" t="s">
        <v>865</v>
      </c>
      <c r="R169" t="s">
        <v>867</v>
      </c>
      <c r="S169" t="s">
        <v>225</v>
      </c>
      <c r="T169" t="s">
        <v>866</v>
      </c>
      <c r="U169" t="s">
        <v>393</v>
      </c>
      <c r="V169" t="s">
        <v>230</v>
      </c>
      <c r="W169" t="s">
        <v>868</v>
      </c>
      <c r="Y169" t="s">
        <v>1797</v>
      </c>
      <c r="Z169" t="s">
        <v>1362</v>
      </c>
      <c r="AA169" t="s">
        <v>1798</v>
      </c>
      <c r="AB169" t="s">
        <v>1382</v>
      </c>
      <c r="AC169" t="s">
        <v>1383</v>
      </c>
    </row>
    <row r="170" spans="16:29">
      <c r="P170" t="s">
        <v>869</v>
      </c>
      <c r="Q170" t="s">
        <v>227</v>
      </c>
      <c r="R170" t="s">
        <v>871</v>
      </c>
      <c r="S170" t="s">
        <v>225</v>
      </c>
      <c r="T170" t="s">
        <v>870</v>
      </c>
      <c r="U170" t="s">
        <v>393</v>
      </c>
      <c r="V170" t="s">
        <v>230</v>
      </c>
      <c r="W170" t="s">
        <v>872</v>
      </c>
      <c r="Y170" t="s">
        <v>1799</v>
      </c>
      <c r="Z170" t="s">
        <v>1362</v>
      </c>
      <c r="AA170" t="s">
        <v>1800</v>
      </c>
      <c r="AB170" t="s">
        <v>1364</v>
      </c>
      <c r="AC170" t="s">
        <v>1373</v>
      </c>
    </row>
    <row r="171" spans="16:29">
      <c r="P171" t="s">
        <v>873</v>
      </c>
      <c r="Q171" t="s">
        <v>227</v>
      </c>
      <c r="R171" t="s">
        <v>875</v>
      </c>
      <c r="S171" t="s">
        <v>225</v>
      </c>
      <c r="T171" t="s">
        <v>874</v>
      </c>
      <c r="U171" t="s">
        <v>393</v>
      </c>
      <c r="V171" t="s">
        <v>230</v>
      </c>
      <c r="W171" t="s">
        <v>876</v>
      </c>
      <c r="Y171" t="s">
        <v>1801</v>
      </c>
      <c r="Z171" t="s">
        <v>1362</v>
      </c>
      <c r="AA171" t="s">
        <v>1802</v>
      </c>
      <c r="AB171" t="s">
        <v>1364</v>
      </c>
      <c r="AC171" t="s">
        <v>1694</v>
      </c>
    </row>
    <row r="172" spans="16:29">
      <c r="P172" t="s">
        <v>877</v>
      </c>
      <c r="Q172" t="s">
        <v>878</v>
      </c>
      <c r="R172" t="s">
        <v>880</v>
      </c>
      <c r="S172" t="s">
        <v>225</v>
      </c>
      <c r="T172" t="s">
        <v>879</v>
      </c>
      <c r="U172" t="s">
        <v>393</v>
      </c>
      <c r="V172" t="s">
        <v>230</v>
      </c>
      <c r="W172" t="s">
        <v>881</v>
      </c>
      <c r="Y172" t="s">
        <v>1803</v>
      </c>
      <c r="Z172" t="s">
        <v>1362</v>
      </c>
      <c r="AA172" t="s">
        <v>1804</v>
      </c>
      <c r="AB172" t="s">
        <v>1382</v>
      </c>
      <c r="AC172" t="s">
        <v>1454</v>
      </c>
    </row>
    <row r="173" spans="16:29">
      <c r="P173" t="s">
        <v>882</v>
      </c>
      <c r="Q173" t="s">
        <v>883</v>
      </c>
      <c r="R173" t="s">
        <v>885</v>
      </c>
      <c r="S173" t="s">
        <v>225</v>
      </c>
      <c r="T173" t="s">
        <v>884</v>
      </c>
      <c r="U173" t="s">
        <v>393</v>
      </c>
      <c r="V173" t="s">
        <v>230</v>
      </c>
      <c r="W173" t="s">
        <v>886</v>
      </c>
      <c r="Y173" t="s">
        <v>1805</v>
      </c>
      <c r="Z173" t="s">
        <v>1362</v>
      </c>
      <c r="AA173" t="s">
        <v>1806</v>
      </c>
      <c r="AB173" t="s">
        <v>1459</v>
      </c>
      <c r="AC173" t="s">
        <v>1666</v>
      </c>
    </row>
    <row r="174" spans="16:29">
      <c r="P174" t="s">
        <v>887</v>
      </c>
      <c r="Q174" t="s">
        <v>888</v>
      </c>
      <c r="R174" t="s">
        <v>890</v>
      </c>
      <c r="S174" t="s">
        <v>225</v>
      </c>
      <c r="T174" t="s">
        <v>889</v>
      </c>
      <c r="U174" t="s">
        <v>393</v>
      </c>
      <c r="V174" t="s">
        <v>230</v>
      </c>
      <c r="W174" t="s">
        <v>891</v>
      </c>
      <c r="Y174" t="s">
        <v>1807</v>
      </c>
      <c r="Z174" t="s">
        <v>1362</v>
      </c>
      <c r="AA174" t="s">
        <v>1808</v>
      </c>
      <c r="AC174" t="s">
        <v>1809</v>
      </c>
    </row>
    <row r="175" spans="16:29">
      <c r="P175" t="s">
        <v>892</v>
      </c>
      <c r="Q175" t="s">
        <v>893</v>
      </c>
      <c r="R175" t="s">
        <v>895</v>
      </c>
      <c r="S175" t="s">
        <v>225</v>
      </c>
      <c r="T175" t="s">
        <v>894</v>
      </c>
      <c r="U175" t="s">
        <v>393</v>
      </c>
      <c r="V175" t="s">
        <v>230</v>
      </c>
      <c r="W175" t="s">
        <v>896</v>
      </c>
      <c r="Y175" t="s">
        <v>1810</v>
      </c>
      <c r="Z175" t="s">
        <v>1462</v>
      </c>
      <c r="AA175" t="s">
        <v>1811</v>
      </c>
      <c r="AB175" t="s">
        <v>1464</v>
      </c>
      <c r="AC175" t="s">
        <v>1812</v>
      </c>
    </row>
    <row r="176" spans="16:29">
      <c r="P176" t="s">
        <v>897</v>
      </c>
      <c r="Q176" t="s">
        <v>227</v>
      </c>
      <c r="R176" t="s">
        <v>899</v>
      </c>
      <c r="S176" t="s">
        <v>225</v>
      </c>
      <c r="T176" t="s">
        <v>898</v>
      </c>
      <c r="U176" t="s">
        <v>520</v>
      </c>
      <c r="V176" t="s">
        <v>230</v>
      </c>
      <c r="W176" t="s">
        <v>900</v>
      </c>
      <c r="Y176" t="s">
        <v>1813</v>
      </c>
      <c r="Z176" t="s">
        <v>1362</v>
      </c>
      <c r="AA176" t="s">
        <v>1814</v>
      </c>
      <c r="AB176" t="s">
        <v>1364</v>
      </c>
      <c r="AC176" t="s">
        <v>1815</v>
      </c>
    </row>
    <row r="177" spans="16:29">
      <c r="P177" t="s">
        <v>901</v>
      </c>
      <c r="Q177" t="s">
        <v>902</v>
      </c>
      <c r="R177" t="s">
        <v>904</v>
      </c>
      <c r="S177" t="s">
        <v>225</v>
      </c>
      <c r="T177" t="s">
        <v>903</v>
      </c>
      <c r="U177" t="s">
        <v>393</v>
      </c>
      <c r="V177" t="s">
        <v>230</v>
      </c>
      <c r="W177" t="s">
        <v>905</v>
      </c>
      <c r="Y177" t="s">
        <v>1816</v>
      </c>
      <c r="Z177" t="s">
        <v>1362</v>
      </c>
      <c r="AA177" t="s">
        <v>1817</v>
      </c>
      <c r="AB177" t="s">
        <v>1382</v>
      </c>
      <c r="AC177" t="s">
        <v>1383</v>
      </c>
    </row>
    <row r="178" spans="16:29">
      <c r="P178" t="s">
        <v>906</v>
      </c>
      <c r="Q178" t="s">
        <v>907</v>
      </c>
      <c r="R178" t="s">
        <v>909</v>
      </c>
      <c r="S178" t="s">
        <v>225</v>
      </c>
      <c r="T178" t="s">
        <v>908</v>
      </c>
      <c r="U178" t="s">
        <v>393</v>
      </c>
      <c r="V178" t="s">
        <v>230</v>
      </c>
      <c r="W178" t="s">
        <v>910</v>
      </c>
      <c r="Y178" t="s">
        <v>1818</v>
      </c>
      <c r="Z178" t="s">
        <v>1367</v>
      </c>
      <c r="AA178" t="s">
        <v>1819</v>
      </c>
      <c r="AB178" t="s">
        <v>1369</v>
      </c>
      <c r="AC178" t="s">
        <v>1630</v>
      </c>
    </row>
    <row r="179" spans="16:29">
      <c r="P179" t="s">
        <v>911</v>
      </c>
      <c r="Q179" t="s">
        <v>912</v>
      </c>
      <c r="R179" t="s">
        <v>914</v>
      </c>
      <c r="S179" t="s">
        <v>225</v>
      </c>
      <c r="T179" t="s">
        <v>913</v>
      </c>
      <c r="U179" t="s">
        <v>393</v>
      </c>
      <c r="V179" t="s">
        <v>230</v>
      </c>
      <c r="W179" t="s">
        <v>915</v>
      </c>
      <c r="Y179" t="s">
        <v>1820</v>
      </c>
      <c r="Z179" t="s">
        <v>1362</v>
      </c>
      <c r="AA179" t="s">
        <v>1821</v>
      </c>
    </row>
    <row r="180" spans="16:29">
      <c r="P180" t="s">
        <v>916</v>
      </c>
      <c r="Q180" t="s">
        <v>917</v>
      </c>
      <c r="R180" t="s">
        <v>919</v>
      </c>
      <c r="S180" t="s">
        <v>225</v>
      </c>
      <c r="T180" t="s">
        <v>918</v>
      </c>
      <c r="U180" t="s">
        <v>393</v>
      </c>
      <c r="V180" t="s">
        <v>230</v>
      </c>
      <c r="W180" t="s">
        <v>920</v>
      </c>
      <c r="Y180" t="s">
        <v>1822</v>
      </c>
      <c r="Z180" t="s">
        <v>1362</v>
      </c>
      <c r="AA180" t="s">
        <v>1823</v>
      </c>
      <c r="AB180" t="s">
        <v>1364</v>
      </c>
      <c r="AC180" t="s">
        <v>1824</v>
      </c>
    </row>
    <row r="181" spans="16:29">
      <c r="P181" t="s">
        <v>921</v>
      </c>
      <c r="Q181" t="s">
        <v>922</v>
      </c>
      <c r="R181" t="s">
        <v>924</v>
      </c>
      <c r="S181" t="s">
        <v>225</v>
      </c>
      <c r="T181" t="s">
        <v>923</v>
      </c>
      <c r="U181" t="s">
        <v>393</v>
      </c>
      <c r="V181" t="s">
        <v>230</v>
      </c>
      <c r="W181" t="s">
        <v>925</v>
      </c>
      <c r="Y181" t="s">
        <v>1825</v>
      </c>
      <c r="Z181" t="s">
        <v>1362</v>
      </c>
      <c r="AA181" t="s">
        <v>1826</v>
      </c>
      <c r="AB181" t="s">
        <v>1382</v>
      </c>
      <c r="AC181" t="s">
        <v>1827</v>
      </c>
    </row>
    <row r="182" spans="16:29">
      <c r="P182" t="s">
        <v>926</v>
      </c>
      <c r="Q182" t="s">
        <v>927</v>
      </c>
      <c r="R182" t="s">
        <v>929</v>
      </c>
      <c r="S182" t="s">
        <v>225</v>
      </c>
      <c r="T182" t="s">
        <v>928</v>
      </c>
      <c r="U182" t="s">
        <v>393</v>
      </c>
      <c r="V182" t="s">
        <v>230</v>
      </c>
      <c r="W182" t="s">
        <v>930</v>
      </c>
      <c r="Y182" t="s">
        <v>1828</v>
      </c>
      <c r="Z182" t="s">
        <v>1362</v>
      </c>
      <c r="AA182" t="s">
        <v>1829</v>
      </c>
      <c r="AB182" t="s">
        <v>1382</v>
      </c>
      <c r="AC182" t="s">
        <v>1830</v>
      </c>
    </row>
    <row r="183" spans="16:29">
      <c r="P183" t="s">
        <v>931</v>
      </c>
      <c r="Q183" t="s">
        <v>932</v>
      </c>
      <c r="R183" t="s">
        <v>934</v>
      </c>
      <c r="S183" t="s">
        <v>225</v>
      </c>
      <c r="T183" t="s">
        <v>933</v>
      </c>
      <c r="U183" t="s">
        <v>393</v>
      </c>
      <c r="V183" t="s">
        <v>230</v>
      </c>
      <c r="W183" t="s">
        <v>935</v>
      </c>
      <c r="Y183" t="s">
        <v>1831</v>
      </c>
      <c r="Z183" t="s">
        <v>1362</v>
      </c>
      <c r="AA183" t="s">
        <v>1832</v>
      </c>
      <c r="AB183" t="s">
        <v>1407</v>
      </c>
      <c r="AC183" t="s">
        <v>1554</v>
      </c>
    </row>
    <row r="184" spans="16:29">
      <c r="P184" t="s">
        <v>936</v>
      </c>
      <c r="Q184" t="s">
        <v>937</v>
      </c>
      <c r="R184" t="s">
        <v>939</v>
      </c>
      <c r="S184" t="s">
        <v>225</v>
      </c>
      <c r="T184" t="s">
        <v>938</v>
      </c>
      <c r="U184" t="s">
        <v>393</v>
      </c>
      <c r="V184" t="s">
        <v>230</v>
      </c>
      <c r="W184" t="s">
        <v>940</v>
      </c>
      <c r="Y184" t="s">
        <v>1833</v>
      </c>
      <c r="Z184" t="s">
        <v>1362</v>
      </c>
      <c r="AA184" t="s">
        <v>1834</v>
      </c>
      <c r="AB184" t="s">
        <v>1364</v>
      </c>
      <c r="AC184" t="s">
        <v>1835</v>
      </c>
    </row>
    <row r="185" spans="16:29">
      <c r="P185" t="s">
        <v>941</v>
      </c>
      <c r="Q185" t="s">
        <v>942</v>
      </c>
      <c r="R185" t="s">
        <v>944</v>
      </c>
      <c r="S185" t="s">
        <v>225</v>
      </c>
      <c r="T185" t="s">
        <v>943</v>
      </c>
      <c r="U185" t="s">
        <v>393</v>
      </c>
      <c r="V185" t="s">
        <v>230</v>
      </c>
      <c r="W185" t="s">
        <v>945</v>
      </c>
      <c r="Y185" t="s">
        <v>1836</v>
      </c>
      <c r="Z185" t="s">
        <v>1362</v>
      </c>
      <c r="AA185" t="s">
        <v>1837</v>
      </c>
      <c r="AB185" t="s">
        <v>1364</v>
      </c>
      <c r="AC185" t="s">
        <v>1677</v>
      </c>
    </row>
    <row r="186" spans="16:29">
      <c r="P186" t="s">
        <v>946</v>
      </c>
      <c r="Q186" t="s">
        <v>947</v>
      </c>
      <c r="R186" t="s">
        <v>949</v>
      </c>
      <c r="S186" t="s">
        <v>225</v>
      </c>
      <c r="T186" t="s">
        <v>948</v>
      </c>
      <c r="U186" t="s">
        <v>393</v>
      </c>
      <c r="V186" t="s">
        <v>230</v>
      </c>
      <c r="W186" t="s">
        <v>950</v>
      </c>
      <c r="Y186" t="s">
        <v>1838</v>
      </c>
      <c r="Z186" t="s">
        <v>1362</v>
      </c>
      <c r="AA186" t="s">
        <v>1839</v>
      </c>
      <c r="AB186" t="s">
        <v>1364</v>
      </c>
      <c r="AC186" t="s">
        <v>1454</v>
      </c>
    </row>
    <row r="187" spans="16:29">
      <c r="P187" t="s">
        <v>951</v>
      </c>
      <c r="Q187" t="s">
        <v>952</v>
      </c>
      <c r="R187" t="s">
        <v>954</v>
      </c>
      <c r="S187" t="s">
        <v>225</v>
      </c>
      <c r="T187" t="s">
        <v>953</v>
      </c>
      <c r="U187" t="s">
        <v>393</v>
      </c>
      <c r="V187" t="s">
        <v>230</v>
      </c>
      <c r="W187" t="s">
        <v>955</v>
      </c>
      <c r="Y187" t="s">
        <v>1840</v>
      </c>
      <c r="Z187" t="s">
        <v>1362</v>
      </c>
      <c r="AA187" t="s">
        <v>1841</v>
      </c>
      <c r="AB187" t="s">
        <v>1382</v>
      </c>
      <c r="AC187" t="s">
        <v>1383</v>
      </c>
    </row>
    <row r="188" spans="16:29">
      <c r="P188" t="s">
        <v>956</v>
      </c>
      <c r="Q188" t="s">
        <v>957</v>
      </c>
      <c r="R188" t="s">
        <v>959</v>
      </c>
      <c r="S188" t="s">
        <v>225</v>
      </c>
      <c r="T188" t="s">
        <v>958</v>
      </c>
      <c r="U188" t="s">
        <v>393</v>
      </c>
      <c r="V188" t="s">
        <v>230</v>
      </c>
      <c r="W188" t="s">
        <v>960</v>
      </c>
      <c r="Y188" t="s">
        <v>1842</v>
      </c>
      <c r="Z188" t="s">
        <v>1362</v>
      </c>
      <c r="AA188" t="s">
        <v>1843</v>
      </c>
      <c r="AB188" t="s">
        <v>1364</v>
      </c>
      <c r="AC188" t="s">
        <v>1454</v>
      </c>
    </row>
    <row r="189" spans="16:29">
      <c r="P189" t="s">
        <v>961</v>
      </c>
      <c r="Q189" t="s">
        <v>962</v>
      </c>
      <c r="R189" t="s">
        <v>964</v>
      </c>
      <c r="S189" t="s">
        <v>225</v>
      </c>
      <c r="T189" t="s">
        <v>963</v>
      </c>
      <c r="U189" t="s">
        <v>393</v>
      </c>
      <c r="V189" t="s">
        <v>230</v>
      </c>
      <c r="W189" t="s">
        <v>965</v>
      </c>
      <c r="Y189" t="s">
        <v>1844</v>
      </c>
      <c r="Z189" t="s">
        <v>1362</v>
      </c>
      <c r="AA189" t="s">
        <v>1845</v>
      </c>
      <c r="AB189" t="s">
        <v>1364</v>
      </c>
      <c r="AC189" t="s">
        <v>1423</v>
      </c>
    </row>
    <row r="190" spans="16:29">
      <c r="P190" t="s">
        <v>966</v>
      </c>
      <c r="Q190" t="s">
        <v>967</v>
      </c>
      <c r="R190" t="s">
        <v>969</v>
      </c>
      <c r="S190" t="s">
        <v>225</v>
      </c>
      <c r="T190" t="s">
        <v>968</v>
      </c>
      <c r="U190" t="s">
        <v>393</v>
      </c>
      <c r="V190" t="s">
        <v>230</v>
      </c>
      <c r="W190" t="s">
        <v>970</v>
      </c>
      <c r="Y190" t="s">
        <v>1846</v>
      </c>
      <c r="Z190" t="s">
        <v>1362</v>
      </c>
      <c r="AA190" t="s">
        <v>1847</v>
      </c>
      <c r="AB190" t="s">
        <v>1848</v>
      </c>
      <c r="AC190" t="s">
        <v>1401</v>
      </c>
    </row>
    <row r="191" spans="16:29">
      <c r="P191" t="s">
        <v>971</v>
      </c>
      <c r="Q191" t="s">
        <v>972</v>
      </c>
      <c r="R191" t="s">
        <v>974</v>
      </c>
      <c r="S191" t="s">
        <v>225</v>
      </c>
      <c r="T191" t="s">
        <v>973</v>
      </c>
      <c r="U191" t="s">
        <v>393</v>
      </c>
      <c r="V191" t="s">
        <v>230</v>
      </c>
      <c r="W191" t="s">
        <v>975</v>
      </c>
    </row>
    <row r="192" spans="16:29">
      <c r="P192" t="s">
        <v>976</v>
      </c>
      <c r="Q192" t="s">
        <v>977</v>
      </c>
      <c r="R192" t="s">
        <v>979</v>
      </c>
      <c r="S192" t="s">
        <v>225</v>
      </c>
      <c r="T192" t="s">
        <v>978</v>
      </c>
      <c r="U192" t="s">
        <v>393</v>
      </c>
      <c r="V192" t="s">
        <v>230</v>
      </c>
      <c r="W192" t="s">
        <v>980</v>
      </c>
    </row>
    <row r="193" spans="16:23">
      <c r="P193" t="s">
        <v>981</v>
      </c>
      <c r="Q193" t="s">
        <v>982</v>
      </c>
      <c r="R193" t="s">
        <v>984</v>
      </c>
      <c r="S193" t="s">
        <v>225</v>
      </c>
      <c r="T193" t="s">
        <v>983</v>
      </c>
      <c r="U193" t="s">
        <v>393</v>
      </c>
      <c r="V193" t="s">
        <v>230</v>
      </c>
      <c r="W193" t="s">
        <v>985</v>
      </c>
    </row>
    <row r="194" spans="16:23">
      <c r="P194" t="s">
        <v>986</v>
      </c>
      <c r="Q194" t="s">
        <v>987</v>
      </c>
      <c r="R194" t="s">
        <v>989</v>
      </c>
      <c r="S194" t="s">
        <v>225</v>
      </c>
      <c r="T194" t="s">
        <v>988</v>
      </c>
      <c r="U194" t="s">
        <v>393</v>
      </c>
      <c r="V194" t="s">
        <v>230</v>
      </c>
      <c r="W194" t="s">
        <v>990</v>
      </c>
    </row>
    <row r="195" spans="16:23">
      <c r="P195" t="s">
        <v>991</v>
      </c>
      <c r="Q195" t="s">
        <v>992</v>
      </c>
      <c r="R195" t="s">
        <v>994</v>
      </c>
      <c r="S195" t="s">
        <v>225</v>
      </c>
      <c r="T195" t="s">
        <v>993</v>
      </c>
      <c r="U195" t="s">
        <v>393</v>
      </c>
      <c r="V195" t="s">
        <v>230</v>
      </c>
      <c r="W195" t="s">
        <v>995</v>
      </c>
    </row>
    <row r="196" spans="16:23">
      <c r="P196" t="s">
        <v>996</v>
      </c>
      <c r="Q196" t="s">
        <v>997</v>
      </c>
      <c r="R196" t="s">
        <v>999</v>
      </c>
      <c r="S196" t="s">
        <v>225</v>
      </c>
      <c r="T196" t="s">
        <v>998</v>
      </c>
      <c r="U196" t="s">
        <v>393</v>
      </c>
      <c r="V196" t="s">
        <v>230</v>
      </c>
      <c r="W196" t="s">
        <v>1000</v>
      </c>
    </row>
    <row r="197" spans="16:23">
      <c r="P197" t="s">
        <v>1001</v>
      </c>
      <c r="Q197" t="s">
        <v>1002</v>
      </c>
      <c r="R197" t="s">
        <v>1004</v>
      </c>
      <c r="S197" t="s">
        <v>225</v>
      </c>
      <c r="T197" t="s">
        <v>1003</v>
      </c>
      <c r="U197" t="s">
        <v>393</v>
      </c>
      <c r="V197" t="s">
        <v>230</v>
      </c>
      <c r="W197" t="s">
        <v>1005</v>
      </c>
    </row>
    <row r="198" spans="16:23">
      <c r="P198" t="s">
        <v>1006</v>
      </c>
      <c r="Q198" t="s">
        <v>1007</v>
      </c>
      <c r="R198" t="s">
        <v>1009</v>
      </c>
      <c r="S198" t="s">
        <v>225</v>
      </c>
      <c r="T198" t="s">
        <v>1008</v>
      </c>
      <c r="U198" t="s">
        <v>393</v>
      </c>
      <c r="V198" t="s">
        <v>230</v>
      </c>
      <c r="W198" t="s">
        <v>1010</v>
      </c>
    </row>
    <row r="199" spans="16:23">
      <c r="P199" t="s">
        <v>1011</v>
      </c>
      <c r="Q199" t="s">
        <v>1012</v>
      </c>
      <c r="R199" t="s">
        <v>1014</v>
      </c>
      <c r="S199" t="s">
        <v>225</v>
      </c>
      <c r="T199" t="s">
        <v>1013</v>
      </c>
      <c r="U199" t="s">
        <v>393</v>
      </c>
      <c r="V199" t="s">
        <v>230</v>
      </c>
      <c r="W199" t="s">
        <v>1015</v>
      </c>
    </row>
    <row r="200" spans="16:23">
      <c r="P200" t="s">
        <v>1016</v>
      </c>
      <c r="Q200" t="s">
        <v>1017</v>
      </c>
      <c r="R200" t="s">
        <v>1019</v>
      </c>
      <c r="S200" t="s">
        <v>225</v>
      </c>
      <c r="T200" t="s">
        <v>1018</v>
      </c>
      <c r="U200" t="s">
        <v>393</v>
      </c>
      <c r="V200" t="s">
        <v>230</v>
      </c>
      <c r="W200" t="s">
        <v>1020</v>
      </c>
    </row>
    <row r="201" spans="16:23">
      <c r="P201" t="s">
        <v>1021</v>
      </c>
      <c r="Q201" t="s">
        <v>227</v>
      </c>
      <c r="R201" t="s">
        <v>1023</v>
      </c>
      <c r="S201" t="s">
        <v>225</v>
      </c>
      <c r="T201" t="s">
        <v>1022</v>
      </c>
      <c r="U201" t="s">
        <v>393</v>
      </c>
      <c r="V201" t="s">
        <v>230</v>
      </c>
      <c r="W201" t="s">
        <v>1024</v>
      </c>
    </row>
    <row r="202" spans="16:23">
      <c r="P202" t="s">
        <v>1025</v>
      </c>
      <c r="Q202" t="s">
        <v>1026</v>
      </c>
      <c r="R202" t="s">
        <v>1028</v>
      </c>
      <c r="S202" t="s">
        <v>225</v>
      </c>
      <c r="T202" t="s">
        <v>1027</v>
      </c>
      <c r="U202" t="s">
        <v>393</v>
      </c>
      <c r="V202" t="s">
        <v>230</v>
      </c>
      <c r="W202" t="s">
        <v>1029</v>
      </c>
    </row>
    <row r="203" spans="16:23">
      <c r="P203" t="s">
        <v>1030</v>
      </c>
      <c r="Q203" t="s">
        <v>1031</v>
      </c>
      <c r="R203" t="s">
        <v>1033</v>
      </c>
      <c r="S203" t="s">
        <v>225</v>
      </c>
      <c r="T203" t="s">
        <v>1032</v>
      </c>
      <c r="U203" t="s">
        <v>393</v>
      </c>
      <c r="V203" t="s">
        <v>230</v>
      </c>
      <c r="W203" t="s">
        <v>1034</v>
      </c>
    </row>
    <row r="204" spans="16:23">
      <c r="P204" t="s">
        <v>1035</v>
      </c>
      <c r="Q204" t="s">
        <v>1036</v>
      </c>
      <c r="R204" t="s">
        <v>1038</v>
      </c>
      <c r="S204" t="s">
        <v>225</v>
      </c>
      <c r="T204" t="s">
        <v>1037</v>
      </c>
      <c r="U204" t="s">
        <v>393</v>
      </c>
      <c r="V204" t="s">
        <v>230</v>
      </c>
      <c r="W204" t="s">
        <v>1039</v>
      </c>
    </row>
    <row r="205" spans="16:23">
      <c r="P205" t="s">
        <v>1040</v>
      </c>
      <c r="Q205" t="s">
        <v>1041</v>
      </c>
      <c r="R205" t="s">
        <v>639</v>
      </c>
      <c r="S205" t="s">
        <v>225</v>
      </c>
      <c r="T205" t="s">
        <v>1042</v>
      </c>
      <c r="U205" t="s">
        <v>393</v>
      </c>
      <c r="V205" t="s">
        <v>230</v>
      </c>
      <c r="W205" t="s">
        <v>1043</v>
      </c>
    </row>
    <row r="206" spans="16:23">
      <c r="P206" t="s">
        <v>1044</v>
      </c>
      <c r="Q206" t="s">
        <v>227</v>
      </c>
      <c r="R206" t="s">
        <v>1046</v>
      </c>
      <c r="S206" t="s">
        <v>225</v>
      </c>
      <c r="T206" t="s">
        <v>1045</v>
      </c>
      <c r="U206" t="s">
        <v>393</v>
      </c>
      <c r="V206" t="s">
        <v>230</v>
      </c>
      <c r="W206" t="s">
        <v>1047</v>
      </c>
    </row>
    <row r="207" spans="16:23">
      <c r="P207" t="s">
        <v>1048</v>
      </c>
      <c r="Q207" t="s">
        <v>1049</v>
      </c>
      <c r="R207" t="s">
        <v>1051</v>
      </c>
      <c r="S207" t="s">
        <v>225</v>
      </c>
      <c r="T207" t="s">
        <v>1050</v>
      </c>
      <c r="U207" t="s">
        <v>393</v>
      </c>
      <c r="V207" t="s">
        <v>230</v>
      </c>
      <c r="W207" t="s">
        <v>1052</v>
      </c>
    </row>
    <row r="208" spans="16:23">
      <c r="P208" t="s">
        <v>1053</v>
      </c>
      <c r="Q208" t="s">
        <v>227</v>
      </c>
      <c r="R208" t="s">
        <v>1055</v>
      </c>
      <c r="S208" t="s">
        <v>225</v>
      </c>
      <c r="T208" t="s">
        <v>1054</v>
      </c>
      <c r="U208" t="s">
        <v>393</v>
      </c>
      <c r="V208" t="s">
        <v>230</v>
      </c>
      <c r="W208" t="s">
        <v>1056</v>
      </c>
    </row>
    <row r="209" spans="16:23">
      <c r="P209" t="s">
        <v>1057</v>
      </c>
      <c r="Q209" t="s">
        <v>1058</v>
      </c>
      <c r="R209" t="s">
        <v>1060</v>
      </c>
      <c r="S209" t="s">
        <v>225</v>
      </c>
      <c r="T209" t="s">
        <v>1059</v>
      </c>
      <c r="U209" t="s">
        <v>393</v>
      </c>
      <c r="V209" t="s">
        <v>230</v>
      </c>
      <c r="W209" t="s">
        <v>1061</v>
      </c>
    </row>
    <row r="210" spans="16:23">
      <c r="P210" t="s">
        <v>1062</v>
      </c>
      <c r="Q210" t="s">
        <v>1063</v>
      </c>
      <c r="R210" t="s">
        <v>1065</v>
      </c>
      <c r="S210" t="s">
        <v>225</v>
      </c>
      <c r="T210" t="s">
        <v>1064</v>
      </c>
      <c r="U210" t="s">
        <v>393</v>
      </c>
      <c r="V210" t="s">
        <v>230</v>
      </c>
      <c r="W210" t="s">
        <v>1066</v>
      </c>
    </row>
    <row r="211" spans="16:23">
      <c r="P211" t="s">
        <v>1067</v>
      </c>
      <c r="Q211" t="s">
        <v>227</v>
      </c>
      <c r="R211" t="s">
        <v>1069</v>
      </c>
      <c r="S211" t="s">
        <v>225</v>
      </c>
      <c r="T211" t="s">
        <v>1068</v>
      </c>
      <c r="U211" t="s">
        <v>393</v>
      </c>
      <c r="V211" t="s">
        <v>230</v>
      </c>
      <c r="W211" t="s">
        <v>1070</v>
      </c>
    </row>
    <row r="212" spans="16:23">
      <c r="P212" t="s">
        <v>1071</v>
      </c>
      <c r="Q212" t="s">
        <v>1072</v>
      </c>
      <c r="R212" t="s">
        <v>1074</v>
      </c>
      <c r="S212" t="s">
        <v>225</v>
      </c>
      <c r="T212" t="s">
        <v>1073</v>
      </c>
      <c r="U212" t="s">
        <v>393</v>
      </c>
      <c r="V212" t="s">
        <v>230</v>
      </c>
      <c r="W212" t="s">
        <v>1075</v>
      </c>
    </row>
    <row r="213" spans="16:23">
      <c r="P213" t="s">
        <v>1076</v>
      </c>
      <c r="Q213" t="s">
        <v>1077</v>
      </c>
      <c r="R213" t="s">
        <v>1079</v>
      </c>
      <c r="S213" t="s">
        <v>225</v>
      </c>
      <c r="T213" t="s">
        <v>1078</v>
      </c>
      <c r="U213" t="s">
        <v>393</v>
      </c>
      <c r="V213" t="s">
        <v>230</v>
      </c>
      <c r="W213" t="s">
        <v>1080</v>
      </c>
    </row>
    <row r="214" spans="16:23">
      <c r="P214" t="s">
        <v>1081</v>
      </c>
      <c r="Q214" t="s">
        <v>1082</v>
      </c>
      <c r="R214" t="s">
        <v>1084</v>
      </c>
      <c r="S214" t="s">
        <v>225</v>
      </c>
      <c r="T214" t="s">
        <v>1083</v>
      </c>
      <c r="U214" t="s">
        <v>393</v>
      </c>
      <c r="V214" t="s">
        <v>230</v>
      </c>
      <c r="W214" t="s">
        <v>1085</v>
      </c>
    </row>
    <row r="215" spans="16:23">
      <c r="P215" t="s">
        <v>1086</v>
      </c>
      <c r="Q215" t="s">
        <v>227</v>
      </c>
      <c r="R215" t="s">
        <v>1089</v>
      </c>
      <c r="S215" t="s">
        <v>225</v>
      </c>
      <c r="T215" t="s">
        <v>1087</v>
      </c>
      <c r="U215" t="s">
        <v>1088</v>
      </c>
      <c r="V215" t="s">
        <v>230</v>
      </c>
      <c r="W215" t="s">
        <v>1090</v>
      </c>
    </row>
    <row r="216" spans="16:23">
      <c r="P216" t="s">
        <v>1091</v>
      </c>
      <c r="Q216" t="s">
        <v>1092</v>
      </c>
      <c r="R216" t="s">
        <v>1094</v>
      </c>
      <c r="S216" t="s">
        <v>225</v>
      </c>
      <c r="T216" t="s">
        <v>1093</v>
      </c>
      <c r="U216" t="s">
        <v>393</v>
      </c>
      <c r="V216" t="s">
        <v>230</v>
      </c>
      <c r="W216" t="s">
        <v>1095</v>
      </c>
    </row>
    <row r="217" spans="16:23">
      <c r="P217" t="s">
        <v>1096</v>
      </c>
      <c r="Q217" t="s">
        <v>1097</v>
      </c>
      <c r="R217" t="s">
        <v>1099</v>
      </c>
      <c r="S217" t="s">
        <v>225</v>
      </c>
      <c r="T217" t="s">
        <v>1098</v>
      </c>
      <c r="U217" t="s">
        <v>393</v>
      </c>
      <c r="V217" t="s">
        <v>230</v>
      </c>
      <c r="W217" t="s">
        <v>1100</v>
      </c>
    </row>
    <row r="218" spans="16:23">
      <c r="P218" t="s">
        <v>1101</v>
      </c>
      <c r="Q218" t="s">
        <v>1102</v>
      </c>
      <c r="R218" t="s">
        <v>1104</v>
      </c>
      <c r="S218" t="s">
        <v>225</v>
      </c>
      <c r="T218" t="s">
        <v>1103</v>
      </c>
      <c r="U218" t="s">
        <v>393</v>
      </c>
      <c r="V218" t="s">
        <v>230</v>
      </c>
      <c r="W218" t="s">
        <v>1105</v>
      </c>
    </row>
    <row r="219" spans="16:23">
      <c r="P219" t="s">
        <v>1106</v>
      </c>
      <c r="Q219" t="s">
        <v>1107</v>
      </c>
      <c r="R219" t="s">
        <v>1109</v>
      </c>
      <c r="S219" t="s">
        <v>225</v>
      </c>
      <c r="T219" t="s">
        <v>1108</v>
      </c>
      <c r="U219" t="s">
        <v>393</v>
      </c>
      <c r="V219" t="s">
        <v>230</v>
      </c>
      <c r="W219" t="s">
        <v>1110</v>
      </c>
    </row>
    <row r="220" spans="16:23">
      <c r="P220" t="s">
        <v>1111</v>
      </c>
      <c r="Q220" t="s">
        <v>1112</v>
      </c>
      <c r="R220" t="s">
        <v>1114</v>
      </c>
      <c r="S220" t="s">
        <v>225</v>
      </c>
      <c r="T220" t="s">
        <v>1113</v>
      </c>
      <c r="U220" t="s">
        <v>393</v>
      </c>
      <c r="V220" t="s">
        <v>230</v>
      </c>
      <c r="W220" t="s">
        <v>1115</v>
      </c>
    </row>
    <row r="221" spans="16:23">
      <c r="P221" t="s">
        <v>1116</v>
      </c>
      <c r="Q221" t="s">
        <v>1117</v>
      </c>
      <c r="R221" t="s">
        <v>1119</v>
      </c>
      <c r="S221" t="s">
        <v>225</v>
      </c>
      <c r="T221" t="s">
        <v>1118</v>
      </c>
      <c r="U221" t="s">
        <v>393</v>
      </c>
      <c r="V221" t="s">
        <v>230</v>
      </c>
      <c r="W221" t="s">
        <v>1120</v>
      </c>
    </row>
    <row r="222" spans="16:23">
      <c r="P222" t="s">
        <v>1121</v>
      </c>
      <c r="Q222" t="s">
        <v>1122</v>
      </c>
      <c r="R222" t="s">
        <v>1124</v>
      </c>
      <c r="S222" t="s">
        <v>225</v>
      </c>
      <c r="T222" t="s">
        <v>1123</v>
      </c>
      <c r="U222" t="s">
        <v>393</v>
      </c>
      <c r="V222" t="s">
        <v>230</v>
      </c>
      <c r="W222" t="s">
        <v>1125</v>
      </c>
    </row>
    <row r="223" spans="16:23">
      <c r="P223" t="s">
        <v>1126</v>
      </c>
      <c r="Q223" t="s">
        <v>1127</v>
      </c>
      <c r="R223" t="s">
        <v>1129</v>
      </c>
      <c r="S223" t="s">
        <v>225</v>
      </c>
      <c r="T223" t="s">
        <v>1128</v>
      </c>
      <c r="U223" t="s">
        <v>393</v>
      </c>
      <c r="V223" t="s">
        <v>230</v>
      </c>
      <c r="W223" t="s">
        <v>1130</v>
      </c>
    </row>
    <row r="224" spans="16:23">
      <c r="P224" t="s">
        <v>1131</v>
      </c>
      <c r="Q224" t="s">
        <v>1132</v>
      </c>
      <c r="R224" t="s">
        <v>1104</v>
      </c>
      <c r="S224" t="s">
        <v>225</v>
      </c>
      <c r="T224" t="s">
        <v>1133</v>
      </c>
      <c r="U224" t="s">
        <v>393</v>
      </c>
      <c r="V224" t="s">
        <v>230</v>
      </c>
      <c r="W224" t="s">
        <v>1134</v>
      </c>
    </row>
    <row r="225" spans="16:23">
      <c r="P225" t="s">
        <v>1135</v>
      </c>
      <c r="Q225" t="s">
        <v>1136</v>
      </c>
      <c r="R225" t="s">
        <v>1138</v>
      </c>
      <c r="S225" t="s">
        <v>225</v>
      </c>
      <c r="T225" t="s">
        <v>1137</v>
      </c>
      <c r="U225" t="s">
        <v>393</v>
      </c>
      <c r="V225" t="s">
        <v>230</v>
      </c>
      <c r="W225" t="s">
        <v>1139</v>
      </c>
    </row>
    <row r="226" spans="16:23">
      <c r="P226" t="s">
        <v>1140</v>
      </c>
      <c r="Q226" t="s">
        <v>1141</v>
      </c>
      <c r="R226" t="s">
        <v>1143</v>
      </c>
      <c r="S226" t="s">
        <v>225</v>
      </c>
      <c r="T226" t="s">
        <v>1142</v>
      </c>
      <c r="U226" t="s">
        <v>393</v>
      </c>
      <c r="V226" t="s">
        <v>230</v>
      </c>
      <c r="W226" t="s">
        <v>1144</v>
      </c>
    </row>
    <row r="227" spans="16:23">
      <c r="P227" t="s">
        <v>1145</v>
      </c>
      <c r="Q227" t="s">
        <v>1146</v>
      </c>
      <c r="R227" t="s">
        <v>1148</v>
      </c>
      <c r="S227" t="s">
        <v>225</v>
      </c>
      <c r="T227" t="s">
        <v>1147</v>
      </c>
      <c r="U227" t="s">
        <v>393</v>
      </c>
      <c r="V227" t="s">
        <v>230</v>
      </c>
      <c r="W227" t="s">
        <v>1149</v>
      </c>
    </row>
    <row r="228" spans="16:23">
      <c r="P228" t="s">
        <v>1150</v>
      </c>
      <c r="Q228" t="s">
        <v>1151</v>
      </c>
      <c r="R228" t="s">
        <v>1153</v>
      </c>
      <c r="S228" t="s">
        <v>225</v>
      </c>
      <c r="T228" t="s">
        <v>1152</v>
      </c>
      <c r="U228" t="s">
        <v>393</v>
      </c>
      <c r="V228" t="s">
        <v>230</v>
      </c>
      <c r="W228" t="s">
        <v>1154</v>
      </c>
    </row>
    <row r="229" spans="16:23">
      <c r="P229" t="s">
        <v>1155</v>
      </c>
      <c r="Q229" t="s">
        <v>1156</v>
      </c>
      <c r="R229" t="s">
        <v>1124</v>
      </c>
      <c r="S229" t="s">
        <v>225</v>
      </c>
      <c r="T229" t="s">
        <v>1157</v>
      </c>
      <c r="U229" t="s">
        <v>393</v>
      </c>
      <c r="V229" t="s">
        <v>230</v>
      </c>
      <c r="W229" t="s">
        <v>1158</v>
      </c>
    </row>
    <row r="230" spans="16:23">
      <c r="P230" t="s">
        <v>1159</v>
      </c>
      <c r="Q230" t="s">
        <v>1160</v>
      </c>
      <c r="R230" t="s">
        <v>1162</v>
      </c>
      <c r="S230" t="s">
        <v>225</v>
      </c>
      <c r="T230" t="s">
        <v>1161</v>
      </c>
      <c r="U230" t="s">
        <v>393</v>
      </c>
      <c r="V230" t="s">
        <v>230</v>
      </c>
      <c r="W230" t="s">
        <v>1163</v>
      </c>
    </row>
    <row r="231" spans="16:23">
      <c r="P231" t="s">
        <v>1164</v>
      </c>
      <c r="Q231" t="s">
        <v>1165</v>
      </c>
      <c r="R231" t="s">
        <v>1167</v>
      </c>
      <c r="S231" t="s">
        <v>225</v>
      </c>
      <c r="T231" t="s">
        <v>1166</v>
      </c>
      <c r="U231" t="s">
        <v>393</v>
      </c>
      <c r="V231" t="s">
        <v>230</v>
      </c>
      <c r="W231" t="s">
        <v>1168</v>
      </c>
    </row>
    <row r="232" spans="16:23">
      <c r="P232" t="s">
        <v>1169</v>
      </c>
      <c r="Q232" t="s">
        <v>1170</v>
      </c>
      <c r="R232" t="s">
        <v>1172</v>
      </c>
      <c r="S232" t="s">
        <v>225</v>
      </c>
      <c r="T232" t="s">
        <v>1171</v>
      </c>
      <c r="U232" t="s">
        <v>393</v>
      </c>
      <c r="V232" t="s">
        <v>230</v>
      </c>
      <c r="W232" t="s">
        <v>1173</v>
      </c>
    </row>
    <row r="233" spans="16:23">
      <c r="P233" t="s">
        <v>1174</v>
      </c>
      <c r="Q233" t="s">
        <v>227</v>
      </c>
      <c r="R233" t="s">
        <v>1176</v>
      </c>
      <c r="S233" t="s">
        <v>225</v>
      </c>
      <c r="T233" t="s">
        <v>1175</v>
      </c>
      <c r="U233" t="s">
        <v>475</v>
      </c>
      <c r="V233" t="s">
        <v>230</v>
      </c>
      <c r="W233" t="s">
        <v>1177</v>
      </c>
    </row>
    <row r="234" spans="16:23">
      <c r="P234" t="s">
        <v>1178</v>
      </c>
      <c r="Q234" t="s">
        <v>1179</v>
      </c>
      <c r="R234" t="s">
        <v>1181</v>
      </c>
      <c r="S234" t="s">
        <v>225</v>
      </c>
      <c r="T234" t="s">
        <v>1180</v>
      </c>
      <c r="U234" t="s">
        <v>393</v>
      </c>
      <c r="V234" t="s">
        <v>230</v>
      </c>
      <c r="W234" t="s">
        <v>1182</v>
      </c>
    </row>
    <row r="235" spans="16:23">
      <c r="P235" t="s">
        <v>1183</v>
      </c>
      <c r="Q235" t="s">
        <v>1184</v>
      </c>
      <c r="R235" t="s">
        <v>1186</v>
      </c>
      <c r="S235" t="s">
        <v>225</v>
      </c>
      <c r="T235" t="s">
        <v>1185</v>
      </c>
      <c r="U235" t="s">
        <v>393</v>
      </c>
      <c r="V235" t="s">
        <v>230</v>
      </c>
      <c r="W235" t="s">
        <v>1187</v>
      </c>
    </row>
    <row r="236" spans="16:23">
      <c r="P236" t="s">
        <v>1188</v>
      </c>
      <c r="Q236" t="s">
        <v>1189</v>
      </c>
      <c r="R236" t="s">
        <v>1191</v>
      </c>
      <c r="S236" t="s">
        <v>225</v>
      </c>
      <c r="T236" t="s">
        <v>1190</v>
      </c>
      <c r="U236" t="s">
        <v>393</v>
      </c>
      <c r="V236" t="s">
        <v>230</v>
      </c>
      <c r="W236" t="s">
        <v>1192</v>
      </c>
    </row>
    <row r="237" spans="16:23">
      <c r="P237" t="s">
        <v>1193</v>
      </c>
      <c r="Q237" t="s">
        <v>1194</v>
      </c>
      <c r="R237" t="s">
        <v>1196</v>
      </c>
      <c r="S237" t="s">
        <v>225</v>
      </c>
      <c r="T237" t="s">
        <v>1195</v>
      </c>
      <c r="U237" t="s">
        <v>393</v>
      </c>
      <c r="V237" t="s">
        <v>230</v>
      </c>
      <c r="W237" t="s">
        <v>1197</v>
      </c>
    </row>
    <row r="238" spans="16:23">
      <c r="P238" t="s">
        <v>1198</v>
      </c>
      <c r="Q238" t="s">
        <v>1199</v>
      </c>
      <c r="R238" t="s">
        <v>1201</v>
      </c>
      <c r="S238" t="s">
        <v>225</v>
      </c>
      <c r="T238" t="s">
        <v>1200</v>
      </c>
      <c r="U238" t="s">
        <v>393</v>
      </c>
      <c r="V238" t="s">
        <v>230</v>
      </c>
      <c r="W238" t="s">
        <v>1202</v>
      </c>
    </row>
    <row r="239" spans="16:23">
      <c r="P239" t="s">
        <v>1203</v>
      </c>
      <c r="Q239" t="s">
        <v>1204</v>
      </c>
      <c r="R239" t="s">
        <v>1206</v>
      </c>
      <c r="S239" t="s">
        <v>225</v>
      </c>
      <c r="T239" t="s">
        <v>1205</v>
      </c>
      <c r="U239" t="s">
        <v>393</v>
      </c>
      <c r="V239" t="s">
        <v>230</v>
      </c>
      <c r="W239" t="s">
        <v>1207</v>
      </c>
    </row>
    <row r="240" spans="16:23">
      <c r="P240" t="s">
        <v>1208</v>
      </c>
      <c r="Q240" t="s">
        <v>1209</v>
      </c>
      <c r="R240" t="s">
        <v>1211</v>
      </c>
      <c r="S240" t="s">
        <v>225</v>
      </c>
      <c r="T240" t="s">
        <v>1210</v>
      </c>
      <c r="U240" t="s">
        <v>393</v>
      </c>
      <c r="V240" t="s">
        <v>230</v>
      </c>
      <c r="W240" t="s">
        <v>1212</v>
      </c>
    </row>
    <row r="241" spans="16:23">
      <c r="P241" t="s">
        <v>1213</v>
      </c>
      <c r="Q241" t="s">
        <v>1214</v>
      </c>
      <c r="R241" t="s">
        <v>1216</v>
      </c>
      <c r="S241" t="s">
        <v>225</v>
      </c>
      <c r="T241" t="s">
        <v>1215</v>
      </c>
      <c r="U241" t="s">
        <v>393</v>
      </c>
      <c r="V241" t="s">
        <v>230</v>
      </c>
      <c r="W241" t="s">
        <v>1217</v>
      </c>
    </row>
    <row r="242" spans="16:23">
      <c r="P242" t="s">
        <v>1218</v>
      </c>
      <c r="Q242" t="s">
        <v>1219</v>
      </c>
      <c r="R242" t="s">
        <v>1221</v>
      </c>
      <c r="S242" t="s">
        <v>225</v>
      </c>
      <c r="T242" t="s">
        <v>1220</v>
      </c>
      <c r="U242" t="s">
        <v>393</v>
      </c>
      <c r="V242" t="s">
        <v>230</v>
      </c>
      <c r="W242" t="s">
        <v>1222</v>
      </c>
    </row>
    <row r="243" spans="16:23">
      <c r="P243" t="s">
        <v>1223</v>
      </c>
      <c r="Q243" t="s">
        <v>1224</v>
      </c>
      <c r="R243" t="s">
        <v>1226</v>
      </c>
      <c r="S243" t="s">
        <v>225</v>
      </c>
      <c r="T243" t="s">
        <v>1225</v>
      </c>
      <c r="U243" t="s">
        <v>393</v>
      </c>
      <c r="V243" t="s">
        <v>230</v>
      </c>
      <c r="W243" t="s">
        <v>1227</v>
      </c>
    </row>
    <row r="244" spans="16:23">
      <c r="P244" t="s">
        <v>1228</v>
      </c>
      <c r="Q244" t="s">
        <v>1229</v>
      </c>
      <c r="R244" t="s">
        <v>1231</v>
      </c>
      <c r="S244" t="s">
        <v>225</v>
      </c>
      <c r="T244" t="s">
        <v>1230</v>
      </c>
      <c r="U244" t="s">
        <v>393</v>
      </c>
      <c r="V244" t="s">
        <v>230</v>
      </c>
      <c r="W244" t="s">
        <v>1232</v>
      </c>
    </row>
    <row r="245" spans="16:23">
      <c r="P245" t="s">
        <v>1233</v>
      </c>
      <c r="Q245" t="s">
        <v>1234</v>
      </c>
      <c r="R245" t="s">
        <v>1236</v>
      </c>
      <c r="S245" t="s">
        <v>225</v>
      </c>
      <c r="T245" t="s">
        <v>1235</v>
      </c>
      <c r="U245" t="s">
        <v>393</v>
      </c>
      <c r="V245" t="s">
        <v>230</v>
      </c>
      <c r="W245" t="s">
        <v>1237</v>
      </c>
    </row>
    <row r="246" spans="16:23">
      <c r="P246" t="s">
        <v>1238</v>
      </c>
      <c r="Q246" t="s">
        <v>1239</v>
      </c>
      <c r="R246" t="s">
        <v>1241</v>
      </c>
      <c r="S246" t="s">
        <v>225</v>
      </c>
      <c r="T246" t="s">
        <v>1240</v>
      </c>
      <c r="U246" t="s">
        <v>393</v>
      </c>
      <c r="V246" t="s">
        <v>230</v>
      </c>
      <c r="W246" t="s">
        <v>1242</v>
      </c>
    </row>
    <row r="247" spans="16:23">
      <c r="P247" t="s">
        <v>1243</v>
      </c>
      <c r="Q247" t="s">
        <v>1244</v>
      </c>
      <c r="R247" t="s">
        <v>1246</v>
      </c>
      <c r="S247" t="s">
        <v>225</v>
      </c>
      <c r="T247" t="s">
        <v>1245</v>
      </c>
      <c r="U247" t="s">
        <v>393</v>
      </c>
      <c r="V247" t="s">
        <v>230</v>
      </c>
      <c r="W247" t="s">
        <v>1247</v>
      </c>
    </row>
  </sheetData>
  <sheetProtection sheet="1" objects="1" scenarios="1"/>
  <pageMargins left="0.7" right="0.7" top="0.75" bottom="0.75" header="0.3" footer="0.3"/>
  <tableParts count="9">
    <tablePart r:id="rId1"/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F91EE-CAC4-42CF-AEB8-9B4F20429B47}">
  <sheetPr codeName="Sheet10"/>
  <dimension ref="A1"/>
  <sheetViews>
    <sheetView workbookViewId="0">
      <selection activeCell="H8" sqref="H8"/>
    </sheetView>
  </sheetViews>
  <sheetFormatPr defaultRowHeight="15"/>
  <sheetData>
    <row r="1" spans="1:1">
      <c r="A1" s="27" t="s">
        <v>2137</v>
      </c>
    </row>
  </sheetData>
  <sheetProtection algorithmName="SHA-512" hashValue="qVV44w5cpV5FJXznNkwz1IzSQ42qOWTZI9FVa0lRvF/c2b6iwJIezLrqPZ18GjvHdb9xAQdVGscxPKDHgdx7lg==" saltValue="tKmHpLJHxc9myezVYOJl/A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c65c10a-750a-4a00-b2ef-dbd186675223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08B6393262BD49A79F9D7AB349EDD2" ma:contentTypeVersion="5" ma:contentTypeDescription="Een nieuw document maken." ma:contentTypeScope="" ma:versionID="81d4641ce9ed5755cceb9ecfb44304f1">
  <xsd:schema xmlns:xsd="http://www.w3.org/2001/XMLSchema" xmlns:xs="http://www.w3.org/2001/XMLSchema" xmlns:p="http://schemas.microsoft.com/office/2006/metadata/properties" xmlns:ns3="bc65c10a-750a-4a00-b2ef-dbd186675223" targetNamespace="http://schemas.microsoft.com/office/2006/metadata/properties" ma:root="true" ma:fieldsID="2dcbb722913a944461565bcc46b538d5" ns3:_="">
    <xsd:import namespace="bc65c10a-750a-4a00-b2ef-dbd18667522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65c10a-750a-4a00-b2ef-dbd18667522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FC312F2-9A8B-43F1-AA46-BAE396644256}">
  <ds:schemaRefs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bc65c10a-750a-4a00-b2ef-dbd18667522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CDD5C9F2-5CA2-4A88-B880-AF69EE3ED0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642DD162-C604-4793-A8F8-C827955C36B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65c10a-750a-4a00-b2ef-dbd1866752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40A91BF-CAC3-478E-98F7-0A853F5A0F8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48</vt:i4>
      </vt:variant>
    </vt:vector>
  </HeadingPairs>
  <TitlesOfParts>
    <vt:vector size="58" baseType="lpstr">
      <vt:lpstr>New request form</vt:lpstr>
      <vt:lpstr>My Requests</vt:lpstr>
      <vt:lpstr>Set Defaults</vt:lpstr>
      <vt:lpstr>Request Header</vt:lpstr>
      <vt:lpstr>Header map</vt:lpstr>
      <vt:lpstr>Sheet3</vt:lpstr>
      <vt:lpstr>Q_DataValidation_Source_Master</vt:lpstr>
      <vt:lpstr>Q_DataValidation_Cache</vt:lpstr>
      <vt:lpstr>Data_Validation_Source</vt:lpstr>
      <vt:lpstr>App_Version</vt:lpstr>
      <vt:lpstr>App_Version</vt:lpstr>
      <vt:lpstr>'My Requests'!Input_Asset</vt:lpstr>
      <vt:lpstr>'New request form'!Input_Asset</vt:lpstr>
      <vt:lpstr>'My Requests'!Input_Bu</vt:lpstr>
      <vt:lpstr>'New request form'!Input_Bu</vt:lpstr>
      <vt:lpstr>'Request Header'!Input_Buyer_email</vt:lpstr>
      <vt:lpstr>'My Requests'!Input_Entity</vt:lpstr>
      <vt:lpstr>'New request form'!Input_Entity</vt:lpstr>
      <vt:lpstr>'My Requests'!Input_Item_type</vt:lpstr>
      <vt:lpstr>'New request form'!Input_item_type</vt:lpstr>
      <vt:lpstr>'My Requests'!Input_Location</vt:lpstr>
      <vt:lpstr>'New request form'!Input_Location</vt:lpstr>
      <vt:lpstr>'My Requests'!Input_Postfactoref</vt:lpstr>
      <vt:lpstr>'New request form'!Input_Postfactoref</vt:lpstr>
      <vt:lpstr>'My Requests'!Input_ProjectID</vt:lpstr>
      <vt:lpstr>'New request form'!Input_ProjectID</vt:lpstr>
      <vt:lpstr>'My Requests'!Input_Request_Date</vt:lpstr>
      <vt:lpstr>'New request form'!Input_Request_Date</vt:lpstr>
      <vt:lpstr>'My Requests'!Input_Request_number</vt:lpstr>
      <vt:lpstr>'New request form'!Input_Request_number</vt:lpstr>
      <vt:lpstr>'My Requests'!Input_Request_type</vt:lpstr>
      <vt:lpstr>'New request form'!Input_Request_type</vt:lpstr>
      <vt:lpstr>'My Requests'!Input_Requester</vt:lpstr>
      <vt:lpstr>'New request form'!Input_Requester</vt:lpstr>
      <vt:lpstr>'Request Header'!Input_Requester_email</vt:lpstr>
      <vt:lpstr>'My Requests'!Input_Required_by</vt:lpstr>
      <vt:lpstr>'New request form'!Input_Required_by</vt:lpstr>
      <vt:lpstr>'My Requests'!Input_Rimsesref</vt:lpstr>
      <vt:lpstr>'New request form'!Input_Rimsesref</vt:lpstr>
      <vt:lpstr>'My Requests'!Input_Sourcingref</vt:lpstr>
      <vt:lpstr>'New request form'!Input_Sourcingref</vt:lpstr>
      <vt:lpstr>'My Requests'!Input_Subject</vt:lpstr>
      <vt:lpstr>'New request form'!Input_Subject</vt:lpstr>
      <vt:lpstr>'My Requests'!Input_Version</vt:lpstr>
      <vt:lpstr>'New request form'!Input_Version</vt:lpstr>
      <vt:lpstr>'Request Header'!Input_Warehouse_re_email</vt:lpstr>
      <vt:lpstr>'My Requests'!Input_Warehouse_rep</vt:lpstr>
      <vt:lpstr>'New request form'!Input_Warehouse_rep</vt:lpstr>
      <vt:lpstr>'My Requests'!Input_Workorderref</vt:lpstr>
      <vt:lpstr>'New request form'!Input_Workorderref</vt:lpstr>
      <vt:lpstr>R_bu</vt:lpstr>
      <vt:lpstr>R_entity</vt:lpstr>
      <vt:lpstr>R_item_type</vt:lpstr>
      <vt:lpstr>R_location</vt:lpstr>
      <vt:lpstr>R_projects</vt:lpstr>
      <vt:lpstr>R_request_type</vt:lpstr>
      <vt:lpstr>R_requester_name</vt:lpstr>
      <vt:lpstr>R_warehouse_rep_name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shahfeen.shamsudheen@aertssen.be</dc:creator>
  <cp:keywords/>
  <dc:description/>
  <cp:lastModifiedBy>Shahfeen Shamsudheen</cp:lastModifiedBy>
  <cp:revision/>
  <dcterms:created xsi:type="dcterms:W3CDTF">2025-11-21T04:47:27Z</dcterms:created>
  <dcterms:modified xsi:type="dcterms:W3CDTF">2026-01-02T14:21:02Z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0x0101000708B6393262BD49A79F9D7AB349EDD2</vt:lpwstr>
  </property>
</Properties>
</file>