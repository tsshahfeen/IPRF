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artner-integrations.egnyte.com/msoffice/wopi/files/b436788a-c7bf-4887-95a8-22d652a725a5/WOPIServiceId_TP_EGNYTE_PLUS/WOPIUserId_-/"/>
    </mc:Choice>
  </mc:AlternateContent>
  <xr:revisionPtr revIDLastSave="44" documentId="8_{FE05C6EA-0AE7-4384-8AF4-FB41F7900221}" xr6:coauthVersionLast="47" xr6:coauthVersionMax="47" xr10:uidLastSave="{754CAB34-1030-41DE-B20C-57C1E814E43D}"/>
  <bookViews>
    <workbookView xWindow="-28920" yWindow="-120" windowWidth="29040" windowHeight="15720" tabRatio="757" xr2:uid="{00000000-000D-0000-FFFF-FFFF00000000}"/>
  </bookViews>
  <sheets>
    <sheet name="New request form" sheetId="3" r:id="rId1"/>
    <sheet name="My Requests" sheetId="8" r:id="rId2"/>
    <sheet name="Set Defaults" sheetId="7" r:id="rId3"/>
    <sheet name="Request Header" sheetId="1" r:id="rId4"/>
    <sheet name="Header map" sheetId="5" r:id="rId5"/>
    <sheet name="Sheet3" sheetId="6" r:id="rId6"/>
    <sheet name="Q_DataValidation_Source_Master" sheetId="14" r:id="rId7"/>
    <sheet name="Q_DataValidation_Cache" sheetId="13" r:id="rId8"/>
    <sheet name="Data_Validation_Source" sheetId="9" r:id="rId9"/>
    <sheet name="App_Version" sheetId="15" r:id="rId10"/>
  </sheets>
  <definedNames>
    <definedName name="_xleta.IFERROR" hidden="1" xlm="1">#NAME?</definedName>
    <definedName name="App_Version">App_Version!$A$1</definedName>
    <definedName name="ExternalData_1" localSheetId="8" hidden="1">Data_Validation_Source!#REF!</definedName>
    <definedName name="ExternalData_1" localSheetId="7" hidden="1">Q_DataValidation_Cache!$A$1:$AH$2805</definedName>
    <definedName name="ExternalData_10" localSheetId="8" hidden="1">Data_Validation_Source!$AK$1:$AO$13</definedName>
    <definedName name="ExternalData_2" localSheetId="8" hidden="1">Data_Validation_Source!$A$1:$A$6</definedName>
    <definedName name="ExternalData_2" localSheetId="6" hidden="1">Q_DataValidation_Source_Master!$A$1:$AH$2805</definedName>
    <definedName name="ExternalData_3" localSheetId="8" hidden="1">Data_Validation_Source!$C$1:$C$5</definedName>
    <definedName name="ExternalData_4" localSheetId="8" hidden="1">Data_Validation_Source!$E$1:$E$3</definedName>
    <definedName name="ExternalData_5" localSheetId="8" hidden="1">Data_Validation_Source!$G$1:$I$7</definedName>
    <definedName name="ExternalData_6" localSheetId="8" hidden="1">Data_Validation_Source!$K$1:$N$104</definedName>
    <definedName name="ExternalData_7" localSheetId="8" hidden="1">Data_Validation_Source!$P$1:$W$247</definedName>
    <definedName name="ExternalData_8" localSheetId="8" hidden="1">Data_Validation_Source!$Y$1:$AC$190</definedName>
    <definedName name="ExternalData_9" localSheetId="8" hidden="1">Data_Validation_Source!$AE$1:$AI$19</definedName>
    <definedName name="Input_Asset" localSheetId="1">'My Requests'!$N$8</definedName>
    <definedName name="Input_Asset" localSheetId="0">'New request form'!$N$8</definedName>
    <definedName name="Input_Bu" localSheetId="1">'My Requests'!$C$7</definedName>
    <definedName name="Input_Bu" localSheetId="0">'New request form'!$C$7</definedName>
    <definedName name="Input_Buyer_email" localSheetId="3">'Request Header'!$X$4</definedName>
    <definedName name="Input_Entity" localSheetId="1">'My Requests'!$N$6</definedName>
    <definedName name="Input_Entity" localSheetId="0">'New request form'!$N$6</definedName>
    <definedName name="Input_Item_type" localSheetId="1">'My Requests'!$H$6</definedName>
    <definedName name="Input_item_type" localSheetId="0">'New request form'!$H$6</definedName>
    <definedName name="Input_Location" localSheetId="1">'My Requests'!$H$8</definedName>
    <definedName name="Input_Location" localSheetId="0">'New request form'!$H$8</definedName>
    <definedName name="Input_Postfactoref" localSheetId="1">'My Requests'!$M$7</definedName>
    <definedName name="Input_Postfactoref" localSheetId="0">'New request form'!$N$7</definedName>
    <definedName name="Input_ProjectID" localSheetId="1">'My Requests'!$C$10</definedName>
    <definedName name="Input_ProjectID" localSheetId="0">'New request form'!$C$10</definedName>
    <definedName name="Input_Request_Date" localSheetId="1">'My Requests'!$N$5</definedName>
    <definedName name="Input_Request_Date" localSheetId="0">'New request form'!$N$5</definedName>
    <definedName name="Input_Request_number" localSheetId="1">'My Requests'!$C$5</definedName>
    <definedName name="Input_Request_number" localSheetId="0">'New request form'!$C$5</definedName>
    <definedName name="Input_Request_type" localSheetId="1">'My Requests'!$C$6</definedName>
    <definedName name="Input_Request_type" localSheetId="0">'New request form'!$C$6</definedName>
    <definedName name="Input_Requester" localSheetId="1">'My Requests'!$N$9</definedName>
    <definedName name="Input_Requester" localSheetId="0">'New request form'!$N$9</definedName>
    <definedName name="Input_Requester_email" localSheetId="3">'Request Header'!$T$4</definedName>
    <definedName name="Input_Required_by" localSheetId="1">'My Requests'!$C$8</definedName>
    <definedName name="Input_Required_by" localSheetId="0">'New request form'!$C$8</definedName>
    <definedName name="Input_Rimsesref" localSheetId="1">'My Requests'!$I$9</definedName>
    <definedName name="Input_Rimsesref" localSheetId="0">'New request form'!$H$9:$I$9</definedName>
    <definedName name="Input_Sourcingref" localSheetId="1">'My Requests'!$H$7</definedName>
    <definedName name="Input_Sourcingref" localSheetId="0">'New request form'!$H$7:$I$7</definedName>
    <definedName name="Input_Subject" localSheetId="1">'My Requests'!$H$5</definedName>
    <definedName name="Input_Subject" localSheetId="0">'New request form'!$H$5</definedName>
    <definedName name="Input_Version" localSheetId="1">'My Requests'!$H$10</definedName>
    <definedName name="Input_Version" localSheetId="0">'New request form'!$H$10</definedName>
    <definedName name="Input_Warehouse_re_email" localSheetId="3">'Request Header'!$V$4</definedName>
    <definedName name="Input_Warehouse_rep" localSheetId="1">'My Requests'!$N$10</definedName>
    <definedName name="Input_Warehouse_rep" localSheetId="0">'New request form'!$N$10</definedName>
    <definedName name="Input_Workorderref" localSheetId="1">'My Requests'!$C$9</definedName>
    <definedName name="Input_Workorderref" localSheetId="0">'New request form'!$C$9:$D$9</definedName>
    <definedName name="R_bu">Q_BU[Business unit]</definedName>
    <definedName name="R_entity">Q_Entity[Entity]</definedName>
    <definedName name="R_item_type">Q_Item_type[Item type]</definedName>
    <definedName name="R_location">Q_Location[Location]</definedName>
    <definedName name="R_projects">Q_Projects[ProjectID_Name]</definedName>
    <definedName name="R_request_type">Q_Request_type[Request type]</definedName>
    <definedName name="R_requester_name">Q_Requester[DisplayName]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N513" i="8" l="1" a="1"/>
  <c r="N513" i="8" s="1"/>
  <c r="M513" i="8" a="1"/>
  <c r="M513" i="8" s="1"/>
  <c r="L513" i="8"/>
  <c r="A513" i="8"/>
  <c r="N512" i="8" a="1"/>
  <c r="N512" i="8" s="1"/>
  <c r="M512" i="8" a="1"/>
  <c r="M512" i="8" s="1"/>
  <c r="L512" i="8"/>
  <c r="A512" i="8"/>
  <c r="N511" i="8" a="1"/>
  <c r="N511" i="8" s="1"/>
  <c r="M511" i="8" a="1"/>
  <c r="M511" i="8" s="1"/>
  <c r="L511" i="8"/>
  <c r="A511" i="8"/>
  <c r="N510" i="8" a="1"/>
  <c r="N510" i="8" s="1"/>
  <c r="M510" i="8" a="1"/>
  <c r="M510" i="8" s="1"/>
  <c r="L510" i="8"/>
  <c r="A510" i="8"/>
  <c r="N509" i="8" a="1"/>
  <c r="N509" i="8" s="1"/>
  <c r="M509" i="8" a="1"/>
  <c r="M509" i="8" s="1"/>
  <c r="L509" i="8"/>
  <c r="A509" i="8"/>
  <c r="N508" i="8" a="1"/>
  <c r="N508" i="8" s="1"/>
  <c r="M508" i="8" a="1"/>
  <c r="M508" i="8" s="1"/>
  <c r="L508" i="8"/>
  <c r="A508" i="8"/>
  <c r="N507" i="8" a="1"/>
  <c r="N507" i="8" s="1"/>
  <c r="M507" i="8" a="1"/>
  <c r="M507" i="8" s="1"/>
  <c r="L507" i="8"/>
  <c r="A507" i="8"/>
  <c r="N506" i="8" a="1"/>
  <c r="N506" i="8" s="1"/>
  <c r="M506" i="8" a="1"/>
  <c r="M506" i="8" s="1"/>
  <c r="L506" i="8"/>
  <c r="A506" i="8"/>
  <c r="N505" i="8" a="1"/>
  <c r="N505" i="8" s="1"/>
  <c r="M505" i="8" a="1"/>
  <c r="M505" i="8" s="1"/>
  <c r="L505" i="8"/>
  <c r="A505" i="8"/>
  <c r="N504" i="8" a="1"/>
  <c r="N504" i="8" s="1"/>
  <c r="M504" i="8" a="1"/>
  <c r="M504" i="8" s="1"/>
  <c r="L504" i="8"/>
  <c r="A504" i="8"/>
  <c r="N503" i="8" a="1"/>
  <c r="N503" i="8" s="1"/>
  <c r="M503" i="8" a="1"/>
  <c r="M503" i="8" s="1"/>
  <c r="L503" i="8"/>
  <c r="A503" i="8"/>
  <c r="N502" i="8" a="1"/>
  <c r="N502" i="8" s="1"/>
  <c r="M502" i="8" a="1"/>
  <c r="M502" i="8" s="1"/>
  <c r="L502" i="8"/>
  <c r="A502" i="8"/>
  <c r="N501" i="8" a="1"/>
  <c r="N501" i="8" s="1"/>
  <c r="M501" i="8" a="1"/>
  <c r="M501" i="8" s="1"/>
  <c r="L501" i="8"/>
  <c r="A501" i="8"/>
  <c r="N500" i="8" a="1"/>
  <c r="N500" i="8" s="1"/>
  <c r="M500" i="8" a="1"/>
  <c r="M500" i="8" s="1"/>
  <c r="L500" i="8"/>
  <c r="A500" i="8"/>
  <c r="N499" i="8" a="1"/>
  <c r="N499" i="8" s="1"/>
  <c r="M499" i="8" a="1"/>
  <c r="M499" i="8" s="1"/>
  <c r="L499" i="8"/>
  <c r="A499" i="8"/>
  <c r="N498" i="8" a="1"/>
  <c r="N498" i="8" s="1"/>
  <c r="M498" i="8" a="1"/>
  <c r="M498" i="8" s="1"/>
  <c r="L498" i="8"/>
  <c r="A498" i="8"/>
  <c r="N497" i="8" a="1"/>
  <c r="N497" i="8" s="1"/>
  <c r="M497" i="8" a="1"/>
  <c r="M497" i="8" s="1"/>
  <c r="L497" i="8"/>
  <c r="A497" i="8"/>
  <c r="N496" i="8" a="1"/>
  <c r="N496" i="8" s="1"/>
  <c r="M496" i="8" a="1"/>
  <c r="M496" i="8" s="1"/>
  <c r="L496" i="8"/>
  <c r="A496" i="8"/>
  <c r="N495" i="8" a="1"/>
  <c r="N495" i="8" s="1"/>
  <c r="M495" i="8" a="1"/>
  <c r="M495" i="8" s="1"/>
  <c r="L495" i="8"/>
  <c r="A495" i="8"/>
  <c r="N494" i="8" a="1"/>
  <c r="N494" i="8" s="1"/>
  <c r="M494" i="8" a="1"/>
  <c r="M494" i="8" s="1"/>
  <c r="L494" i="8"/>
  <c r="A494" i="8"/>
  <c r="N493" i="8" a="1"/>
  <c r="N493" i="8" s="1"/>
  <c r="M493" i="8" a="1"/>
  <c r="M493" i="8" s="1"/>
  <c r="L493" i="8"/>
  <c r="A493" i="8"/>
  <c r="N492" i="8" a="1"/>
  <c r="N492" i="8" s="1"/>
  <c r="M492" i="8" a="1"/>
  <c r="M492" i="8" s="1"/>
  <c r="L492" i="8"/>
  <c r="A492" i="8"/>
  <c r="N491" i="8" a="1"/>
  <c r="N491" i="8" s="1"/>
  <c r="M491" i="8" a="1"/>
  <c r="M491" i="8" s="1"/>
  <c r="L491" i="8"/>
  <c r="A491" i="8"/>
  <c r="N490" i="8" a="1"/>
  <c r="N490" i="8" s="1"/>
  <c r="M490" i="8" a="1"/>
  <c r="M490" i="8" s="1"/>
  <c r="L490" i="8"/>
  <c r="A490" i="8"/>
  <c r="N489" i="8" a="1"/>
  <c r="N489" i="8" s="1"/>
  <c r="M489" i="8" a="1"/>
  <c r="M489" i="8" s="1"/>
  <c r="L489" i="8"/>
  <c r="A489" i="8"/>
  <c r="N488" i="8" a="1"/>
  <c r="N488" i="8" s="1"/>
  <c r="M488" i="8" a="1"/>
  <c r="M488" i="8" s="1"/>
  <c r="L488" i="8"/>
  <c r="A488" i="8"/>
  <c r="N487" i="8" a="1"/>
  <c r="N487" i="8" s="1"/>
  <c r="M487" i="8" a="1"/>
  <c r="M487" i="8" s="1"/>
  <c r="L487" i="8"/>
  <c r="A487" i="8"/>
  <c r="N486" i="8" a="1"/>
  <c r="N486" i="8" s="1"/>
  <c r="M486" i="8" a="1"/>
  <c r="M486" i="8" s="1"/>
  <c r="L486" i="8"/>
  <c r="A486" i="8"/>
  <c r="N485" i="8" a="1"/>
  <c r="N485" i="8" s="1"/>
  <c r="M485" i="8" a="1"/>
  <c r="M485" i="8" s="1"/>
  <c r="L485" i="8"/>
  <c r="A485" i="8"/>
  <c r="N484" i="8" a="1"/>
  <c r="N484" i="8" s="1"/>
  <c r="M484" i="8" a="1"/>
  <c r="M484" i="8" s="1"/>
  <c r="L484" i="8"/>
  <c r="A484" i="8"/>
  <c r="N483" i="8" a="1"/>
  <c r="N483" i="8" s="1"/>
  <c r="M483" i="8" a="1"/>
  <c r="M483" i="8" s="1"/>
  <c r="L483" i="8"/>
  <c r="A483" i="8"/>
  <c r="N482" i="8" a="1"/>
  <c r="N482" i="8" s="1"/>
  <c r="M482" i="8" a="1"/>
  <c r="M482" i="8" s="1"/>
  <c r="L482" i="8"/>
  <c r="A482" i="8"/>
  <c r="N481" i="8" a="1"/>
  <c r="N481" i="8" s="1"/>
  <c r="M481" i="8" a="1"/>
  <c r="M481" i="8" s="1"/>
  <c r="L481" i="8"/>
  <c r="A481" i="8"/>
  <c r="N480" i="8" a="1"/>
  <c r="N480" i="8" s="1"/>
  <c r="M480" i="8" a="1"/>
  <c r="M480" i="8" s="1"/>
  <c r="L480" i="8"/>
  <c r="A480" i="8"/>
  <c r="N479" i="8" a="1"/>
  <c r="N479" i="8" s="1"/>
  <c r="M479" i="8" a="1"/>
  <c r="M479" i="8" s="1"/>
  <c r="L479" i="8"/>
  <c r="A479" i="8"/>
  <c r="N478" i="8" a="1"/>
  <c r="N478" i="8" s="1"/>
  <c r="M478" i="8" a="1"/>
  <c r="M478" i="8" s="1"/>
  <c r="L478" i="8"/>
  <c r="A478" i="8"/>
  <c r="N477" i="8" a="1"/>
  <c r="N477" i="8" s="1"/>
  <c r="M477" i="8" a="1"/>
  <c r="M477" i="8" s="1"/>
  <c r="L477" i="8"/>
  <c r="A477" i="8"/>
  <c r="N476" i="8" a="1"/>
  <c r="N476" i="8" s="1"/>
  <c r="M476" i="8" a="1"/>
  <c r="M476" i="8" s="1"/>
  <c r="L476" i="8"/>
  <c r="A476" i="8"/>
  <c r="N475" i="8" a="1"/>
  <c r="N475" i="8" s="1"/>
  <c r="M475" i="8" a="1"/>
  <c r="M475" i="8" s="1"/>
  <c r="L475" i="8"/>
  <c r="A475" i="8"/>
  <c r="N474" i="8" a="1"/>
  <c r="N474" i="8" s="1"/>
  <c r="M474" i="8" a="1"/>
  <c r="M474" i="8" s="1"/>
  <c r="L474" i="8"/>
  <c r="A474" i="8"/>
  <c r="N473" i="8" a="1"/>
  <c r="N473" i="8" s="1"/>
  <c r="M473" i="8" a="1"/>
  <c r="M473" i="8" s="1"/>
  <c r="L473" i="8"/>
  <c r="A473" i="8"/>
  <c r="N472" i="8" a="1"/>
  <c r="N472" i="8" s="1"/>
  <c r="M472" i="8" a="1"/>
  <c r="M472" i="8" s="1"/>
  <c r="L472" i="8"/>
  <c r="A472" i="8"/>
  <c r="N471" i="8" a="1"/>
  <c r="N471" i="8" s="1"/>
  <c r="M471" i="8" a="1"/>
  <c r="M471" i="8" s="1"/>
  <c r="L471" i="8"/>
  <c r="A471" i="8"/>
  <c r="N470" i="8" a="1"/>
  <c r="N470" i="8" s="1"/>
  <c r="M470" i="8" a="1"/>
  <c r="M470" i="8" s="1"/>
  <c r="L470" i="8"/>
  <c r="A470" i="8"/>
  <c r="N469" i="8" a="1"/>
  <c r="N469" i="8" s="1"/>
  <c r="M469" i="8" a="1"/>
  <c r="M469" i="8" s="1"/>
  <c r="L469" i="8"/>
  <c r="A469" i="8"/>
  <c r="N468" i="8" a="1"/>
  <c r="N468" i="8" s="1"/>
  <c r="M468" i="8" a="1"/>
  <c r="M468" i="8" s="1"/>
  <c r="L468" i="8"/>
  <c r="A468" i="8"/>
  <c r="N467" i="8" a="1"/>
  <c r="N467" i="8" s="1"/>
  <c r="M467" i="8" a="1"/>
  <c r="M467" i="8" s="1"/>
  <c r="L467" i="8"/>
  <c r="A467" i="8"/>
  <c r="N466" i="8" a="1"/>
  <c r="N466" i="8" s="1"/>
  <c r="M466" i="8" a="1"/>
  <c r="M466" i="8" s="1"/>
  <c r="L466" i="8"/>
  <c r="A466" i="8"/>
  <c r="N465" i="8" a="1"/>
  <c r="N465" i="8" s="1"/>
  <c r="M465" i="8" a="1"/>
  <c r="M465" i="8" s="1"/>
  <c r="L465" i="8"/>
  <c r="A465" i="8"/>
  <c r="N464" i="8" a="1"/>
  <c r="N464" i="8" s="1"/>
  <c r="M464" i="8" a="1"/>
  <c r="M464" i="8" s="1"/>
  <c r="L464" i="8"/>
  <c r="A464" i="8"/>
  <c r="N463" i="8" a="1"/>
  <c r="N463" i="8" s="1"/>
  <c r="M463" i="8" a="1"/>
  <c r="M463" i="8" s="1"/>
  <c r="L463" i="8"/>
  <c r="A463" i="8"/>
  <c r="N462" i="8" a="1"/>
  <c r="N462" i="8" s="1"/>
  <c r="M462" i="8" a="1"/>
  <c r="M462" i="8" s="1"/>
  <c r="L462" i="8"/>
  <c r="A462" i="8"/>
  <c r="N461" i="8" a="1"/>
  <c r="N461" i="8" s="1"/>
  <c r="M461" i="8" a="1"/>
  <c r="M461" i="8" s="1"/>
  <c r="L461" i="8"/>
  <c r="A461" i="8"/>
  <c r="N460" i="8" a="1"/>
  <c r="N460" i="8" s="1"/>
  <c r="M460" i="8" a="1"/>
  <c r="M460" i="8" s="1"/>
  <c r="L460" i="8"/>
  <c r="A460" i="8"/>
  <c r="N459" i="8" a="1"/>
  <c r="N459" i="8" s="1"/>
  <c r="M459" i="8" a="1"/>
  <c r="M459" i="8" s="1"/>
  <c r="L459" i="8"/>
  <c r="A459" i="8"/>
  <c r="N458" i="8" a="1"/>
  <c r="N458" i="8" s="1"/>
  <c r="M458" i="8" a="1"/>
  <c r="M458" i="8" s="1"/>
  <c r="L458" i="8"/>
  <c r="A458" i="8"/>
  <c r="N457" i="8" a="1"/>
  <c r="N457" i="8" s="1"/>
  <c r="M457" i="8" a="1"/>
  <c r="M457" i="8" s="1"/>
  <c r="L457" i="8"/>
  <c r="A457" i="8"/>
  <c r="N456" i="8" a="1"/>
  <c r="N456" i="8" s="1"/>
  <c r="M456" i="8" a="1"/>
  <c r="M456" i="8" s="1"/>
  <c r="L456" i="8"/>
  <c r="A456" i="8"/>
  <c r="N455" i="8" a="1"/>
  <c r="N455" i="8" s="1"/>
  <c r="M455" i="8" a="1"/>
  <c r="M455" i="8" s="1"/>
  <c r="L455" i="8"/>
  <c r="A455" i="8"/>
  <c r="N454" i="8" a="1"/>
  <c r="N454" i="8" s="1"/>
  <c r="M454" i="8" a="1"/>
  <c r="M454" i="8" s="1"/>
  <c r="L454" i="8"/>
  <c r="A454" i="8"/>
  <c r="N453" i="8" a="1"/>
  <c r="N453" i="8" s="1"/>
  <c r="M453" i="8" a="1"/>
  <c r="M453" i="8" s="1"/>
  <c r="L453" i="8"/>
  <c r="A453" i="8"/>
  <c r="N452" i="8" a="1"/>
  <c r="N452" i="8" s="1"/>
  <c r="M452" i="8" a="1"/>
  <c r="M452" i="8" s="1"/>
  <c r="L452" i="8"/>
  <c r="A452" i="8"/>
  <c r="N451" i="8" a="1"/>
  <c r="N451" i="8" s="1"/>
  <c r="M451" i="8" a="1"/>
  <c r="M451" i="8" s="1"/>
  <c r="L451" i="8"/>
  <c r="A451" i="8"/>
  <c r="N450" i="8" a="1"/>
  <c r="N450" i="8" s="1"/>
  <c r="M450" i="8" a="1"/>
  <c r="M450" i="8" s="1"/>
  <c r="L450" i="8"/>
  <c r="A450" i="8"/>
  <c r="N449" i="8" a="1"/>
  <c r="N449" i="8" s="1"/>
  <c r="M449" i="8" a="1"/>
  <c r="M449" i="8" s="1"/>
  <c r="L449" i="8"/>
  <c r="A449" i="8"/>
  <c r="N448" i="8" a="1"/>
  <c r="N448" i="8" s="1"/>
  <c r="M448" i="8" a="1"/>
  <c r="M448" i="8" s="1"/>
  <c r="L448" i="8"/>
  <c r="A448" i="8"/>
  <c r="N447" i="8" a="1"/>
  <c r="N447" i="8" s="1"/>
  <c r="M447" i="8" a="1"/>
  <c r="M447" i="8" s="1"/>
  <c r="L447" i="8"/>
  <c r="A447" i="8"/>
  <c r="N446" i="8" a="1"/>
  <c r="N446" i="8" s="1"/>
  <c r="M446" i="8" a="1"/>
  <c r="M446" i="8" s="1"/>
  <c r="L446" i="8"/>
  <c r="A446" i="8"/>
  <c r="N445" i="8" a="1"/>
  <c r="N445" i="8" s="1"/>
  <c r="M445" i="8" a="1"/>
  <c r="M445" i="8" s="1"/>
  <c r="L445" i="8"/>
  <c r="A445" i="8"/>
  <c r="N444" i="8" a="1"/>
  <c r="N444" i="8" s="1"/>
  <c r="M444" i="8" a="1"/>
  <c r="M444" i="8" s="1"/>
  <c r="L444" i="8"/>
  <c r="A444" i="8"/>
  <c r="N443" i="8" a="1"/>
  <c r="N443" i="8" s="1"/>
  <c r="M443" i="8" a="1"/>
  <c r="M443" i="8" s="1"/>
  <c r="L443" i="8"/>
  <c r="A443" i="8"/>
  <c r="N442" i="8" a="1"/>
  <c r="N442" i="8" s="1"/>
  <c r="M442" i="8" a="1"/>
  <c r="M442" i="8" s="1"/>
  <c r="L442" i="8"/>
  <c r="A442" i="8"/>
  <c r="N441" i="8" a="1"/>
  <c r="N441" i="8" s="1"/>
  <c r="M441" i="8" a="1"/>
  <c r="M441" i="8" s="1"/>
  <c r="L441" i="8"/>
  <c r="A441" i="8"/>
  <c r="N440" i="8" a="1"/>
  <c r="N440" i="8" s="1"/>
  <c r="M440" i="8" a="1"/>
  <c r="M440" i="8" s="1"/>
  <c r="L440" i="8"/>
  <c r="A440" i="8"/>
  <c r="N439" i="8" a="1"/>
  <c r="N439" i="8" s="1"/>
  <c r="M439" i="8" a="1"/>
  <c r="M439" i="8" s="1"/>
  <c r="L439" i="8"/>
  <c r="A439" i="8"/>
  <c r="N438" i="8" a="1"/>
  <c r="N438" i="8" s="1"/>
  <c r="M438" i="8" a="1"/>
  <c r="M438" i="8" s="1"/>
  <c r="L438" i="8"/>
  <c r="A438" i="8"/>
  <c r="N437" i="8" a="1"/>
  <c r="N437" i="8" s="1"/>
  <c r="M437" i="8" a="1"/>
  <c r="M437" i="8" s="1"/>
  <c r="L437" i="8"/>
  <c r="A437" i="8"/>
  <c r="N436" i="8" a="1"/>
  <c r="N436" i="8" s="1"/>
  <c r="M436" i="8" a="1"/>
  <c r="M436" i="8" s="1"/>
  <c r="L436" i="8"/>
  <c r="A436" i="8"/>
  <c r="N435" i="8" a="1"/>
  <c r="N435" i="8" s="1"/>
  <c r="M435" i="8" a="1"/>
  <c r="M435" i="8" s="1"/>
  <c r="L435" i="8"/>
  <c r="A435" i="8"/>
  <c r="N434" i="8" a="1"/>
  <c r="N434" i="8" s="1"/>
  <c r="M434" i="8" a="1"/>
  <c r="M434" i="8" s="1"/>
  <c r="L434" i="8"/>
  <c r="A434" i="8"/>
  <c r="N433" i="8" a="1"/>
  <c r="N433" i="8" s="1"/>
  <c r="M433" i="8" a="1"/>
  <c r="M433" i="8" s="1"/>
  <c r="L433" i="8"/>
  <c r="A433" i="8"/>
  <c r="N432" i="8" a="1"/>
  <c r="N432" i="8" s="1"/>
  <c r="M432" i="8" a="1"/>
  <c r="M432" i="8" s="1"/>
  <c r="L432" i="8"/>
  <c r="A432" i="8"/>
  <c r="N431" i="8" a="1"/>
  <c r="N431" i="8" s="1"/>
  <c r="M431" i="8" a="1"/>
  <c r="M431" i="8" s="1"/>
  <c r="L431" i="8"/>
  <c r="A431" i="8"/>
  <c r="N430" i="8" a="1"/>
  <c r="N430" i="8" s="1"/>
  <c r="M430" i="8" a="1"/>
  <c r="M430" i="8" s="1"/>
  <c r="L430" i="8"/>
  <c r="A430" i="8"/>
  <c r="N429" i="8" a="1"/>
  <c r="N429" i="8" s="1"/>
  <c r="M429" i="8" a="1"/>
  <c r="M429" i="8" s="1"/>
  <c r="L429" i="8"/>
  <c r="A429" i="8"/>
  <c r="N428" i="8" a="1"/>
  <c r="N428" i="8" s="1"/>
  <c r="M428" i="8" a="1"/>
  <c r="M428" i="8" s="1"/>
  <c r="L428" i="8"/>
  <c r="A428" i="8"/>
  <c r="N427" i="8" a="1"/>
  <c r="N427" i="8" s="1"/>
  <c r="M427" i="8" a="1"/>
  <c r="M427" i="8" s="1"/>
  <c r="L427" i="8"/>
  <c r="A427" i="8"/>
  <c r="N426" i="8" a="1"/>
  <c r="N426" i="8" s="1"/>
  <c r="M426" i="8" a="1"/>
  <c r="M426" i="8" s="1"/>
  <c r="L426" i="8"/>
  <c r="A426" i="8"/>
  <c r="N425" i="8" a="1"/>
  <c r="N425" i="8" s="1"/>
  <c r="M425" i="8" a="1"/>
  <c r="M425" i="8" s="1"/>
  <c r="L425" i="8"/>
  <c r="A425" i="8"/>
  <c r="N424" i="8" a="1"/>
  <c r="N424" i="8" s="1"/>
  <c r="M424" i="8" a="1"/>
  <c r="M424" i="8" s="1"/>
  <c r="L424" i="8"/>
  <c r="A424" i="8"/>
  <c r="N423" i="8" a="1"/>
  <c r="N423" i="8" s="1"/>
  <c r="M423" i="8" a="1"/>
  <c r="M423" i="8" s="1"/>
  <c r="L423" i="8"/>
  <c r="A423" i="8"/>
  <c r="N422" i="8" a="1"/>
  <c r="N422" i="8" s="1"/>
  <c r="M422" i="8" a="1"/>
  <c r="M422" i="8" s="1"/>
  <c r="L422" i="8"/>
  <c r="A422" i="8"/>
  <c r="N421" i="8" a="1"/>
  <c r="N421" i="8" s="1"/>
  <c r="M421" i="8" a="1"/>
  <c r="M421" i="8" s="1"/>
  <c r="L421" i="8"/>
  <c r="A421" i="8"/>
  <c r="N420" i="8" a="1"/>
  <c r="N420" i="8" s="1"/>
  <c r="M420" i="8" a="1"/>
  <c r="M420" i="8" s="1"/>
  <c r="L420" i="8"/>
  <c r="A420" i="8"/>
  <c r="N419" i="8" a="1"/>
  <c r="N419" i="8" s="1"/>
  <c r="M419" i="8" a="1"/>
  <c r="M419" i="8" s="1"/>
  <c r="L419" i="8"/>
  <c r="A419" i="8"/>
  <c r="N418" i="8" a="1"/>
  <c r="N418" i="8" s="1"/>
  <c r="M418" i="8" a="1"/>
  <c r="M418" i="8" s="1"/>
  <c r="L418" i="8"/>
  <c r="A418" i="8"/>
  <c r="N417" i="8" a="1"/>
  <c r="N417" i="8" s="1"/>
  <c r="M417" i="8" a="1"/>
  <c r="M417" i="8" s="1"/>
  <c r="L417" i="8"/>
  <c r="A417" i="8"/>
  <c r="N416" i="8" a="1"/>
  <c r="N416" i="8" s="1"/>
  <c r="M416" i="8" a="1"/>
  <c r="M416" i="8" s="1"/>
  <c r="L416" i="8"/>
  <c r="A416" i="8"/>
  <c r="N415" i="8" a="1"/>
  <c r="N415" i="8" s="1"/>
  <c r="M415" i="8" a="1"/>
  <c r="M415" i="8" s="1"/>
  <c r="L415" i="8"/>
  <c r="A415" i="8"/>
  <c r="N414" i="8" a="1"/>
  <c r="N414" i="8" s="1"/>
  <c r="M414" i="8" a="1"/>
  <c r="M414" i="8" s="1"/>
  <c r="L414" i="8"/>
  <c r="A414" i="8"/>
  <c r="N413" i="8" a="1"/>
  <c r="N413" i="8" s="1"/>
  <c r="M413" i="8" a="1"/>
  <c r="M413" i="8" s="1"/>
  <c r="L413" i="8"/>
  <c r="A413" i="8"/>
  <c r="N412" i="8" a="1"/>
  <c r="N412" i="8" s="1"/>
  <c r="M412" i="8" a="1"/>
  <c r="M412" i="8" s="1"/>
  <c r="L412" i="8"/>
  <c r="A412" i="8"/>
  <c r="N411" i="8" a="1"/>
  <c r="N411" i="8" s="1"/>
  <c r="M411" i="8" a="1"/>
  <c r="M411" i="8" s="1"/>
  <c r="L411" i="8"/>
  <c r="A411" i="8"/>
  <c r="N410" i="8" a="1"/>
  <c r="N410" i="8" s="1"/>
  <c r="M410" i="8" a="1"/>
  <c r="M410" i="8" s="1"/>
  <c r="L410" i="8"/>
  <c r="A410" i="8"/>
  <c r="N409" i="8" a="1"/>
  <c r="N409" i="8" s="1"/>
  <c r="M409" i="8" a="1"/>
  <c r="M409" i="8" s="1"/>
  <c r="L409" i="8"/>
  <c r="A409" i="8"/>
  <c r="N408" i="8" a="1"/>
  <c r="N408" i="8" s="1"/>
  <c r="M408" i="8" a="1"/>
  <c r="M408" i="8" s="1"/>
  <c r="L408" i="8"/>
  <c r="A408" i="8"/>
  <c r="N407" i="8" a="1"/>
  <c r="N407" i="8" s="1"/>
  <c r="M407" i="8" a="1"/>
  <c r="M407" i="8" s="1"/>
  <c r="L407" i="8"/>
  <c r="A407" i="8"/>
  <c r="N406" i="8" a="1"/>
  <c r="N406" i="8" s="1"/>
  <c r="M406" i="8" a="1"/>
  <c r="M406" i="8" s="1"/>
  <c r="L406" i="8"/>
  <c r="A406" i="8"/>
  <c r="N405" i="8" a="1"/>
  <c r="N405" i="8" s="1"/>
  <c r="M405" i="8" a="1"/>
  <c r="M405" i="8" s="1"/>
  <c r="L405" i="8"/>
  <c r="A405" i="8"/>
  <c r="N404" i="8" a="1"/>
  <c r="N404" i="8" s="1"/>
  <c r="M404" i="8" a="1"/>
  <c r="M404" i="8" s="1"/>
  <c r="L404" i="8"/>
  <c r="A404" i="8"/>
  <c r="N403" i="8" a="1"/>
  <c r="N403" i="8" s="1"/>
  <c r="M403" i="8" a="1"/>
  <c r="M403" i="8" s="1"/>
  <c r="L403" i="8"/>
  <c r="A403" i="8"/>
  <c r="N402" i="8" a="1"/>
  <c r="N402" i="8" s="1"/>
  <c r="M402" i="8" a="1"/>
  <c r="M402" i="8" s="1"/>
  <c r="L402" i="8"/>
  <c r="A402" i="8"/>
  <c r="N401" i="8" a="1"/>
  <c r="N401" i="8" s="1"/>
  <c r="M401" i="8" a="1"/>
  <c r="M401" i="8" s="1"/>
  <c r="L401" i="8"/>
  <c r="A401" i="8"/>
  <c r="N400" i="8" a="1"/>
  <c r="N400" i="8" s="1"/>
  <c r="M400" i="8" a="1"/>
  <c r="M400" i="8" s="1"/>
  <c r="L400" i="8"/>
  <c r="A400" i="8"/>
  <c r="N399" i="8" a="1"/>
  <c r="N399" i="8" s="1"/>
  <c r="M399" i="8" a="1"/>
  <c r="M399" i="8" s="1"/>
  <c r="L399" i="8"/>
  <c r="A399" i="8"/>
  <c r="N398" i="8" a="1"/>
  <c r="N398" i="8" s="1"/>
  <c r="M398" i="8" a="1"/>
  <c r="M398" i="8" s="1"/>
  <c r="L398" i="8"/>
  <c r="A398" i="8"/>
  <c r="N397" i="8" a="1"/>
  <c r="N397" i="8" s="1"/>
  <c r="M397" i="8" a="1"/>
  <c r="M397" i="8" s="1"/>
  <c r="L397" i="8"/>
  <c r="A397" i="8"/>
  <c r="N396" i="8" a="1"/>
  <c r="N396" i="8" s="1"/>
  <c r="M396" i="8" a="1"/>
  <c r="M396" i="8" s="1"/>
  <c r="L396" i="8"/>
  <c r="A396" i="8"/>
  <c r="N395" i="8" a="1"/>
  <c r="N395" i="8" s="1"/>
  <c r="M395" i="8" a="1"/>
  <c r="M395" i="8" s="1"/>
  <c r="L395" i="8"/>
  <c r="A395" i="8"/>
  <c r="N394" i="8" a="1"/>
  <c r="N394" i="8" s="1"/>
  <c r="M394" i="8" a="1"/>
  <c r="M394" i="8" s="1"/>
  <c r="L394" i="8"/>
  <c r="A394" i="8"/>
  <c r="N393" i="8" a="1"/>
  <c r="N393" i="8" s="1"/>
  <c r="M393" i="8" a="1"/>
  <c r="M393" i="8" s="1"/>
  <c r="L393" i="8"/>
  <c r="A393" i="8"/>
  <c r="N392" i="8" a="1"/>
  <c r="N392" i="8" s="1"/>
  <c r="M392" i="8" a="1"/>
  <c r="M392" i="8" s="1"/>
  <c r="L392" i="8"/>
  <c r="A392" i="8"/>
  <c r="N391" i="8" a="1"/>
  <c r="N391" i="8" s="1"/>
  <c r="M391" i="8" a="1"/>
  <c r="M391" i="8" s="1"/>
  <c r="L391" i="8"/>
  <c r="A391" i="8"/>
  <c r="N390" i="8" a="1"/>
  <c r="N390" i="8" s="1"/>
  <c r="M390" i="8" a="1"/>
  <c r="M390" i="8" s="1"/>
  <c r="L390" i="8"/>
  <c r="A390" i="8"/>
  <c r="N389" i="8" a="1"/>
  <c r="N389" i="8" s="1"/>
  <c r="M389" i="8" a="1"/>
  <c r="M389" i="8" s="1"/>
  <c r="L389" i="8"/>
  <c r="A389" i="8"/>
  <c r="N388" i="8" a="1"/>
  <c r="N388" i="8" s="1"/>
  <c r="M388" i="8" a="1"/>
  <c r="M388" i="8" s="1"/>
  <c r="L388" i="8"/>
  <c r="A388" i="8"/>
  <c r="N387" i="8" a="1"/>
  <c r="N387" i="8" s="1"/>
  <c r="M387" i="8" a="1"/>
  <c r="M387" i="8" s="1"/>
  <c r="L387" i="8"/>
  <c r="A387" i="8"/>
  <c r="N386" i="8" a="1"/>
  <c r="N386" i="8" s="1"/>
  <c r="M386" i="8" a="1"/>
  <c r="M386" i="8" s="1"/>
  <c r="L386" i="8"/>
  <c r="A386" i="8"/>
  <c r="N385" i="8" a="1"/>
  <c r="N385" i="8" s="1"/>
  <c r="M385" i="8" a="1"/>
  <c r="M385" i="8" s="1"/>
  <c r="L385" i="8"/>
  <c r="A385" i="8"/>
  <c r="N384" i="8" a="1"/>
  <c r="N384" i="8" s="1"/>
  <c r="M384" i="8" a="1"/>
  <c r="M384" i="8" s="1"/>
  <c r="L384" i="8"/>
  <c r="A384" i="8"/>
  <c r="N383" i="8" a="1"/>
  <c r="N383" i="8" s="1"/>
  <c r="M383" i="8" a="1"/>
  <c r="M383" i="8" s="1"/>
  <c r="L383" i="8"/>
  <c r="A383" i="8"/>
  <c r="N382" i="8" a="1"/>
  <c r="N382" i="8" s="1"/>
  <c r="M382" i="8" a="1"/>
  <c r="M382" i="8" s="1"/>
  <c r="L382" i="8"/>
  <c r="A382" i="8"/>
  <c r="N381" i="8" a="1"/>
  <c r="N381" i="8" s="1"/>
  <c r="M381" i="8" a="1"/>
  <c r="M381" i="8" s="1"/>
  <c r="L381" i="8"/>
  <c r="A381" i="8"/>
  <c r="N380" i="8" a="1"/>
  <c r="N380" i="8" s="1"/>
  <c r="M380" i="8" a="1"/>
  <c r="M380" i="8" s="1"/>
  <c r="L380" i="8"/>
  <c r="A380" i="8"/>
  <c r="N379" i="8" a="1"/>
  <c r="N379" i="8" s="1"/>
  <c r="M379" i="8" a="1"/>
  <c r="M379" i="8" s="1"/>
  <c r="L379" i="8"/>
  <c r="A379" i="8"/>
  <c r="N378" i="8" a="1"/>
  <c r="N378" i="8" s="1"/>
  <c r="M378" i="8" a="1"/>
  <c r="M378" i="8" s="1"/>
  <c r="L378" i="8"/>
  <c r="A378" i="8"/>
  <c r="N377" i="8" a="1"/>
  <c r="N377" i="8" s="1"/>
  <c r="M377" i="8" a="1"/>
  <c r="M377" i="8" s="1"/>
  <c r="L377" i="8"/>
  <c r="A377" i="8"/>
  <c r="N376" i="8" a="1"/>
  <c r="N376" i="8" s="1"/>
  <c r="M376" i="8" a="1"/>
  <c r="M376" i="8" s="1"/>
  <c r="L376" i="8"/>
  <c r="A376" i="8"/>
  <c r="N375" i="8" a="1"/>
  <c r="N375" i="8" s="1"/>
  <c r="M375" i="8" a="1"/>
  <c r="M375" i="8" s="1"/>
  <c r="L375" i="8"/>
  <c r="A375" i="8"/>
  <c r="N374" i="8" a="1"/>
  <c r="N374" i="8" s="1"/>
  <c r="M374" i="8" a="1"/>
  <c r="M374" i="8" s="1"/>
  <c r="L374" i="8"/>
  <c r="A374" i="8"/>
  <c r="N373" i="8" a="1"/>
  <c r="N373" i="8" s="1"/>
  <c r="M373" i="8" a="1"/>
  <c r="M373" i="8" s="1"/>
  <c r="L373" i="8"/>
  <c r="A373" i="8"/>
  <c r="N372" i="8" a="1"/>
  <c r="N372" i="8" s="1"/>
  <c r="M372" i="8" a="1"/>
  <c r="M372" i="8" s="1"/>
  <c r="L372" i="8"/>
  <c r="A372" i="8"/>
  <c r="N371" i="8" a="1"/>
  <c r="N371" i="8" s="1"/>
  <c r="M371" i="8" a="1"/>
  <c r="M371" i="8" s="1"/>
  <c r="L371" i="8"/>
  <c r="A371" i="8"/>
  <c r="N370" i="8" a="1"/>
  <c r="N370" i="8" s="1"/>
  <c r="M370" i="8" a="1"/>
  <c r="M370" i="8" s="1"/>
  <c r="L370" i="8"/>
  <c r="A370" i="8"/>
  <c r="N369" i="8" a="1"/>
  <c r="N369" i="8" s="1"/>
  <c r="M369" i="8" a="1"/>
  <c r="M369" i="8" s="1"/>
  <c r="L369" i="8"/>
  <c r="A369" i="8"/>
  <c r="N368" i="8" a="1"/>
  <c r="N368" i="8" s="1"/>
  <c r="M368" i="8" a="1"/>
  <c r="M368" i="8" s="1"/>
  <c r="L368" i="8"/>
  <c r="A368" i="8"/>
  <c r="N367" i="8" a="1"/>
  <c r="N367" i="8" s="1"/>
  <c r="M367" i="8" a="1"/>
  <c r="M367" i="8" s="1"/>
  <c r="L367" i="8"/>
  <c r="A367" i="8"/>
  <c r="N366" i="8" a="1"/>
  <c r="N366" i="8" s="1"/>
  <c r="M366" i="8" a="1"/>
  <c r="M366" i="8" s="1"/>
  <c r="L366" i="8"/>
  <c r="A366" i="8"/>
  <c r="N365" i="8" a="1"/>
  <c r="N365" i="8" s="1"/>
  <c r="M365" i="8" a="1"/>
  <c r="M365" i="8" s="1"/>
  <c r="L365" i="8"/>
  <c r="A365" i="8"/>
  <c r="N364" i="8" a="1"/>
  <c r="N364" i="8" s="1"/>
  <c r="M364" i="8" a="1"/>
  <c r="M364" i="8" s="1"/>
  <c r="L364" i="8"/>
  <c r="A364" i="8"/>
  <c r="N363" i="8" a="1"/>
  <c r="N363" i="8" s="1"/>
  <c r="M363" i="8" a="1"/>
  <c r="M363" i="8" s="1"/>
  <c r="L363" i="8"/>
  <c r="A363" i="8"/>
  <c r="N362" i="8" a="1"/>
  <c r="N362" i="8" s="1"/>
  <c r="M362" i="8" a="1"/>
  <c r="M362" i="8" s="1"/>
  <c r="L362" i="8"/>
  <c r="A362" i="8"/>
  <c r="N361" i="8" a="1"/>
  <c r="N361" i="8" s="1"/>
  <c r="M361" i="8" a="1"/>
  <c r="M361" i="8" s="1"/>
  <c r="L361" i="8"/>
  <c r="A361" i="8"/>
  <c r="N360" i="8" a="1"/>
  <c r="N360" i="8" s="1"/>
  <c r="M360" i="8" a="1"/>
  <c r="M360" i="8" s="1"/>
  <c r="L360" i="8"/>
  <c r="A360" i="8"/>
  <c r="N359" i="8" a="1"/>
  <c r="N359" i="8" s="1"/>
  <c r="M359" i="8" a="1"/>
  <c r="M359" i="8" s="1"/>
  <c r="L359" i="8"/>
  <c r="A359" i="8"/>
  <c r="N358" i="8" a="1"/>
  <c r="N358" i="8" s="1"/>
  <c r="M358" i="8" a="1"/>
  <c r="M358" i="8" s="1"/>
  <c r="L358" i="8"/>
  <c r="A358" i="8"/>
  <c r="N357" i="8" a="1"/>
  <c r="N357" i="8" s="1"/>
  <c r="M357" i="8" a="1"/>
  <c r="M357" i="8" s="1"/>
  <c r="L357" i="8"/>
  <c r="A357" i="8"/>
  <c r="N356" i="8" a="1"/>
  <c r="N356" i="8" s="1"/>
  <c r="M356" i="8" a="1"/>
  <c r="M356" i="8" s="1"/>
  <c r="L356" i="8"/>
  <c r="A356" i="8"/>
  <c r="N355" i="8" a="1"/>
  <c r="N355" i="8" s="1"/>
  <c r="M355" i="8" a="1"/>
  <c r="M355" i="8" s="1"/>
  <c r="L355" i="8"/>
  <c r="A355" i="8"/>
  <c r="N354" i="8" a="1"/>
  <c r="N354" i="8" s="1"/>
  <c r="M354" i="8" a="1"/>
  <c r="M354" i="8" s="1"/>
  <c r="L354" i="8"/>
  <c r="A354" i="8"/>
  <c r="N353" i="8" a="1"/>
  <c r="N353" i="8" s="1"/>
  <c r="M353" i="8" a="1"/>
  <c r="M353" i="8" s="1"/>
  <c r="L353" i="8"/>
  <c r="A353" i="8"/>
  <c r="N352" i="8" a="1"/>
  <c r="N352" i="8" s="1"/>
  <c r="M352" i="8" a="1"/>
  <c r="M352" i="8" s="1"/>
  <c r="L352" i="8"/>
  <c r="A352" i="8"/>
  <c r="N351" i="8" a="1"/>
  <c r="N351" i="8" s="1"/>
  <c r="M351" i="8" a="1"/>
  <c r="M351" i="8" s="1"/>
  <c r="L351" i="8"/>
  <c r="A351" i="8"/>
  <c r="N350" i="8" a="1"/>
  <c r="N350" i="8" s="1"/>
  <c r="M350" i="8" a="1"/>
  <c r="M350" i="8" s="1"/>
  <c r="L350" i="8"/>
  <c r="A350" i="8"/>
  <c r="N349" i="8" a="1"/>
  <c r="N349" i="8" s="1"/>
  <c r="M349" i="8" a="1"/>
  <c r="M349" i="8" s="1"/>
  <c r="L349" i="8"/>
  <c r="A349" i="8"/>
  <c r="N348" i="8" a="1"/>
  <c r="N348" i="8" s="1"/>
  <c r="M348" i="8" a="1"/>
  <c r="M348" i="8" s="1"/>
  <c r="L348" i="8"/>
  <c r="A348" i="8"/>
  <c r="N347" i="8" a="1"/>
  <c r="N347" i="8" s="1"/>
  <c r="M347" i="8" a="1"/>
  <c r="M347" i="8" s="1"/>
  <c r="L347" i="8"/>
  <c r="A347" i="8"/>
  <c r="N346" i="8" a="1"/>
  <c r="N346" i="8" s="1"/>
  <c r="M346" i="8" a="1"/>
  <c r="M346" i="8" s="1"/>
  <c r="L346" i="8"/>
  <c r="A346" i="8"/>
  <c r="N345" i="8" a="1"/>
  <c r="N345" i="8" s="1"/>
  <c r="M345" i="8" a="1"/>
  <c r="M345" i="8" s="1"/>
  <c r="L345" i="8"/>
  <c r="A345" i="8"/>
  <c r="N344" i="8" a="1"/>
  <c r="N344" i="8" s="1"/>
  <c r="M344" i="8" a="1"/>
  <c r="M344" i="8" s="1"/>
  <c r="L344" i="8"/>
  <c r="A344" i="8"/>
  <c r="N343" i="8" a="1"/>
  <c r="N343" i="8" s="1"/>
  <c r="M343" i="8" a="1"/>
  <c r="M343" i="8" s="1"/>
  <c r="L343" i="8"/>
  <c r="A343" i="8"/>
  <c r="N342" i="8" a="1"/>
  <c r="N342" i="8" s="1"/>
  <c r="M342" i="8" a="1"/>
  <c r="M342" i="8" s="1"/>
  <c r="L342" i="8"/>
  <c r="A342" i="8"/>
  <c r="N341" i="8" a="1"/>
  <c r="N341" i="8" s="1"/>
  <c r="M341" i="8" a="1"/>
  <c r="M341" i="8" s="1"/>
  <c r="L341" i="8"/>
  <c r="A341" i="8"/>
  <c r="N340" i="8" a="1"/>
  <c r="N340" i="8" s="1"/>
  <c r="M340" i="8" a="1"/>
  <c r="M340" i="8" s="1"/>
  <c r="L340" i="8"/>
  <c r="A340" i="8"/>
  <c r="N339" i="8" a="1"/>
  <c r="N339" i="8" s="1"/>
  <c r="M339" i="8" a="1"/>
  <c r="M339" i="8" s="1"/>
  <c r="L339" i="8"/>
  <c r="A339" i="8"/>
  <c r="N338" i="8" a="1"/>
  <c r="N338" i="8" s="1"/>
  <c r="M338" i="8" a="1"/>
  <c r="M338" i="8" s="1"/>
  <c r="L338" i="8"/>
  <c r="A338" i="8"/>
  <c r="N337" i="8" a="1"/>
  <c r="N337" i="8" s="1"/>
  <c r="M337" i="8" a="1"/>
  <c r="M337" i="8" s="1"/>
  <c r="L337" i="8"/>
  <c r="A337" i="8"/>
  <c r="N336" i="8" a="1"/>
  <c r="N336" i="8" s="1"/>
  <c r="M336" i="8" a="1"/>
  <c r="M336" i="8" s="1"/>
  <c r="L336" i="8"/>
  <c r="A336" i="8"/>
  <c r="N335" i="8" a="1"/>
  <c r="N335" i="8" s="1"/>
  <c r="M335" i="8" a="1"/>
  <c r="M335" i="8" s="1"/>
  <c r="L335" i="8"/>
  <c r="A335" i="8"/>
  <c r="N334" i="8" a="1"/>
  <c r="N334" i="8" s="1"/>
  <c r="M334" i="8" a="1"/>
  <c r="M334" i="8" s="1"/>
  <c r="L334" i="8"/>
  <c r="A334" i="8"/>
  <c r="N333" i="8" a="1"/>
  <c r="N333" i="8" s="1"/>
  <c r="M333" i="8" a="1"/>
  <c r="M333" i="8" s="1"/>
  <c r="L333" i="8"/>
  <c r="A333" i="8"/>
  <c r="N332" i="8" a="1"/>
  <c r="N332" i="8" s="1"/>
  <c r="M332" i="8" a="1"/>
  <c r="M332" i="8" s="1"/>
  <c r="L332" i="8"/>
  <c r="A332" i="8"/>
  <c r="N331" i="8" a="1"/>
  <c r="N331" i="8" s="1"/>
  <c r="M331" i="8" a="1"/>
  <c r="M331" i="8" s="1"/>
  <c r="L331" i="8"/>
  <c r="A331" i="8"/>
  <c r="N330" i="8" a="1"/>
  <c r="N330" i="8" s="1"/>
  <c r="M330" i="8" a="1"/>
  <c r="M330" i="8" s="1"/>
  <c r="L330" i="8"/>
  <c r="A330" i="8"/>
  <c r="N329" i="8" a="1"/>
  <c r="N329" i="8" s="1"/>
  <c r="M329" i="8" a="1"/>
  <c r="M329" i="8" s="1"/>
  <c r="L329" i="8"/>
  <c r="A329" i="8"/>
  <c r="N328" i="8" a="1"/>
  <c r="N328" i="8" s="1"/>
  <c r="M328" i="8" a="1"/>
  <c r="M328" i="8" s="1"/>
  <c r="L328" i="8"/>
  <c r="A328" i="8"/>
  <c r="N327" i="8" a="1"/>
  <c r="N327" i="8" s="1"/>
  <c r="M327" i="8" a="1"/>
  <c r="M327" i="8" s="1"/>
  <c r="L327" i="8"/>
  <c r="A327" i="8"/>
  <c r="N326" i="8" a="1"/>
  <c r="N326" i="8" s="1"/>
  <c r="M326" i="8" a="1"/>
  <c r="M326" i="8" s="1"/>
  <c r="L326" i="8"/>
  <c r="A326" i="8"/>
  <c r="N325" i="8" a="1"/>
  <c r="N325" i="8" s="1"/>
  <c r="M325" i="8" a="1"/>
  <c r="M325" i="8" s="1"/>
  <c r="L325" i="8"/>
  <c r="A325" i="8"/>
  <c r="N324" i="8" a="1"/>
  <c r="N324" i="8" s="1"/>
  <c r="M324" i="8" a="1"/>
  <c r="M324" i="8" s="1"/>
  <c r="L324" i="8"/>
  <c r="A324" i="8"/>
  <c r="N323" i="8" a="1"/>
  <c r="N323" i="8" s="1"/>
  <c r="M323" i="8" a="1"/>
  <c r="M323" i="8" s="1"/>
  <c r="L323" i="8"/>
  <c r="A323" i="8"/>
  <c r="N322" i="8" a="1"/>
  <c r="N322" i="8" s="1"/>
  <c r="M322" i="8" a="1"/>
  <c r="M322" i="8" s="1"/>
  <c r="L322" i="8"/>
  <c r="A322" i="8"/>
  <c r="N321" i="8" a="1"/>
  <c r="N321" i="8" s="1"/>
  <c r="M321" i="8" a="1"/>
  <c r="M321" i="8" s="1"/>
  <c r="L321" i="8"/>
  <c r="A321" i="8"/>
  <c r="N320" i="8" a="1"/>
  <c r="N320" i="8" s="1"/>
  <c r="M320" i="8" a="1"/>
  <c r="M320" i="8" s="1"/>
  <c r="L320" i="8"/>
  <c r="A320" i="8"/>
  <c r="N319" i="8" a="1"/>
  <c r="N319" i="8" s="1"/>
  <c r="M319" i="8" a="1"/>
  <c r="M319" i="8" s="1"/>
  <c r="L319" i="8"/>
  <c r="A319" i="8"/>
  <c r="N318" i="8" a="1"/>
  <c r="N318" i="8" s="1"/>
  <c r="M318" i="8" a="1"/>
  <c r="M318" i="8" s="1"/>
  <c r="L318" i="8"/>
  <c r="A318" i="8"/>
  <c r="N317" i="8" a="1"/>
  <c r="N317" i="8" s="1"/>
  <c r="M317" i="8" a="1"/>
  <c r="M317" i="8" s="1"/>
  <c r="L317" i="8"/>
  <c r="A317" i="8"/>
  <c r="N316" i="8" a="1"/>
  <c r="N316" i="8" s="1"/>
  <c r="M316" i="8" a="1"/>
  <c r="M316" i="8" s="1"/>
  <c r="L316" i="8"/>
  <c r="A316" i="8"/>
  <c r="N315" i="8" a="1"/>
  <c r="N315" i="8" s="1"/>
  <c r="M315" i="8" a="1"/>
  <c r="M315" i="8" s="1"/>
  <c r="L315" i="8"/>
  <c r="A315" i="8"/>
  <c r="N314" i="8" a="1"/>
  <c r="N314" i="8" s="1"/>
  <c r="M314" i="8" a="1"/>
  <c r="M314" i="8" s="1"/>
  <c r="L314" i="8"/>
  <c r="A314" i="8"/>
  <c r="N313" i="8" a="1"/>
  <c r="N313" i="8" s="1"/>
  <c r="M313" i="8" a="1"/>
  <c r="M313" i="8" s="1"/>
  <c r="L313" i="8"/>
  <c r="A313" i="8"/>
  <c r="N312" i="8" a="1"/>
  <c r="N312" i="8" s="1"/>
  <c r="M312" i="8" a="1"/>
  <c r="M312" i="8" s="1"/>
  <c r="L312" i="8"/>
  <c r="A312" i="8"/>
  <c r="N311" i="8" a="1"/>
  <c r="N311" i="8" s="1"/>
  <c r="M311" i="8" a="1"/>
  <c r="M311" i="8" s="1"/>
  <c r="L311" i="8"/>
  <c r="A311" i="8"/>
  <c r="N310" i="8" a="1"/>
  <c r="N310" i="8" s="1"/>
  <c r="M310" i="8" a="1"/>
  <c r="M310" i="8" s="1"/>
  <c r="L310" i="8"/>
  <c r="A310" i="8"/>
  <c r="N309" i="8" a="1"/>
  <c r="N309" i="8" s="1"/>
  <c r="M309" i="8" a="1"/>
  <c r="M309" i="8" s="1"/>
  <c r="L309" i="8"/>
  <c r="A309" i="8"/>
  <c r="N308" i="8" a="1"/>
  <c r="N308" i="8" s="1"/>
  <c r="M308" i="8" a="1"/>
  <c r="M308" i="8" s="1"/>
  <c r="L308" i="8"/>
  <c r="A308" i="8"/>
  <c r="N307" i="8" a="1"/>
  <c r="N307" i="8" s="1"/>
  <c r="M307" i="8" a="1"/>
  <c r="M307" i="8" s="1"/>
  <c r="L307" i="8"/>
  <c r="A307" i="8"/>
  <c r="N306" i="8" a="1"/>
  <c r="N306" i="8" s="1"/>
  <c r="M306" i="8" a="1"/>
  <c r="M306" i="8" s="1"/>
  <c r="L306" i="8"/>
  <c r="A306" i="8"/>
  <c r="N305" i="8" a="1"/>
  <c r="N305" i="8" s="1"/>
  <c r="M305" i="8" a="1"/>
  <c r="M305" i="8" s="1"/>
  <c r="L305" i="8"/>
  <c r="A305" i="8"/>
  <c r="N304" i="8" a="1"/>
  <c r="N304" i="8" s="1"/>
  <c r="M304" i="8" a="1"/>
  <c r="M304" i="8" s="1"/>
  <c r="L304" i="8"/>
  <c r="A304" i="8"/>
  <c r="N303" i="8" a="1"/>
  <c r="N303" i="8" s="1"/>
  <c r="M303" i="8" a="1"/>
  <c r="M303" i="8" s="1"/>
  <c r="L303" i="8"/>
  <c r="A303" i="8"/>
  <c r="N302" i="8" a="1"/>
  <c r="N302" i="8" s="1"/>
  <c r="M302" i="8" a="1"/>
  <c r="M302" i="8" s="1"/>
  <c r="L302" i="8"/>
  <c r="A302" i="8"/>
  <c r="N301" i="8" a="1"/>
  <c r="N301" i="8" s="1"/>
  <c r="M301" i="8" a="1"/>
  <c r="M301" i="8" s="1"/>
  <c r="L301" i="8"/>
  <c r="A301" i="8"/>
  <c r="N300" i="8" a="1"/>
  <c r="N300" i="8" s="1"/>
  <c r="M300" i="8" a="1"/>
  <c r="M300" i="8" s="1"/>
  <c r="L300" i="8"/>
  <c r="A300" i="8"/>
  <c r="N299" i="8" a="1"/>
  <c r="N299" i="8" s="1"/>
  <c r="M299" i="8" a="1"/>
  <c r="M299" i="8" s="1"/>
  <c r="L299" i="8"/>
  <c r="A299" i="8"/>
  <c r="N298" i="8" a="1"/>
  <c r="N298" i="8" s="1"/>
  <c r="M298" i="8" a="1"/>
  <c r="M298" i="8" s="1"/>
  <c r="L298" i="8"/>
  <c r="A298" i="8"/>
  <c r="N297" i="8" a="1"/>
  <c r="N297" i="8" s="1"/>
  <c r="M297" i="8" a="1"/>
  <c r="M297" i="8" s="1"/>
  <c r="L297" i="8"/>
  <c r="A297" i="8"/>
  <c r="N296" i="8" a="1"/>
  <c r="N296" i="8" s="1"/>
  <c r="M296" i="8" a="1"/>
  <c r="M296" i="8" s="1"/>
  <c r="L296" i="8"/>
  <c r="A296" i="8"/>
  <c r="N295" i="8" a="1"/>
  <c r="N295" i="8" s="1"/>
  <c r="M295" i="8" a="1"/>
  <c r="M295" i="8" s="1"/>
  <c r="L295" i="8"/>
  <c r="A295" i="8"/>
  <c r="N294" i="8" a="1"/>
  <c r="N294" i="8" s="1"/>
  <c r="M294" i="8" a="1"/>
  <c r="M294" i="8" s="1"/>
  <c r="L294" i="8"/>
  <c r="A294" i="8"/>
  <c r="N293" i="8" a="1"/>
  <c r="N293" i="8" s="1"/>
  <c r="M293" i="8" a="1"/>
  <c r="M293" i="8" s="1"/>
  <c r="L293" i="8"/>
  <c r="A293" i="8"/>
  <c r="N292" i="8" a="1"/>
  <c r="N292" i="8" s="1"/>
  <c r="M292" i="8" a="1"/>
  <c r="M292" i="8" s="1"/>
  <c r="L292" i="8"/>
  <c r="A292" i="8"/>
  <c r="N291" i="8" a="1"/>
  <c r="N291" i="8" s="1"/>
  <c r="M291" i="8" a="1"/>
  <c r="M291" i="8" s="1"/>
  <c r="L291" i="8"/>
  <c r="A291" i="8"/>
  <c r="N290" i="8" a="1"/>
  <c r="N290" i="8" s="1"/>
  <c r="M290" i="8" a="1"/>
  <c r="M290" i="8" s="1"/>
  <c r="L290" i="8"/>
  <c r="A290" i="8"/>
  <c r="N289" i="8" a="1"/>
  <c r="N289" i="8" s="1"/>
  <c r="M289" i="8" a="1"/>
  <c r="M289" i="8" s="1"/>
  <c r="L289" i="8"/>
  <c r="A289" i="8"/>
  <c r="N288" i="8" a="1"/>
  <c r="N288" i="8" s="1"/>
  <c r="M288" i="8" a="1"/>
  <c r="M288" i="8" s="1"/>
  <c r="L288" i="8"/>
  <c r="A288" i="8"/>
  <c r="N287" i="8" a="1"/>
  <c r="N287" i="8" s="1"/>
  <c r="M287" i="8" a="1"/>
  <c r="M287" i="8" s="1"/>
  <c r="L287" i="8"/>
  <c r="A287" i="8"/>
  <c r="N286" i="8" a="1"/>
  <c r="N286" i="8" s="1"/>
  <c r="M286" i="8" a="1"/>
  <c r="M286" i="8" s="1"/>
  <c r="L286" i="8"/>
  <c r="A286" i="8"/>
  <c r="N285" i="8" a="1"/>
  <c r="N285" i="8" s="1"/>
  <c r="M285" i="8" a="1"/>
  <c r="M285" i="8" s="1"/>
  <c r="L285" i="8"/>
  <c r="A285" i="8"/>
  <c r="N284" i="8" a="1"/>
  <c r="N284" i="8" s="1"/>
  <c r="M284" i="8" a="1"/>
  <c r="M284" i="8" s="1"/>
  <c r="L284" i="8"/>
  <c r="A284" i="8"/>
  <c r="N283" i="8" a="1"/>
  <c r="N283" i="8" s="1"/>
  <c r="M283" i="8" a="1"/>
  <c r="M283" i="8" s="1"/>
  <c r="L283" i="8"/>
  <c r="A283" i="8"/>
  <c r="N282" i="8" a="1"/>
  <c r="N282" i="8" s="1"/>
  <c r="M282" i="8" a="1"/>
  <c r="M282" i="8" s="1"/>
  <c r="L282" i="8"/>
  <c r="A282" i="8"/>
  <c r="N281" i="8" a="1"/>
  <c r="N281" i="8" s="1"/>
  <c r="M281" i="8" a="1"/>
  <c r="M281" i="8" s="1"/>
  <c r="L281" i="8"/>
  <c r="A281" i="8"/>
  <c r="N280" i="8" a="1"/>
  <c r="N280" i="8" s="1"/>
  <c r="M280" i="8" a="1"/>
  <c r="M280" i="8" s="1"/>
  <c r="L280" i="8"/>
  <c r="A280" i="8"/>
  <c r="N279" i="8" a="1"/>
  <c r="N279" i="8" s="1"/>
  <c r="M279" i="8" a="1"/>
  <c r="M279" i="8" s="1"/>
  <c r="L279" i="8"/>
  <c r="A279" i="8"/>
  <c r="N278" i="8" a="1"/>
  <c r="N278" i="8" s="1"/>
  <c r="M278" i="8" a="1"/>
  <c r="M278" i="8" s="1"/>
  <c r="L278" i="8"/>
  <c r="A278" i="8"/>
  <c r="N277" i="8" a="1"/>
  <c r="N277" i="8" s="1"/>
  <c r="M277" i="8" a="1"/>
  <c r="M277" i="8" s="1"/>
  <c r="L277" i="8"/>
  <c r="A277" i="8"/>
  <c r="N276" i="8" a="1"/>
  <c r="N276" i="8" s="1"/>
  <c r="M276" i="8" a="1"/>
  <c r="M276" i="8" s="1"/>
  <c r="L276" i="8"/>
  <c r="A276" i="8"/>
  <c r="N275" i="8" a="1"/>
  <c r="N275" i="8" s="1"/>
  <c r="M275" i="8" a="1"/>
  <c r="M275" i="8" s="1"/>
  <c r="L275" i="8"/>
  <c r="A275" i="8"/>
  <c r="N274" i="8" a="1"/>
  <c r="N274" i="8" s="1"/>
  <c r="M274" i="8" a="1"/>
  <c r="M274" i="8" s="1"/>
  <c r="L274" i="8"/>
  <c r="A274" i="8"/>
  <c r="N273" i="8" a="1"/>
  <c r="N273" i="8" s="1"/>
  <c r="M273" i="8" a="1"/>
  <c r="M273" i="8" s="1"/>
  <c r="L273" i="8"/>
  <c r="A273" i="8"/>
  <c r="N272" i="8" a="1"/>
  <c r="N272" i="8" s="1"/>
  <c r="M272" i="8" a="1"/>
  <c r="M272" i="8" s="1"/>
  <c r="L272" i="8"/>
  <c r="A272" i="8"/>
  <c r="N271" i="8" a="1"/>
  <c r="N271" i="8" s="1"/>
  <c r="M271" i="8" a="1"/>
  <c r="M271" i="8" s="1"/>
  <c r="L271" i="8"/>
  <c r="A271" i="8"/>
  <c r="N270" i="8" a="1"/>
  <c r="N270" i="8" s="1"/>
  <c r="M270" i="8" a="1"/>
  <c r="M270" i="8" s="1"/>
  <c r="L270" i="8"/>
  <c r="A270" i="8"/>
  <c r="N269" i="8" a="1"/>
  <c r="N269" i="8" s="1"/>
  <c r="M269" i="8" a="1"/>
  <c r="M269" i="8" s="1"/>
  <c r="L269" i="8"/>
  <c r="A269" i="8"/>
  <c r="N268" i="8" a="1"/>
  <c r="N268" i="8" s="1"/>
  <c r="M268" i="8" a="1"/>
  <c r="M268" i="8" s="1"/>
  <c r="L268" i="8"/>
  <c r="A268" i="8"/>
  <c r="N267" i="8" a="1"/>
  <c r="N267" i="8" s="1"/>
  <c r="M267" i="8" a="1"/>
  <c r="M267" i="8" s="1"/>
  <c r="L267" i="8"/>
  <c r="A267" i="8"/>
  <c r="N266" i="8" a="1"/>
  <c r="N266" i="8" s="1"/>
  <c r="M266" i="8" a="1"/>
  <c r="M266" i="8" s="1"/>
  <c r="L266" i="8"/>
  <c r="A266" i="8"/>
  <c r="N265" i="8" a="1"/>
  <c r="N265" i="8" s="1"/>
  <c r="M265" i="8" a="1"/>
  <c r="M265" i="8" s="1"/>
  <c r="L265" i="8"/>
  <c r="A265" i="8"/>
  <c r="N264" i="8" a="1"/>
  <c r="N264" i="8" s="1"/>
  <c r="M264" i="8" a="1"/>
  <c r="M264" i="8" s="1"/>
  <c r="L264" i="8"/>
  <c r="A264" i="8"/>
  <c r="N263" i="8" a="1"/>
  <c r="N263" i="8" s="1"/>
  <c r="M263" i="8" a="1"/>
  <c r="M263" i="8" s="1"/>
  <c r="L263" i="8"/>
  <c r="A263" i="8"/>
  <c r="N262" i="8" a="1"/>
  <c r="N262" i="8" s="1"/>
  <c r="M262" i="8" a="1"/>
  <c r="M262" i="8" s="1"/>
  <c r="L262" i="8"/>
  <c r="A262" i="8"/>
  <c r="N261" i="8" a="1"/>
  <c r="N261" i="8" s="1"/>
  <c r="M261" i="8" a="1"/>
  <c r="M261" i="8" s="1"/>
  <c r="L261" i="8"/>
  <c r="A261" i="8"/>
  <c r="N260" i="8" a="1"/>
  <c r="N260" i="8" s="1"/>
  <c r="M260" i="8" a="1"/>
  <c r="M260" i="8" s="1"/>
  <c r="L260" i="8"/>
  <c r="A260" i="8"/>
  <c r="N259" i="8" a="1"/>
  <c r="N259" i="8" s="1"/>
  <c r="M259" i="8" a="1"/>
  <c r="M259" i="8" s="1"/>
  <c r="L259" i="8"/>
  <c r="A259" i="8"/>
  <c r="N258" i="8" a="1"/>
  <c r="N258" i="8" s="1"/>
  <c r="M258" i="8" a="1"/>
  <c r="M258" i="8" s="1"/>
  <c r="L258" i="8"/>
  <c r="A258" i="8"/>
  <c r="N257" i="8" a="1"/>
  <c r="N257" i="8" s="1"/>
  <c r="M257" i="8" a="1"/>
  <c r="M257" i="8" s="1"/>
  <c r="L257" i="8"/>
  <c r="A257" i="8"/>
  <c r="N256" i="8" a="1"/>
  <c r="N256" i="8" s="1"/>
  <c r="M256" i="8" a="1"/>
  <c r="M256" i="8" s="1"/>
  <c r="L256" i="8"/>
  <c r="A256" i="8"/>
  <c r="N255" i="8" a="1"/>
  <c r="N255" i="8" s="1"/>
  <c r="M255" i="8" a="1"/>
  <c r="M255" i="8" s="1"/>
  <c r="L255" i="8"/>
  <c r="A255" i="8"/>
  <c r="N254" i="8" a="1"/>
  <c r="N254" i="8" s="1"/>
  <c r="M254" i="8" a="1"/>
  <c r="M254" i="8" s="1"/>
  <c r="L254" i="8"/>
  <c r="A254" i="8"/>
  <c r="N253" i="8" a="1"/>
  <c r="N253" i="8" s="1"/>
  <c r="M253" i="8" a="1"/>
  <c r="M253" i="8" s="1"/>
  <c r="L253" i="8"/>
  <c r="A253" i="8"/>
  <c r="N252" i="8" a="1"/>
  <c r="N252" i="8" s="1"/>
  <c r="M252" i="8" a="1"/>
  <c r="M252" i="8" s="1"/>
  <c r="L252" i="8"/>
  <c r="A252" i="8"/>
  <c r="N251" i="8" a="1"/>
  <c r="N251" i="8" s="1"/>
  <c r="M251" i="8" a="1"/>
  <c r="M251" i="8" s="1"/>
  <c r="L251" i="8"/>
  <c r="A251" i="8"/>
  <c r="N250" i="8" a="1"/>
  <c r="N250" i="8" s="1"/>
  <c r="M250" i="8" a="1"/>
  <c r="M250" i="8" s="1"/>
  <c r="L250" i="8"/>
  <c r="A250" i="8"/>
  <c r="N249" i="8" a="1"/>
  <c r="N249" i="8" s="1"/>
  <c r="M249" i="8" a="1"/>
  <c r="M249" i="8" s="1"/>
  <c r="L249" i="8"/>
  <c r="A249" i="8"/>
  <c r="N248" i="8" a="1"/>
  <c r="N248" i="8" s="1"/>
  <c r="M248" i="8" a="1"/>
  <c r="M248" i="8" s="1"/>
  <c r="L248" i="8"/>
  <c r="A248" i="8"/>
  <c r="N247" i="8" a="1"/>
  <c r="N247" i="8" s="1"/>
  <c r="M247" i="8" a="1"/>
  <c r="M247" i="8" s="1"/>
  <c r="L247" i="8"/>
  <c r="A247" i="8"/>
  <c r="N246" i="8" a="1"/>
  <c r="N246" i="8" s="1"/>
  <c r="M246" i="8" a="1"/>
  <c r="M246" i="8" s="1"/>
  <c r="L246" i="8"/>
  <c r="A246" i="8"/>
  <c r="N245" i="8" a="1"/>
  <c r="N245" i="8" s="1"/>
  <c r="M245" i="8" a="1"/>
  <c r="M245" i="8" s="1"/>
  <c r="L245" i="8"/>
  <c r="A245" i="8"/>
  <c r="N244" i="8" a="1"/>
  <c r="N244" i="8" s="1"/>
  <c r="M244" i="8" a="1"/>
  <c r="M244" i="8" s="1"/>
  <c r="L244" i="8"/>
  <c r="A244" i="8"/>
  <c r="N243" i="8" a="1"/>
  <c r="N243" i="8" s="1"/>
  <c r="M243" i="8" a="1"/>
  <c r="M243" i="8" s="1"/>
  <c r="L243" i="8"/>
  <c r="A243" i="8"/>
  <c r="N242" i="8" a="1"/>
  <c r="N242" i="8" s="1"/>
  <c r="M242" i="8" a="1"/>
  <c r="M242" i="8" s="1"/>
  <c r="L242" i="8"/>
  <c r="A242" i="8"/>
  <c r="N241" i="8" a="1"/>
  <c r="N241" i="8" s="1"/>
  <c r="M241" i="8" a="1"/>
  <c r="M241" i="8" s="1"/>
  <c r="L241" i="8"/>
  <c r="A241" i="8"/>
  <c r="N240" i="8" a="1"/>
  <c r="N240" i="8" s="1"/>
  <c r="M240" i="8" a="1"/>
  <c r="M240" i="8" s="1"/>
  <c r="L240" i="8"/>
  <c r="A240" i="8"/>
  <c r="N239" i="8" a="1"/>
  <c r="N239" i="8" s="1"/>
  <c r="M239" i="8" a="1"/>
  <c r="M239" i="8" s="1"/>
  <c r="L239" i="8"/>
  <c r="A239" i="8"/>
  <c r="N238" i="8" a="1"/>
  <c r="N238" i="8" s="1"/>
  <c r="M238" i="8" a="1"/>
  <c r="M238" i="8" s="1"/>
  <c r="L238" i="8"/>
  <c r="A238" i="8"/>
  <c r="N237" i="8" a="1"/>
  <c r="N237" i="8" s="1"/>
  <c r="M237" i="8" a="1"/>
  <c r="M237" i="8" s="1"/>
  <c r="L237" i="8"/>
  <c r="A237" i="8"/>
  <c r="N236" i="8" a="1"/>
  <c r="N236" i="8" s="1"/>
  <c r="M236" i="8" a="1"/>
  <c r="M236" i="8" s="1"/>
  <c r="L236" i="8"/>
  <c r="A236" i="8"/>
  <c r="N235" i="8" a="1"/>
  <c r="N235" i="8" s="1"/>
  <c r="M235" i="8" a="1"/>
  <c r="M235" i="8" s="1"/>
  <c r="L235" i="8"/>
  <c r="A235" i="8"/>
  <c r="N234" i="8" a="1"/>
  <c r="N234" i="8" s="1"/>
  <c r="M234" i="8" a="1"/>
  <c r="M234" i="8" s="1"/>
  <c r="L234" i="8"/>
  <c r="A234" i="8"/>
  <c r="N233" i="8" a="1"/>
  <c r="N233" i="8" s="1"/>
  <c r="M233" i="8" a="1"/>
  <c r="M233" i="8" s="1"/>
  <c r="L233" i="8"/>
  <c r="A233" i="8"/>
  <c r="N232" i="8" a="1"/>
  <c r="N232" i="8" s="1"/>
  <c r="M232" i="8" a="1"/>
  <c r="M232" i="8" s="1"/>
  <c r="L232" i="8"/>
  <c r="A232" i="8"/>
  <c r="N231" i="8" a="1"/>
  <c r="N231" i="8" s="1"/>
  <c r="M231" i="8" a="1"/>
  <c r="M231" i="8" s="1"/>
  <c r="L231" i="8"/>
  <c r="A231" i="8"/>
  <c r="N230" i="8" a="1"/>
  <c r="N230" i="8" s="1"/>
  <c r="M230" i="8" a="1"/>
  <c r="M230" i="8" s="1"/>
  <c r="L230" i="8"/>
  <c r="A230" i="8"/>
  <c r="N229" i="8" a="1"/>
  <c r="N229" i="8" s="1"/>
  <c r="M229" i="8" a="1"/>
  <c r="M229" i="8" s="1"/>
  <c r="L229" i="8"/>
  <c r="A229" i="8"/>
  <c r="N228" i="8" a="1"/>
  <c r="N228" i="8" s="1"/>
  <c r="M228" i="8" a="1"/>
  <c r="M228" i="8" s="1"/>
  <c r="L228" i="8"/>
  <c r="A228" i="8"/>
  <c r="N227" i="8" a="1"/>
  <c r="N227" i="8" s="1"/>
  <c r="M227" i="8" a="1"/>
  <c r="M227" i="8" s="1"/>
  <c r="L227" i="8"/>
  <c r="A227" i="8"/>
  <c r="N226" i="8" a="1"/>
  <c r="N226" i="8" s="1"/>
  <c r="M226" i="8" a="1"/>
  <c r="M226" i="8" s="1"/>
  <c r="L226" i="8"/>
  <c r="A226" i="8"/>
  <c r="N225" i="8" a="1"/>
  <c r="N225" i="8" s="1"/>
  <c r="M225" i="8" a="1"/>
  <c r="M225" i="8" s="1"/>
  <c r="L225" i="8"/>
  <c r="A225" i="8"/>
  <c r="N224" i="8" a="1"/>
  <c r="N224" i="8" s="1"/>
  <c r="M224" i="8" a="1"/>
  <c r="M224" i="8" s="1"/>
  <c r="L224" i="8"/>
  <c r="A224" i="8"/>
  <c r="N223" i="8" a="1"/>
  <c r="N223" i="8" s="1"/>
  <c r="M223" i="8" a="1"/>
  <c r="M223" i="8" s="1"/>
  <c r="L223" i="8"/>
  <c r="A223" i="8"/>
  <c r="N222" i="8" a="1"/>
  <c r="N222" i="8" s="1"/>
  <c r="M222" i="8" a="1"/>
  <c r="M222" i="8" s="1"/>
  <c r="L222" i="8"/>
  <c r="A222" i="8"/>
  <c r="N221" i="8" a="1"/>
  <c r="N221" i="8" s="1"/>
  <c r="M221" i="8" a="1"/>
  <c r="M221" i="8" s="1"/>
  <c r="L221" i="8"/>
  <c r="A221" i="8"/>
  <c r="N220" i="8" a="1"/>
  <c r="N220" i="8" s="1"/>
  <c r="M220" i="8" a="1"/>
  <c r="M220" i="8" s="1"/>
  <c r="L220" i="8"/>
  <c r="A220" i="8"/>
  <c r="N219" i="8" a="1"/>
  <c r="N219" i="8" s="1"/>
  <c r="M219" i="8" a="1"/>
  <c r="M219" i="8" s="1"/>
  <c r="L219" i="8"/>
  <c r="A219" i="8"/>
  <c r="N218" i="8" a="1"/>
  <c r="N218" i="8" s="1"/>
  <c r="M218" i="8" a="1"/>
  <c r="M218" i="8" s="1"/>
  <c r="L218" i="8"/>
  <c r="A218" i="8"/>
  <c r="N217" i="8" a="1"/>
  <c r="N217" i="8" s="1"/>
  <c r="M217" i="8" a="1"/>
  <c r="M217" i="8" s="1"/>
  <c r="L217" i="8"/>
  <c r="A217" i="8"/>
  <c r="N216" i="8" a="1"/>
  <c r="N216" i="8" s="1"/>
  <c r="M216" i="8" a="1"/>
  <c r="M216" i="8" s="1"/>
  <c r="L216" i="8"/>
  <c r="A216" i="8"/>
  <c r="N215" i="8" a="1"/>
  <c r="N215" i="8" s="1"/>
  <c r="M215" i="8" a="1"/>
  <c r="M215" i="8" s="1"/>
  <c r="L215" i="8"/>
  <c r="A215" i="8"/>
  <c r="N214" i="8" a="1"/>
  <c r="N214" i="8" s="1"/>
  <c r="M214" i="8" a="1"/>
  <c r="M214" i="8" s="1"/>
  <c r="L214" i="8"/>
  <c r="A214" i="8"/>
  <c r="N213" i="8" a="1"/>
  <c r="N213" i="8" s="1"/>
  <c r="M213" i="8" a="1"/>
  <c r="M213" i="8" s="1"/>
  <c r="L213" i="8"/>
  <c r="A213" i="8"/>
  <c r="N212" i="8" a="1"/>
  <c r="N212" i="8" s="1"/>
  <c r="M212" i="8" a="1"/>
  <c r="M212" i="8" s="1"/>
  <c r="L212" i="8"/>
  <c r="A212" i="8"/>
  <c r="N211" i="8" a="1"/>
  <c r="N211" i="8" s="1"/>
  <c r="M211" i="8" a="1"/>
  <c r="M211" i="8" s="1"/>
  <c r="L211" i="8"/>
  <c r="A211" i="8"/>
  <c r="N210" i="8" a="1"/>
  <c r="N210" i="8" s="1"/>
  <c r="M210" i="8" a="1"/>
  <c r="M210" i="8" s="1"/>
  <c r="L210" i="8"/>
  <c r="A210" i="8"/>
  <c r="N209" i="8" a="1"/>
  <c r="N209" i="8" s="1"/>
  <c r="M209" i="8" a="1"/>
  <c r="M209" i="8" s="1"/>
  <c r="L209" i="8"/>
  <c r="A209" i="8"/>
  <c r="N208" i="8" a="1"/>
  <c r="N208" i="8" s="1"/>
  <c r="M208" i="8" a="1"/>
  <c r="M208" i="8" s="1"/>
  <c r="L208" i="8"/>
  <c r="A208" i="8"/>
  <c r="N207" i="8" a="1"/>
  <c r="N207" i="8" s="1"/>
  <c r="M207" i="8" a="1"/>
  <c r="M207" i="8" s="1"/>
  <c r="L207" i="8"/>
  <c r="A207" i="8"/>
  <c r="N206" i="8" a="1"/>
  <c r="N206" i="8" s="1"/>
  <c r="M206" i="8" a="1"/>
  <c r="M206" i="8" s="1"/>
  <c r="L206" i="8"/>
  <c r="A206" i="8"/>
  <c r="N205" i="8" a="1"/>
  <c r="N205" i="8" s="1"/>
  <c r="M205" i="8" a="1"/>
  <c r="M205" i="8" s="1"/>
  <c r="L205" i="8"/>
  <c r="A205" i="8"/>
  <c r="N204" i="8" a="1"/>
  <c r="N204" i="8" s="1"/>
  <c r="M204" i="8" a="1"/>
  <c r="M204" i="8" s="1"/>
  <c r="L204" i="8"/>
  <c r="A204" i="8"/>
  <c r="N203" i="8" a="1"/>
  <c r="N203" i="8" s="1"/>
  <c r="M203" i="8" a="1"/>
  <c r="M203" i="8" s="1"/>
  <c r="L203" i="8"/>
  <c r="A203" i="8"/>
  <c r="N202" i="8" a="1"/>
  <c r="N202" i="8" s="1"/>
  <c r="M202" i="8" a="1"/>
  <c r="M202" i="8" s="1"/>
  <c r="L202" i="8"/>
  <c r="A202" i="8"/>
  <c r="N201" i="8" a="1"/>
  <c r="N201" i="8" s="1"/>
  <c r="M201" i="8" a="1"/>
  <c r="M201" i="8" s="1"/>
  <c r="L201" i="8"/>
  <c r="A201" i="8"/>
  <c r="N200" i="8" a="1"/>
  <c r="N200" i="8" s="1"/>
  <c r="M200" i="8" a="1"/>
  <c r="M200" i="8" s="1"/>
  <c r="L200" i="8"/>
  <c r="A200" i="8"/>
  <c r="N199" i="8" a="1"/>
  <c r="N199" i="8" s="1"/>
  <c r="M199" i="8" a="1"/>
  <c r="M199" i="8" s="1"/>
  <c r="L199" i="8"/>
  <c r="A199" i="8"/>
  <c r="N198" i="8" a="1"/>
  <c r="N198" i="8" s="1"/>
  <c r="M198" i="8" a="1"/>
  <c r="M198" i="8" s="1"/>
  <c r="L198" i="8"/>
  <c r="A198" i="8"/>
  <c r="N197" i="8" a="1"/>
  <c r="N197" i="8" s="1"/>
  <c r="M197" i="8" a="1"/>
  <c r="M197" i="8" s="1"/>
  <c r="L197" i="8"/>
  <c r="A197" i="8"/>
  <c r="N196" i="8" a="1"/>
  <c r="N196" i="8" s="1"/>
  <c r="M196" i="8" a="1"/>
  <c r="M196" i="8" s="1"/>
  <c r="L196" i="8"/>
  <c r="A196" i="8"/>
  <c r="N195" i="8" a="1"/>
  <c r="N195" i="8" s="1"/>
  <c r="M195" i="8" a="1"/>
  <c r="M195" i="8" s="1"/>
  <c r="L195" i="8"/>
  <c r="A195" i="8"/>
  <c r="N194" i="8" a="1"/>
  <c r="N194" i="8" s="1"/>
  <c r="M194" i="8" a="1"/>
  <c r="M194" i="8" s="1"/>
  <c r="L194" i="8"/>
  <c r="A194" i="8"/>
  <c r="N193" i="8" a="1"/>
  <c r="N193" i="8" s="1"/>
  <c r="M193" i="8" a="1"/>
  <c r="M193" i="8" s="1"/>
  <c r="L193" i="8"/>
  <c r="A193" i="8"/>
  <c r="N192" i="8" a="1"/>
  <c r="N192" i="8" s="1"/>
  <c r="M192" i="8" a="1"/>
  <c r="M192" i="8" s="1"/>
  <c r="L192" i="8"/>
  <c r="A192" i="8"/>
  <c r="N191" i="8" a="1"/>
  <c r="N191" i="8" s="1"/>
  <c r="M191" i="8" a="1"/>
  <c r="M191" i="8" s="1"/>
  <c r="L191" i="8"/>
  <c r="A191" i="8"/>
  <c r="N190" i="8" a="1"/>
  <c r="N190" i="8" s="1"/>
  <c r="M190" i="8" a="1"/>
  <c r="M190" i="8" s="1"/>
  <c r="L190" i="8"/>
  <c r="A190" i="8"/>
  <c r="N189" i="8" a="1"/>
  <c r="N189" i="8" s="1"/>
  <c r="M189" i="8" a="1"/>
  <c r="M189" i="8" s="1"/>
  <c r="L189" i="8"/>
  <c r="A189" i="8"/>
  <c r="N188" i="8" a="1"/>
  <c r="N188" i="8" s="1"/>
  <c r="M188" i="8" a="1"/>
  <c r="M188" i="8" s="1"/>
  <c r="L188" i="8"/>
  <c r="A188" i="8"/>
  <c r="N187" i="8" a="1"/>
  <c r="N187" i="8" s="1"/>
  <c r="M187" i="8" a="1"/>
  <c r="M187" i="8" s="1"/>
  <c r="L187" i="8"/>
  <c r="A187" i="8"/>
  <c r="N186" i="8" a="1"/>
  <c r="N186" i="8" s="1"/>
  <c r="M186" i="8" a="1"/>
  <c r="M186" i="8" s="1"/>
  <c r="L186" i="8"/>
  <c r="A186" i="8"/>
  <c r="N185" i="8" a="1"/>
  <c r="N185" i="8" s="1"/>
  <c r="M185" i="8" a="1"/>
  <c r="M185" i="8" s="1"/>
  <c r="L185" i="8"/>
  <c r="A185" i="8"/>
  <c r="N184" i="8" a="1"/>
  <c r="N184" i="8" s="1"/>
  <c r="M184" i="8" a="1"/>
  <c r="M184" i="8" s="1"/>
  <c r="L184" i="8"/>
  <c r="A184" i="8"/>
  <c r="N183" i="8" a="1"/>
  <c r="N183" i="8" s="1"/>
  <c r="M183" i="8" a="1"/>
  <c r="M183" i="8" s="1"/>
  <c r="L183" i="8"/>
  <c r="A183" i="8"/>
  <c r="N182" i="8" a="1"/>
  <c r="N182" i="8" s="1"/>
  <c r="M182" i="8" a="1"/>
  <c r="M182" i="8" s="1"/>
  <c r="L182" i="8"/>
  <c r="A182" i="8"/>
  <c r="N181" i="8" a="1"/>
  <c r="N181" i="8" s="1"/>
  <c r="M181" i="8" a="1"/>
  <c r="M181" i="8" s="1"/>
  <c r="L181" i="8"/>
  <c r="A181" i="8"/>
  <c r="N180" i="8" a="1"/>
  <c r="N180" i="8" s="1"/>
  <c r="M180" i="8" a="1"/>
  <c r="M180" i="8" s="1"/>
  <c r="L180" i="8"/>
  <c r="A180" i="8"/>
  <c r="N179" i="8" a="1"/>
  <c r="N179" i="8" s="1"/>
  <c r="M179" i="8" a="1"/>
  <c r="M179" i="8" s="1"/>
  <c r="L179" i="8"/>
  <c r="A179" i="8"/>
  <c r="N178" i="8" a="1"/>
  <c r="N178" i="8" s="1"/>
  <c r="M178" i="8" a="1"/>
  <c r="M178" i="8" s="1"/>
  <c r="L178" i="8"/>
  <c r="A178" i="8"/>
  <c r="N177" i="8" a="1"/>
  <c r="N177" i="8" s="1"/>
  <c r="M177" i="8" a="1"/>
  <c r="M177" i="8" s="1"/>
  <c r="L177" i="8"/>
  <c r="A177" i="8"/>
  <c r="N176" i="8" a="1"/>
  <c r="N176" i="8" s="1"/>
  <c r="M176" i="8" a="1"/>
  <c r="M176" i="8" s="1"/>
  <c r="L176" i="8"/>
  <c r="A176" i="8"/>
  <c r="N175" i="8" a="1"/>
  <c r="N175" i="8" s="1"/>
  <c r="M175" i="8" a="1"/>
  <c r="M175" i="8" s="1"/>
  <c r="L175" i="8"/>
  <c r="A175" i="8"/>
  <c r="N174" i="8" a="1"/>
  <c r="N174" i="8" s="1"/>
  <c r="M174" i="8" a="1"/>
  <c r="M174" i="8" s="1"/>
  <c r="L174" i="8"/>
  <c r="A174" i="8"/>
  <c r="N173" i="8" a="1"/>
  <c r="N173" i="8" s="1"/>
  <c r="M173" i="8" a="1"/>
  <c r="M173" i="8" s="1"/>
  <c r="L173" i="8"/>
  <c r="A173" i="8"/>
  <c r="N172" i="8" a="1"/>
  <c r="N172" i="8" s="1"/>
  <c r="M172" i="8" a="1"/>
  <c r="M172" i="8" s="1"/>
  <c r="L172" i="8"/>
  <c r="A172" i="8"/>
  <c r="N171" i="8" a="1"/>
  <c r="N171" i="8" s="1"/>
  <c r="M171" i="8" a="1"/>
  <c r="M171" i="8" s="1"/>
  <c r="L171" i="8"/>
  <c r="A171" i="8"/>
  <c r="N170" i="8" a="1"/>
  <c r="N170" i="8" s="1"/>
  <c r="M170" i="8" a="1"/>
  <c r="M170" i="8" s="1"/>
  <c r="L170" i="8"/>
  <c r="A170" i="8"/>
  <c r="N169" i="8" a="1"/>
  <c r="N169" i="8" s="1"/>
  <c r="M169" i="8" a="1"/>
  <c r="M169" i="8" s="1"/>
  <c r="L169" i="8"/>
  <c r="A169" i="8"/>
  <c r="N168" i="8" a="1"/>
  <c r="N168" i="8" s="1"/>
  <c r="M168" i="8" a="1"/>
  <c r="M168" i="8" s="1"/>
  <c r="L168" i="8"/>
  <c r="A168" i="8"/>
  <c r="N167" i="8" a="1"/>
  <c r="N167" i="8" s="1"/>
  <c r="M167" i="8" a="1"/>
  <c r="M167" i="8" s="1"/>
  <c r="L167" i="8"/>
  <c r="A167" i="8"/>
  <c r="N166" i="8" a="1"/>
  <c r="N166" i="8" s="1"/>
  <c r="M166" i="8" a="1"/>
  <c r="M166" i="8" s="1"/>
  <c r="L166" i="8"/>
  <c r="A166" i="8"/>
  <c r="N165" i="8" a="1"/>
  <c r="N165" i="8" s="1"/>
  <c r="M165" i="8" a="1"/>
  <c r="M165" i="8" s="1"/>
  <c r="L165" i="8"/>
  <c r="A165" i="8"/>
  <c r="N164" i="8" a="1"/>
  <c r="N164" i="8" s="1"/>
  <c r="M164" i="8" a="1"/>
  <c r="M164" i="8" s="1"/>
  <c r="L164" i="8"/>
  <c r="A164" i="8"/>
  <c r="N163" i="8" a="1"/>
  <c r="N163" i="8" s="1"/>
  <c r="M163" i="8" a="1"/>
  <c r="M163" i="8" s="1"/>
  <c r="L163" i="8"/>
  <c r="A163" i="8"/>
  <c r="N162" i="8" a="1"/>
  <c r="N162" i="8" s="1"/>
  <c r="M162" i="8" a="1"/>
  <c r="M162" i="8" s="1"/>
  <c r="L162" i="8"/>
  <c r="A162" i="8"/>
  <c r="N161" i="8" a="1"/>
  <c r="N161" i="8" s="1"/>
  <c r="M161" i="8" a="1"/>
  <c r="M161" i="8" s="1"/>
  <c r="L161" i="8"/>
  <c r="A161" i="8"/>
  <c r="N160" i="8" a="1"/>
  <c r="N160" i="8" s="1"/>
  <c r="M160" i="8" a="1"/>
  <c r="M160" i="8" s="1"/>
  <c r="L160" i="8"/>
  <c r="A160" i="8"/>
  <c r="N159" i="8" a="1"/>
  <c r="N159" i="8" s="1"/>
  <c r="M159" i="8" a="1"/>
  <c r="M159" i="8" s="1"/>
  <c r="L159" i="8"/>
  <c r="A159" i="8"/>
  <c r="N158" i="8" a="1"/>
  <c r="N158" i="8" s="1"/>
  <c r="M158" i="8" a="1"/>
  <c r="M158" i="8" s="1"/>
  <c r="L158" i="8"/>
  <c r="A158" i="8"/>
  <c r="N157" i="8" a="1"/>
  <c r="N157" i="8" s="1"/>
  <c r="M157" i="8" a="1"/>
  <c r="M157" i="8" s="1"/>
  <c r="L157" i="8"/>
  <c r="A157" i="8"/>
  <c r="N156" i="8" a="1"/>
  <c r="N156" i="8" s="1"/>
  <c r="M156" i="8" a="1"/>
  <c r="M156" i="8" s="1"/>
  <c r="L156" i="8"/>
  <c r="A156" i="8"/>
  <c r="N155" i="8" a="1"/>
  <c r="N155" i="8" s="1"/>
  <c r="M155" i="8" a="1"/>
  <c r="M155" i="8" s="1"/>
  <c r="L155" i="8"/>
  <c r="A155" i="8"/>
  <c r="N154" i="8" a="1"/>
  <c r="N154" i="8" s="1"/>
  <c r="M154" i="8" a="1"/>
  <c r="M154" i="8" s="1"/>
  <c r="L154" i="8"/>
  <c r="A154" i="8"/>
  <c r="N153" i="8" a="1"/>
  <c r="N153" i="8" s="1"/>
  <c r="M153" i="8" a="1"/>
  <c r="M153" i="8" s="1"/>
  <c r="L153" i="8"/>
  <c r="A153" i="8"/>
  <c r="N152" i="8" a="1"/>
  <c r="N152" i="8" s="1"/>
  <c r="M152" i="8" a="1"/>
  <c r="M152" i="8" s="1"/>
  <c r="L152" i="8"/>
  <c r="A152" i="8"/>
  <c r="N151" i="8" a="1"/>
  <c r="N151" i="8" s="1"/>
  <c r="M151" i="8" a="1"/>
  <c r="M151" i="8" s="1"/>
  <c r="L151" i="8"/>
  <c r="A151" i="8"/>
  <c r="N150" i="8" a="1"/>
  <c r="N150" i="8" s="1"/>
  <c r="M150" i="8" a="1"/>
  <c r="M150" i="8" s="1"/>
  <c r="L150" i="8"/>
  <c r="A150" i="8"/>
  <c r="N149" i="8" a="1"/>
  <c r="N149" i="8" s="1"/>
  <c r="M149" i="8" a="1"/>
  <c r="M149" i="8" s="1"/>
  <c r="L149" i="8"/>
  <c r="A149" i="8"/>
  <c r="N148" i="8" a="1"/>
  <c r="N148" i="8" s="1"/>
  <c r="M148" i="8" a="1"/>
  <c r="M148" i="8" s="1"/>
  <c r="L148" i="8"/>
  <c r="A148" i="8"/>
  <c r="N147" i="8" a="1"/>
  <c r="N147" i="8" s="1"/>
  <c r="M147" i="8" a="1"/>
  <c r="M147" i="8" s="1"/>
  <c r="L147" i="8"/>
  <c r="A147" i="8"/>
  <c r="N146" i="8" a="1"/>
  <c r="N146" i="8" s="1"/>
  <c r="M146" i="8" a="1"/>
  <c r="M146" i="8" s="1"/>
  <c r="L146" i="8"/>
  <c r="A146" i="8"/>
  <c r="N145" i="8" a="1"/>
  <c r="N145" i="8" s="1"/>
  <c r="M145" i="8" a="1"/>
  <c r="M145" i="8" s="1"/>
  <c r="L145" i="8"/>
  <c r="A145" i="8"/>
  <c r="N144" i="8" a="1"/>
  <c r="N144" i="8" s="1"/>
  <c r="M144" i="8" a="1"/>
  <c r="M144" i="8" s="1"/>
  <c r="L144" i="8"/>
  <c r="A144" i="8"/>
  <c r="N143" i="8" a="1"/>
  <c r="N143" i="8" s="1"/>
  <c r="M143" i="8" a="1"/>
  <c r="M143" i="8" s="1"/>
  <c r="L143" i="8"/>
  <c r="A143" i="8"/>
  <c r="N142" i="8" a="1"/>
  <c r="N142" i="8" s="1"/>
  <c r="M142" i="8" a="1"/>
  <c r="M142" i="8" s="1"/>
  <c r="L142" i="8"/>
  <c r="A142" i="8"/>
  <c r="N141" i="8" a="1"/>
  <c r="N141" i="8" s="1"/>
  <c r="M141" i="8" a="1"/>
  <c r="M141" i="8" s="1"/>
  <c r="L141" i="8"/>
  <c r="A141" i="8"/>
  <c r="N140" i="8" a="1"/>
  <c r="N140" i="8" s="1"/>
  <c r="M140" i="8" a="1"/>
  <c r="M140" i="8" s="1"/>
  <c r="L140" i="8"/>
  <c r="A140" i="8"/>
  <c r="N139" i="8" a="1"/>
  <c r="N139" i="8" s="1"/>
  <c r="M139" i="8" a="1"/>
  <c r="M139" i="8" s="1"/>
  <c r="L139" i="8"/>
  <c r="A139" i="8"/>
  <c r="N138" i="8" a="1"/>
  <c r="N138" i="8" s="1"/>
  <c r="M138" i="8" a="1"/>
  <c r="M138" i="8" s="1"/>
  <c r="L138" i="8"/>
  <c r="A138" i="8"/>
  <c r="N137" i="8" a="1"/>
  <c r="N137" i="8" s="1"/>
  <c r="M137" i="8" a="1"/>
  <c r="M137" i="8" s="1"/>
  <c r="L137" i="8"/>
  <c r="A137" i="8"/>
  <c r="N136" i="8" a="1"/>
  <c r="N136" i="8" s="1"/>
  <c r="M136" i="8" a="1"/>
  <c r="M136" i="8" s="1"/>
  <c r="L136" i="8"/>
  <c r="A136" i="8"/>
  <c r="N135" i="8" a="1"/>
  <c r="N135" i="8" s="1"/>
  <c r="M135" i="8" a="1"/>
  <c r="M135" i="8" s="1"/>
  <c r="L135" i="8"/>
  <c r="A135" i="8"/>
  <c r="N134" i="8" a="1"/>
  <c r="N134" i="8" s="1"/>
  <c r="M134" i="8" a="1"/>
  <c r="M134" i="8" s="1"/>
  <c r="L134" i="8"/>
  <c r="A134" i="8"/>
  <c r="N133" i="8" a="1"/>
  <c r="N133" i="8" s="1"/>
  <c r="M133" i="8" a="1"/>
  <c r="M133" i="8" s="1"/>
  <c r="L133" i="8"/>
  <c r="A133" i="8"/>
  <c r="N132" i="8" a="1"/>
  <c r="N132" i="8" s="1"/>
  <c r="M132" i="8" a="1"/>
  <c r="M132" i="8" s="1"/>
  <c r="L132" i="8"/>
  <c r="A132" i="8"/>
  <c r="N131" i="8" a="1"/>
  <c r="N131" i="8" s="1"/>
  <c r="M131" i="8" a="1"/>
  <c r="M131" i="8" s="1"/>
  <c r="L131" i="8"/>
  <c r="A131" i="8"/>
  <c r="N130" i="8" a="1"/>
  <c r="N130" i="8" s="1"/>
  <c r="M130" i="8" a="1"/>
  <c r="M130" i="8" s="1"/>
  <c r="L130" i="8"/>
  <c r="A130" i="8"/>
  <c r="N129" i="8" a="1"/>
  <c r="N129" i="8" s="1"/>
  <c r="M129" i="8" a="1"/>
  <c r="M129" i="8" s="1"/>
  <c r="L129" i="8"/>
  <c r="A129" i="8"/>
  <c r="N128" i="8" a="1"/>
  <c r="N128" i="8" s="1"/>
  <c r="M128" i="8" a="1"/>
  <c r="M128" i="8" s="1"/>
  <c r="L128" i="8"/>
  <c r="A128" i="8"/>
  <c r="N127" i="8" a="1"/>
  <c r="N127" i="8" s="1"/>
  <c r="M127" i="8" a="1"/>
  <c r="M127" i="8" s="1"/>
  <c r="L127" i="8"/>
  <c r="A127" i="8"/>
  <c r="N126" i="8" a="1"/>
  <c r="N126" i="8" s="1"/>
  <c r="M126" i="8" a="1"/>
  <c r="M126" i="8" s="1"/>
  <c r="L126" i="8"/>
  <c r="A126" i="8"/>
  <c r="N125" i="8" a="1"/>
  <c r="N125" i="8" s="1"/>
  <c r="M125" i="8" a="1"/>
  <c r="M125" i="8" s="1"/>
  <c r="L125" i="8"/>
  <c r="A125" i="8"/>
  <c r="N124" i="8" a="1"/>
  <c r="N124" i="8" s="1"/>
  <c r="M124" i="8" a="1"/>
  <c r="M124" i="8" s="1"/>
  <c r="L124" i="8"/>
  <c r="A124" i="8"/>
  <c r="N123" i="8" a="1"/>
  <c r="N123" i="8" s="1"/>
  <c r="M123" i="8" a="1"/>
  <c r="M123" i="8" s="1"/>
  <c r="L123" i="8"/>
  <c r="A123" i="8"/>
  <c r="N122" i="8" a="1"/>
  <c r="N122" i="8" s="1"/>
  <c r="M122" i="8" a="1"/>
  <c r="M122" i="8" s="1"/>
  <c r="L122" i="8"/>
  <c r="A122" i="8"/>
  <c r="N121" i="8" a="1"/>
  <c r="N121" i="8" s="1"/>
  <c r="M121" i="8" a="1"/>
  <c r="M121" i="8" s="1"/>
  <c r="L121" i="8"/>
  <c r="A121" i="8"/>
  <c r="N120" i="8" a="1"/>
  <c r="N120" i="8" s="1"/>
  <c r="M120" i="8" a="1"/>
  <c r="M120" i="8" s="1"/>
  <c r="L120" i="8"/>
  <c r="A120" i="8"/>
  <c r="N119" i="8" a="1"/>
  <c r="N119" i="8" s="1"/>
  <c r="M119" i="8" a="1"/>
  <c r="M119" i="8" s="1"/>
  <c r="L119" i="8"/>
  <c r="A119" i="8"/>
  <c r="N118" i="8" a="1"/>
  <c r="N118" i="8" s="1"/>
  <c r="M118" i="8" a="1"/>
  <c r="M118" i="8" s="1"/>
  <c r="L118" i="8"/>
  <c r="A118" i="8"/>
  <c r="N117" i="8" a="1"/>
  <c r="N117" i="8" s="1"/>
  <c r="M117" i="8" a="1"/>
  <c r="M117" i="8" s="1"/>
  <c r="L117" i="8"/>
  <c r="A117" i="8"/>
  <c r="N116" i="8" a="1"/>
  <c r="N116" i="8" s="1"/>
  <c r="M116" i="8" a="1"/>
  <c r="M116" i="8" s="1"/>
  <c r="L116" i="8"/>
  <c r="A116" i="8"/>
  <c r="N115" i="8" a="1"/>
  <c r="N115" i="8" s="1"/>
  <c r="M115" i="8" a="1"/>
  <c r="M115" i="8" s="1"/>
  <c r="L115" i="8"/>
  <c r="A115" i="8"/>
  <c r="N114" i="8" a="1"/>
  <c r="N114" i="8" s="1"/>
  <c r="M114" i="8" a="1"/>
  <c r="M114" i="8" s="1"/>
  <c r="L114" i="8"/>
  <c r="A114" i="8"/>
  <c r="N113" i="8" a="1"/>
  <c r="N113" i="8" s="1"/>
  <c r="M113" i="8" a="1"/>
  <c r="M113" i="8" s="1"/>
  <c r="L113" i="8"/>
  <c r="A113" i="8"/>
  <c r="N112" i="8" a="1"/>
  <c r="N112" i="8" s="1"/>
  <c r="M112" i="8" a="1"/>
  <c r="M112" i="8" s="1"/>
  <c r="L112" i="8"/>
  <c r="A112" i="8"/>
  <c r="N111" i="8" a="1"/>
  <c r="N111" i="8" s="1"/>
  <c r="M111" i="8" a="1"/>
  <c r="M111" i="8" s="1"/>
  <c r="L111" i="8"/>
  <c r="A111" i="8"/>
  <c r="N110" i="8" a="1"/>
  <c r="N110" i="8" s="1"/>
  <c r="M110" i="8" a="1"/>
  <c r="M110" i="8" s="1"/>
  <c r="L110" i="8"/>
  <c r="A110" i="8"/>
  <c r="N109" i="8" a="1"/>
  <c r="N109" i="8" s="1"/>
  <c r="M109" i="8" a="1"/>
  <c r="M109" i="8" s="1"/>
  <c r="L109" i="8"/>
  <c r="A109" i="8"/>
  <c r="N108" i="8" a="1"/>
  <c r="N108" i="8" s="1"/>
  <c r="M108" i="8" a="1"/>
  <c r="M108" i="8" s="1"/>
  <c r="L108" i="8"/>
  <c r="A108" i="8"/>
  <c r="N107" i="8" a="1"/>
  <c r="N107" i="8" s="1"/>
  <c r="M107" i="8" a="1"/>
  <c r="M107" i="8" s="1"/>
  <c r="L107" i="8"/>
  <c r="A107" i="8"/>
  <c r="N106" i="8" a="1"/>
  <c r="N106" i="8" s="1"/>
  <c r="M106" i="8" a="1"/>
  <c r="M106" i="8" s="1"/>
  <c r="L106" i="8"/>
  <c r="A106" i="8"/>
  <c r="N105" i="8" a="1"/>
  <c r="N105" i="8" s="1"/>
  <c r="M105" i="8" a="1"/>
  <c r="M105" i="8" s="1"/>
  <c r="L105" i="8"/>
  <c r="A105" i="8"/>
  <c r="N104" i="8" a="1"/>
  <c r="N104" i="8" s="1"/>
  <c r="M104" i="8" a="1"/>
  <c r="M104" i="8" s="1"/>
  <c r="L104" i="8"/>
  <c r="A104" i="8"/>
  <c r="N103" i="8" a="1"/>
  <c r="N103" i="8" s="1"/>
  <c r="M103" i="8" a="1"/>
  <c r="M103" i="8" s="1"/>
  <c r="L103" i="8"/>
  <c r="A103" i="8"/>
  <c r="N102" i="8" a="1"/>
  <c r="N102" i="8" s="1"/>
  <c r="M102" i="8" a="1"/>
  <c r="M102" i="8" s="1"/>
  <c r="L102" i="8"/>
  <c r="A102" i="8"/>
  <c r="N101" i="8" a="1"/>
  <c r="N101" i="8" s="1"/>
  <c r="M101" i="8" a="1"/>
  <c r="M101" i="8" s="1"/>
  <c r="L101" i="8"/>
  <c r="A101" i="8"/>
  <c r="N100" i="8" a="1"/>
  <c r="N100" i="8" s="1"/>
  <c r="M100" i="8" a="1"/>
  <c r="M100" i="8" s="1"/>
  <c r="L100" i="8"/>
  <c r="A100" i="8"/>
  <c r="N99" i="8" a="1"/>
  <c r="N99" i="8" s="1"/>
  <c r="M99" i="8" a="1"/>
  <c r="M99" i="8" s="1"/>
  <c r="L99" i="8"/>
  <c r="A99" i="8"/>
  <c r="N98" i="8" a="1"/>
  <c r="N98" i="8" s="1"/>
  <c r="M98" i="8" a="1"/>
  <c r="M98" i="8" s="1"/>
  <c r="L98" i="8"/>
  <c r="A98" i="8"/>
  <c r="N97" i="8" a="1"/>
  <c r="N97" i="8" s="1"/>
  <c r="M97" i="8" a="1"/>
  <c r="M97" i="8" s="1"/>
  <c r="L97" i="8"/>
  <c r="A97" i="8"/>
  <c r="N96" i="8" a="1"/>
  <c r="N96" i="8" s="1"/>
  <c r="M96" i="8" a="1"/>
  <c r="M96" i="8" s="1"/>
  <c r="L96" i="8"/>
  <c r="A96" i="8"/>
  <c r="N95" i="8" a="1"/>
  <c r="N95" i="8" s="1"/>
  <c r="M95" i="8" a="1"/>
  <c r="M95" i="8" s="1"/>
  <c r="L95" i="8"/>
  <c r="A95" i="8"/>
  <c r="N94" i="8" a="1"/>
  <c r="N94" i="8" s="1"/>
  <c r="M94" i="8" a="1"/>
  <c r="M94" i="8" s="1"/>
  <c r="L94" i="8"/>
  <c r="A94" i="8"/>
  <c r="N93" i="8" a="1"/>
  <c r="N93" i="8" s="1"/>
  <c r="M93" i="8" a="1"/>
  <c r="M93" i="8" s="1"/>
  <c r="L93" i="8"/>
  <c r="A93" i="8"/>
  <c r="N92" i="8" a="1"/>
  <c r="N92" i="8" s="1"/>
  <c r="M92" i="8" a="1"/>
  <c r="M92" i="8" s="1"/>
  <c r="L92" i="8"/>
  <c r="A92" i="8"/>
  <c r="N91" i="8" a="1"/>
  <c r="N91" i="8" s="1"/>
  <c r="M91" i="8" a="1"/>
  <c r="M91" i="8" s="1"/>
  <c r="L91" i="8"/>
  <c r="A91" i="8"/>
  <c r="N90" i="8" a="1"/>
  <c r="N90" i="8" s="1"/>
  <c r="M90" i="8" a="1"/>
  <c r="M90" i="8" s="1"/>
  <c r="L90" i="8"/>
  <c r="A90" i="8"/>
  <c r="N89" i="8" a="1"/>
  <c r="N89" i="8" s="1"/>
  <c r="M89" i="8" a="1"/>
  <c r="M89" i="8" s="1"/>
  <c r="L89" i="8"/>
  <c r="A89" i="8"/>
  <c r="N88" i="8" a="1"/>
  <c r="N88" i="8" s="1"/>
  <c r="M88" i="8" a="1"/>
  <c r="M88" i="8" s="1"/>
  <c r="L88" i="8"/>
  <c r="A88" i="8"/>
  <c r="N87" i="8" a="1"/>
  <c r="N87" i="8" s="1"/>
  <c r="M87" i="8" a="1"/>
  <c r="M87" i="8" s="1"/>
  <c r="L87" i="8"/>
  <c r="A87" i="8"/>
  <c r="N86" i="8" a="1"/>
  <c r="N86" i="8" s="1"/>
  <c r="M86" i="8" a="1"/>
  <c r="M86" i="8" s="1"/>
  <c r="L86" i="8"/>
  <c r="A86" i="8"/>
  <c r="N85" i="8" a="1"/>
  <c r="N85" i="8" s="1"/>
  <c r="M85" i="8" a="1"/>
  <c r="M85" i="8" s="1"/>
  <c r="L85" i="8"/>
  <c r="A85" i="8"/>
  <c r="N84" i="8" a="1"/>
  <c r="N84" i="8" s="1"/>
  <c r="M84" i="8" a="1"/>
  <c r="M84" i="8" s="1"/>
  <c r="L84" i="8"/>
  <c r="A84" i="8"/>
  <c r="N83" i="8" a="1"/>
  <c r="N83" i="8" s="1"/>
  <c r="M83" i="8" a="1"/>
  <c r="M83" i="8" s="1"/>
  <c r="L83" i="8"/>
  <c r="A83" i="8"/>
  <c r="N82" i="8" a="1"/>
  <c r="N82" i="8" s="1"/>
  <c r="M82" i="8" a="1"/>
  <c r="M82" i="8" s="1"/>
  <c r="L82" i="8"/>
  <c r="A82" i="8"/>
  <c r="N81" i="8" a="1"/>
  <c r="N81" i="8" s="1"/>
  <c r="M81" i="8" a="1"/>
  <c r="M81" i="8" s="1"/>
  <c r="L81" i="8"/>
  <c r="A81" i="8"/>
  <c r="N80" i="8" a="1"/>
  <c r="N80" i="8" s="1"/>
  <c r="M80" i="8" a="1"/>
  <c r="M80" i="8" s="1"/>
  <c r="L80" i="8"/>
  <c r="A80" i="8"/>
  <c r="N79" i="8" a="1"/>
  <c r="N79" i="8" s="1"/>
  <c r="M79" i="8" a="1"/>
  <c r="M79" i="8" s="1"/>
  <c r="L79" i="8"/>
  <c r="A79" i="8"/>
  <c r="N78" i="8" a="1"/>
  <c r="N78" i="8" s="1"/>
  <c r="M78" i="8" a="1"/>
  <c r="M78" i="8" s="1"/>
  <c r="L78" i="8"/>
  <c r="A78" i="8"/>
  <c r="N77" i="8" a="1"/>
  <c r="N77" i="8" s="1"/>
  <c r="M77" i="8" a="1"/>
  <c r="M77" i="8" s="1"/>
  <c r="L77" i="8"/>
  <c r="A77" i="8"/>
  <c r="N76" i="8" a="1"/>
  <c r="N76" i="8" s="1"/>
  <c r="M76" i="8" a="1"/>
  <c r="M76" i="8" s="1"/>
  <c r="L76" i="8"/>
  <c r="A76" i="8"/>
  <c r="N75" i="8" a="1"/>
  <c r="N75" i="8" s="1"/>
  <c r="M75" i="8" a="1"/>
  <c r="M75" i="8" s="1"/>
  <c r="L75" i="8"/>
  <c r="A75" i="8"/>
  <c r="N74" i="8" a="1"/>
  <c r="N74" i="8" s="1"/>
  <c r="M74" i="8" a="1"/>
  <c r="M74" i="8" s="1"/>
  <c r="L74" i="8"/>
  <c r="A74" i="8"/>
  <c r="N73" i="8" a="1"/>
  <c r="N73" i="8" s="1"/>
  <c r="M73" i="8" a="1"/>
  <c r="M73" i="8" s="1"/>
  <c r="L73" i="8"/>
  <c r="A73" i="8"/>
  <c r="N72" i="8" a="1"/>
  <c r="N72" i="8" s="1"/>
  <c r="M72" i="8" a="1"/>
  <c r="M72" i="8" s="1"/>
  <c r="L72" i="8"/>
  <c r="A72" i="8"/>
  <c r="N71" i="8" a="1"/>
  <c r="N71" i="8" s="1"/>
  <c r="M71" i="8" a="1"/>
  <c r="M71" i="8" s="1"/>
  <c r="L71" i="8"/>
  <c r="A71" i="8"/>
  <c r="N70" i="8" a="1"/>
  <c r="N70" i="8" s="1"/>
  <c r="M70" i="8" a="1"/>
  <c r="M70" i="8" s="1"/>
  <c r="L70" i="8"/>
  <c r="A70" i="8"/>
  <c r="N69" i="8" a="1"/>
  <c r="N69" i="8" s="1"/>
  <c r="M69" i="8" a="1"/>
  <c r="M69" i="8" s="1"/>
  <c r="L69" i="8"/>
  <c r="A69" i="8"/>
  <c r="N68" i="8" a="1"/>
  <c r="N68" i="8" s="1"/>
  <c r="M68" i="8" a="1"/>
  <c r="M68" i="8" s="1"/>
  <c r="L68" i="8"/>
  <c r="A68" i="8"/>
  <c r="N67" i="8" a="1"/>
  <c r="N67" i="8" s="1"/>
  <c r="M67" i="8" a="1"/>
  <c r="M67" i="8" s="1"/>
  <c r="L67" i="8"/>
  <c r="A67" i="8"/>
  <c r="N66" i="8" a="1"/>
  <c r="N66" i="8" s="1"/>
  <c r="M66" i="8" a="1"/>
  <c r="M66" i="8" s="1"/>
  <c r="L66" i="8"/>
  <c r="A66" i="8"/>
  <c r="N65" i="8" a="1"/>
  <c r="N65" i="8" s="1"/>
  <c r="M65" i="8" a="1"/>
  <c r="M65" i="8" s="1"/>
  <c r="L65" i="8"/>
  <c r="A65" i="8"/>
  <c r="N64" i="8" a="1"/>
  <c r="N64" i="8" s="1"/>
  <c r="M64" i="8" a="1"/>
  <c r="M64" i="8" s="1"/>
  <c r="L64" i="8"/>
  <c r="A64" i="8"/>
  <c r="N63" i="8" a="1"/>
  <c r="N63" i="8" s="1"/>
  <c r="M63" i="8" a="1"/>
  <c r="M63" i="8" s="1"/>
  <c r="L63" i="8"/>
  <c r="A63" i="8"/>
  <c r="N62" i="8" a="1"/>
  <c r="N62" i="8" s="1"/>
  <c r="M62" i="8" a="1"/>
  <c r="M62" i="8" s="1"/>
  <c r="L62" i="8"/>
  <c r="A62" i="8"/>
  <c r="N61" i="8" a="1"/>
  <c r="N61" i="8" s="1"/>
  <c r="M61" i="8" a="1"/>
  <c r="M61" i="8" s="1"/>
  <c r="L61" i="8"/>
  <c r="A61" i="8"/>
  <c r="N60" i="8" a="1"/>
  <c r="N60" i="8" s="1"/>
  <c r="M60" i="8" a="1"/>
  <c r="M60" i="8" s="1"/>
  <c r="L60" i="8"/>
  <c r="A60" i="8"/>
  <c r="N59" i="8" a="1"/>
  <c r="N59" i="8" s="1"/>
  <c r="M59" i="8" a="1"/>
  <c r="M59" i="8" s="1"/>
  <c r="L59" i="8"/>
  <c r="A59" i="8"/>
  <c r="N58" i="8" a="1"/>
  <c r="N58" i="8" s="1"/>
  <c r="M58" i="8" a="1"/>
  <c r="M58" i="8" s="1"/>
  <c r="L58" i="8"/>
  <c r="A58" i="8"/>
  <c r="N57" i="8" a="1"/>
  <c r="N57" i="8" s="1"/>
  <c r="M57" i="8" a="1"/>
  <c r="M57" i="8" s="1"/>
  <c r="L57" i="8"/>
  <c r="A57" i="8"/>
  <c r="N56" i="8" a="1"/>
  <c r="N56" i="8" s="1"/>
  <c r="M56" i="8" a="1"/>
  <c r="M56" i="8" s="1"/>
  <c r="L56" i="8"/>
  <c r="A56" i="8"/>
  <c r="N55" i="8" a="1"/>
  <c r="N55" i="8" s="1"/>
  <c r="M55" i="8" a="1"/>
  <c r="M55" i="8" s="1"/>
  <c r="L55" i="8"/>
  <c r="A55" i="8"/>
  <c r="N54" i="8" a="1"/>
  <c r="N54" i="8" s="1"/>
  <c r="M54" i="8" a="1"/>
  <c r="M54" i="8" s="1"/>
  <c r="L54" i="8"/>
  <c r="A54" i="8"/>
  <c r="N53" i="8" a="1"/>
  <c r="N53" i="8" s="1"/>
  <c r="M53" i="8" a="1"/>
  <c r="M53" i="8" s="1"/>
  <c r="L53" i="8"/>
  <c r="A53" i="8"/>
  <c r="N52" i="8" a="1"/>
  <c r="N52" i="8" s="1"/>
  <c r="M52" i="8" a="1"/>
  <c r="M52" i="8" s="1"/>
  <c r="L52" i="8"/>
  <c r="A52" i="8"/>
  <c r="N51" i="8" a="1"/>
  <c r="N51" i="8" s="1"/>
  <c r="M51" i="8" a="1"/>
  <c r="M51" i="8" s="1"/>
  <c r="L51" i="8"/>
  <c r="A51" i="8"/>
  <c r="N50" i="8" a="1"/>
  <c r="N50" i="8" s="1"/>
  <c r="M50" i="8" a="1"/>
  <c r="M50" i="8" s="1"/>
  <c r="L50" i="8"/>
  <c r="A50" i="8"/>
  <c r="N49" i="8" a="1"/>
  <c r="N49" i="8" s="1"/>
  <c r="M49" i="8" a="1"/>
  <c r="M49" i="8" s="1"/>
  <c r="L49" i="8"/>
  <c r="A49" i="8"/>
  <c r="N48" i="8" a="1"/>
  <c r="N48" i="8" s="1"/>
  <c r="M48" i="8" a="1"/>
  <c r="M48" i="8" s="1"/>
  <c r="L48" i="8"/>
  <c r="A48" i="8"/>
  <c r="N47" i="8" a="1"/>
  <c r="N47" i="8" s="1"/>
  <c r="M47" i="8" a="1"/>
  <c r="M47" i="8" s="1"/>
  <c r="L47" i="8"/>
  <c r="A47" i="8"/>
  <c r="N46" i="8" a="1"/>
  <c r="N46" i="8" s="1"/>
  <c r="M46" i="8" a="1"/>
  <c r="M46" i="8" s="1"/>
  <c r="L46" i="8"/>
  <c r="A46" i="8"/>
  <c r="N45" i="8" a="1"/>
  <c r="N45" i="8" s="1"/>
  <c r="M45" i="8" a="1"/>
  <c r="M45" i="8" s="1"/>
  <c r="L45" i="8"/>
  <c r="A45" i="8"/>
  <c r="N44" i="8" a="1"/>
  <c r="N44" i="8" s="1"/>
  <c r="M44" i="8" a="1"/>
  <c r="M44" i="8" s="1"/>
  <c r="L44" i="8"/>
  <c r="A44" i="8"/>
  <c r="N43" i="8" a="1"/>
  <c r="N43" i="8" s="1"/>
  <c r="M43" i="8" a="1"/>
  <c r="M43" i="8" s="1"/>
  <c r="L43" i="8"/>
  <c r="A43" i="8"/>
  <c r="N42" i="8" a="1"/>
  <c r="N42" i="8" s="1"/>
  <c r="M42" i="8" a="1"/>
  <c r="M42" i="8" s="1"/>
  <c r="L42" i="8"/>
  <c r="A42" i="8"/>
  <c r="N41" i="8" a="1"/>
  <c r="N41" i="8" s="1"/>
  <c r="M41" i="8" a="1"/>
  <c r="M41" i="8" s="1"/>
  <c r="L41" i="8"/>
  <c r="A41" i="8"/>
  <c r="N40" i="8" a="1"/>
  <c r="N40" i="8" s="1"/>
  <c r="M40" i="8" a="1"/>
  <c r="M40" i="8" s="1"/>
  <c r="L40" i="8"/>
  <c r="A40" i="8"/>
  <c r="N39" i="8" a="1"/>
  <c r="N39" i="8" s="1"/>
  <c r="M39" i="8" a="1"/>
  <c r="M39" i="8" s="1"/>
  <c r="L39" i="8"/>
  <c r="A39" i="8"/>
  <c r="N38" i="8" a="1"/>
  <c r="N38" i="8" s="1"/>
  <c r="M38" i="8" a="1"/>
  <c r="M38" i="8" s="1"/>
  <c r="L38" i="8"/>
  <c r="A38" i="8"/>
  <c r="N37" i="8" a="1"/>
  <c r="N37" i="8" s="1"/>
  <c r="M37" i="8" a="1"/>
  <c r="M37" i="8" s="1"/>
  <c r="L37" i="8"/>
  <c r="A37" i="8"/>
  <c r="N36" i="8" a="1"/>
  <c r="N36" i="8" s="1"/>
  <c r="M36" i="8" a="1"/>
  <c r="M36" i="8" s="1"/>
  <c r="L36" i="8"/>
  <c r="A36" i="8"/>
  <c r="N35" i="8" a="1"/>
  <c r="N35" i="8" s="1"/>
  <c r="M35" i="8" a="1"/>
  <c r="M35" i="8" s="1"/>
  <c r="L35" i="8"/>
  <c r="A35" i="8"/>
  <c r="N34" i="8" a="1"/>
  <c r="N34" i="8" s="1"/>
  <c r="M34" i="8" a="1"/>
  <c r="M34" i="8" s="1"/>
  <c r="L34" i="8"/>
  <c r="A34" i="8"/>
  <c r="N33" i="8" a="1"/>
  <c r="N33" i="8" s="1"/>
  <c r="M33" i="8" a="1"/>
  <c r="M33" i="8" s="1"/>
  <c r="L33" i="8"/>
  <c r="A33" i="8"/>
  <c r="N32" i="8" a="1"/>
  <c r="N32" i="8" s="1"/>
  <c r="M32" i="8" a="1"/>
  <c r="M32" i="8" s="1"/>
  <c r="L32" i="8"/>
  <c r="A32" i="8"/>
  <c r="N31" i="8" a="1"/>
  <c r="N31" i="8" s="1"/>
  <c r="M31" i="8" a="1"/>
  <c r="M31" i="8" s="1"/>
  <c r="L31" i="8"/>
  <c r="A31" i="8"/>
  <c r="N30" i="8" a="1"/>
  <c r="N30" i="8" s="1"/>
  <c r="M30" i="8" a="1"/>
  <c r="M30" i="8" s="1"/>
  <c r="L30" i="8"/>
  <c r="A30" i="8"/>
  <c r="N29" i="8" a="1"/>
  <c r="N29" i="8" s="1"/>
  <c r="M29" i="8" a="1"/>
  <c r="M29" i="8" s="1"/>
  <c r="L29" i="8"/>
  <c r="A29" i="8"/>
  <c r="N28" i="8" a="1"/>
  <c r="N28" i="8" s="1"/>
  <c r="M28" i="8" a="1"/>
  <c r="M28" i="8" s="1"/>
  <c r="L28" i="8"/>
  <c r="A28" i="8"/>
  <c r="N27" i="8" a="1"/>
  <c r="N27" i="8" s="1"/>
  <c r="M27" i="8" a="1"/>
  <c r="M27" i="8" s="1"/>
  <c r="L27" i="8"/>
  <c r="A27" i="8"/>
  <c r="N26" i="8" a="1"/>
  <c r="N26" i="8" s="1"/>
  <c r="M26" i="8" a="1"/>
  <c r="M26" i="8" s="1"/>
  <c r="L26" i="8"/>
  <c r="A26" i="8"/>
  <c r="N25" i="8" a="1"/>
  <c r="N25" i="8" s="1"/>
  <c r="M25" i="8" a="1"/>
  <c r="M25" i="8" s="1"/>
  <c r="L25" i="8"/>
  <c r="A25" i="8"/>
  <c r="N24" i="8" a="1"/>
  <c r="N24" i="8" s="1"/>
  <c r="M24" i="8" a="1"/>
  <c r="M24" i="8" s="1"/>
  <c r="L24" i="8"/>
  <c r="A24" i="8"/>
  <c r="N23" i="8" a="1"/>
  <c r="N23" i="8" s="1"/>
  <c r="M23" i="8" a="1"/>
  <c r="M23" i="8" s="1"/>
  <c r="L23" i="8"/>
  <c r="A23" i="8"/>
  <c r="N22" i="8" a="1"/>
  <c r="N22" i="8" s="1"/>
  <c r="M22" i="8" a="1"/>
  <c r="M22" i="8" s="1"/>
  <c r="L22" i="8"/>
  <c r="A22" i="8"/>
  <c r="N21" i="8" a="1"/>
  <c r="N21" i="8" s="1"/>
  <c r="M21" i="8" a="1"/>
  <c r="M21" i="8" s="1"/>
  <c r="L21" i="8"/>
  <c r="A21" i="8"/>
  <c r="N20" i="8" a="1"/>
  <c r="N20" i="8" s="1"/>
  <c r="M20" i="8" a="1"/>
  <c r="M20" i="8" s="1"/>
  <c r="L20" i="8"/>
  <c r="A20" i="8"/>
  <c r="N19" i="8" a="1"/>
  <c r="N19" i="8" s="1"/>
  <c r="M19" i="8" a="1"/>
  <c r="M19" i="8" s="1"/>
  <c r="L19" i="8"/>
  <c r="A19" i="8"/>
  <c r="N18" i="8" a="1"/>
  <c r="N18" i="8" s="1"/>
  <c r="M18" i="8" a="1"/>
  <c r="M18" i="8" s="1"/>
  <c r="L18" i="8"/>
  <c r="A18" i="8"/>
  <c r="L17" i="8"/>
  <c r="A17" i="8"/>
  <c r="N17" i="8" s="1" a="1"/>
  <c r="N17" i="8" s="1"/>
  <c r="N16" i="8" a="1"/>
  <c r="N16" i="8" s="1"/>
  <c r="M16" i="8" a="1"/>
  <c r="M16" i="8" s="1"/>
  <c r="L16" i="8"/>
  <c r="A16" i="8"/>
  <c r="L16" i="3"/>
  <c r="L17" i="3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N251" i="3" a="1"/>
  <c r="N251" i="3" s="1"/>
  <c r="N252" i="3" a="1"/>
  <c r="N252" i="3" s="1"/>
  <c r="N253" i="3" a="1"/>
  <c r="N253" i="3" s="1"/>
  <c r="N254" i="3" a="1"/>
  <c r="N254" i="3" s="1"/>
  <c r="N255" i="3" a="1"/>
  <c r="N255" i="3" s="1"/>
  <c r="N256" i="3" a="1"/>
  <c r="N256" i="3" s="1"/>
  <c r="N257" i="3" a="1"/>
  <c r="N257" i="3" s="1"/>
  <c r="N258" i="3" a="1"/>
  <c r="N258" i="3" s="1"/>
  <c r="N259" i="3" a="1"/>
  <c r="N259" i="3" s="1"/>
  <c r="N260" i="3" a="1"/>
  <c r="N260" i="3" s="1"/>
  <c r="N261" i="3" a="1"/>
  <c r="N261" i="3" s="1"/>
  <c r="N262" i="3" a="1"/>
  <c r="N262" i="3" s="1"/>
  <c r="N263" i="3" a="1"/>
  <c r="N263" i="3" s="1"/>
  <c r="N264" i="3" a="1"/>
  <c r="N264" i="3" s="1"/>
  <c r="N265" i="3" a="1"/>
  <c r="N265" i="3" s="1"/>
  <c r="N266" i="3" a="1"/>
  <c r="N266" i="3" s="1"/>
  <c r="N267" i="3" a="1"/>
  <c r="N267" i="3" s="1"/>
  <c r="N268" i="3" a="1"/>
  <c r="N268" i="3" s="1"/>
  <c r="N269" i="3" a="1"/>
  <c r="N269" i="3" s="1"/>
  <c r="N270" i="3" a="1"/>
  <c r="N270" i="3" s="1"/>
  <c r="N271" i="3" a="1"/>
  <c r="N271" i="3" s="1"/>
  <c r="N272" i="3" a="1"/>
  <c r="N272" i="3" s="1"/>
  <c r="N273" i="3" a="1"/>
  <c r="N273" i="3" s="1"/>
  <c r="N274" i="3" a="1"/>
  <c r="N274" i="3" s="1"/>
  <c r="N275" i="3" a="1"/>
  <c r="N275" i="3" s="1"/>
  <c r="N276" i="3" a="1"/>
  <c r="N276" i="3" s="1"/>
  <c r="N277" i="3" a="1"/>
  <c r="N277" i="3" s="1"/>
  <c r="N278" i="3" a="1"/>
  <c r="N278" i="3" s="1"/>
  <c r="N279" i="3" a="1"/>
  <c r="N279" i="3" s="1"/>
  <c r="N280" i="3" a="1"/>
  <c r="N280" i="3" s="1"/>
  <c r="N281" i="3" a="1"/>
  <c r="N281" i="3" s="1"/>
  <c r="N282" i="3" a="1"/>
  <c r="N282" i="3" s="1"/>
  <c r="N283" i="3" a="1"/>
  <c r="N283" i="3" s="1"/>
  <c r="N284" i="3" a="1"/>
  <c r="N284" i="3" s="1"/>
  <c r="N285" i="3" a="1"/>
  <c r="N285" i="3" s="1"/>
  <c r="N286" i="3" a="1"/>
  <c r="N286" i="3" s="1"/>
  <c r="N287" i="3" a="1"/>
  <c r="N287" i="3" s="1"/>
  <c r="N288" i="3" a="1"/>
  <c r="N288" i="3" s="1"/>
  <c r="N289" i="3" a="1"/>
  <c r="N289" i="3" s="1"/>
  <c r="N290" i="3" a="1"/>
  <c r="N290" i="3" s="1"/>
  <c r="N291" i="3" a="1"/>
  <c r="N291" i="3" s="1"/>
  <c r="N292" i="3" a="1"/>
  <c r="N292" i="3" s="1"/>
  <c r="N293" i="3" a="1"/>
  <c r="N293" i="3" s="1"/>
  <c r="N294" i="3" a="1"/>
  <c r="N294" i="3" s="1"/>
  <c r="N295" i="3" a="1"/>
  <c r="N295" i="3" s="1"/>
  <c r="N296" i="3" a="1"/>
  <c r="N296" i="3" s="1"/>
  <c r="N297" i="3" a="1"/>
  <c r="N297" i="3" s="1"/>
  <c r="N298" i="3" a="1"/>
  <c r="N298" i="3" s="1"/>
  <c r="N299" i="3" a="1"/>
  <c r="N299" i="3" s="1"/>
  <c r="N300" i="3" a="1"/>
  <c r="N300" i="3" s="1"/>
  <c r="N301" i="3" a="1"/>
  <c r="N301" i="3" s="1"/>
  <c r="N302" i="3" a="1"/>
  <c r="N302" i="3" s="1"/>
  <c r="N303" i="3" a="1"/>
  <c r="N303" i="3" s="1"/>
  <c r="N304" i="3" a="1"/>
  <c r="N304" i="3" s="1"/>
  <c r="N305" i="3" a="1"/>
  <c r="N305" i="3" s="1"/>
  <c r="N306" i="3" a="1"/>
  <c r="N306" i="3" s="1"/>
  <c r="N307" i="3" a="1"/>
  <c r="N307" i="3" s="1"/>
  <c r="N308" i="3" a="1"/>
  <c r="N308" i="3" s="1"/>
  <c r="N309" i="3" a="1"/>
  <c r="N309" i="3" s="1"/>
  <c r="N310" i="3" a="1"/>
  <c r="N310" i="3" s="1"/>
  <c r="N311" i="3" a="1"/>
  <c r="N311" i="3" s="1"/>
  <c r="N312" i="3" a="1"/>
  <c r="N312" i="3" s="1"/>
  <c r="N313" i="3" a="1"/>
  <c r="N313" i="3" s="1"/>
  <c r="N314" i="3" a="1"/>
  <c r="N314" i="3" s="1"/>
  <c r="N315" i="3" a="1"/>
  <c r="N315" i="3" s="1"/>
  <c r="N316" i="3" a="1"/>
  <c r="N316" i="3" s="1"/>
  <c r="N317" i="3" a="1"/>
  <c r="N317" i="3" s="1"/>
  <c r="N318" i="3" a="1"/>
  <c r="N318" i="3" s="1"/>
  <c r="N319" i="3" a="1"/>
  <c r="N319" i="3" s="1"/>
  <c r="N320" i="3" a="1"/>
  <c r="N320" i="3" s="1"/>
  <c r="N321" i="3" a="1"/>
  <c r="N321" i="3" s="1"/>
  <c r="N322" i="3" a="1"/>
  <c r="N322" i="3" s="1"/>
  <c r="N323" i="3" a="1"/>
  <c r="N323" i="3" s="1"/>
  <c r="N324" i="3" a="1"/>
  <c r="N324" i="3" s="1"/>
  <c r="N325" i="3" a="1"/>
  <c r="N325" i="3" s="1"/>
  <c r="N326" i="3" a="1"/>
  <c r="N326" i="3" s="1"/>
  <c r="N327" i="3" a="1"/>
  <c r="N327" i="3" s="1"/>
  <c r="N328" i="3" a="1"/>
  <c r="N328" i="3" s="1"/>
  <c r="N329" i="3" a="1"/>
  <c r="N329" i="3" s="1"/>
  <c r="N330" i="3" a="1"/>
  <c r="N330" i="3" s="1"/>
  <c r="N331" i="3" a="1"/>
  <c r="N331" i="3" s="1"/>
  <c r="N332" i="3" a="1"/>
  <c r="N332" i="3" s="1"/>
  <c r="N333" i="3" a="1"/>
  <c r="N333" i="3" s="1"/>
  <c r="N334" i="3" a="1"/>
  <c r="N334" i="3" s="1"/>
  <c r="N335" i="3" a="1"/>
  <c r="N335" i="3" s="1"/>
  <c r="N336" i="3" a="1"/>
  <c r="N336" i="3" s="1"/>
  <c r="N337" i="3" a="1"/>
  <c r="N337" i="3" s="1"/>
  <c r="N338" i="3" a="1"/>
  <c r="N338" i="3" s="1"/>
  <c r="N339" i="3" a="1"/>
  <c r="N339" i="3" s="1"/>
  <c r="N340" i="3" a="1"/>
  <c r="N340" i="3" s="1"/>
  <c r="N341" i="3" a="1"/>
  <c r="N341" i="3" s="1"/>
  <c r="N342" i="3" a="1"/>
  <c r="N342" i="3" s="1"/>
  <c r="N343" i="3" a="1"/>
  <c r="N343" i="3" s="1"/>
  <c r="N344" i="3" a="1"/>
  <c r="N344" i="3" s="1"/>
  <c r="N345" i="3" a="1"/>
  <c r="N345" i="3" s="1"/>
  <c r="N346" i="3" a="1"/>
  <c r="N346" i="3" s="1"/>
  <c r="N347" i="3" a="1"/>
  <c r="N347" i="3" s="1"/>
  <c r="N348" i="3" a="1"/>
  <c r="N348" i="3" s="1"/>
  <c r="N349" i="3" a="1"/>
  <c r="N349" i="3" s="1"/>
  <c r="N350" i="3" a="1"/>
  <c r="N350" i="3" s="1"/>
  <c r="N351" i="3" a="1"/>
  <c r="N351" i="3" s="1"/>
  <c r="N352" i="3" a="1"/>
  <c r="N352" i="3" s="1"/>
  <c r="N353" i="3" a="1"/>
  <c r="N353" i="3" s="1"/>
  <c r="N354" i="3" a="1"/>
  <c r="N354" i="3" s="1"/>
  <c r="N355" i="3" a="1"/>
  <c r="N355" i="3" s="1"/>
  <c r="N356" i="3" a="1"/>
  <c r="N356" i="3" s="1"/>
  <c r="N357" i="3" a="1"/>
  <c r="N357" i="3" s="1"/>
  <c r="N358" i="3" a="1"/>
  <c r="N358" i="3" s="1"/>
  <c r="N359" i="3" a="1"/>
  <c r="N359" i="3" s="1"/>
  <c r="N360" i="3" a="1"/>
  <c r="N360" i="3" s="1"/>
  <c r="N361" i="3" a="1"/>
  <c r="N361" i="3" s="1"/>
  <c r="N362" i="3" a="1"/>
  <c r="N362" i="3" s="1"/>
  <c r="N363" i="3" a="1"/>
  <c r="N363" i="3" s="1"/>
  <c r="N364" i="3" a="1"/>
  <c r="N364" i="3" s="1"/>
  <c r="N365" i="3" a="1"/>
  <c r="N365" i="3" s="1"/>
  <c r="N366" i="3" a="1"/>
  <c r="N366" i="3" s="1"/>
  <c r="N367" i="3" a="1"/>
  <c r="N367" i="3" s="1"/>
  <c r="N368" i="3" a="1"/>
  <c r="N368" i="3" s="1"/>
  <c r="N369" i="3" a="1"/>
  <c r="N369" i="3" s="1"/>
  <c r="N370" i="3" a="1"/>
  <c r="N370" i="3" s="1"/>
  <c r="N371" i="3" a="1"/>
  <c r="N371" i="3" s="1"/>
  <c r="N372" i="3" a="1"/>
  <c r="N372" i="3" s="1"/>
  <c r="N373" i="3" a="1"/>
  <c r="N373" i="3" s="1"/>
  <c r="N374" i="3" a="1"/>
  <c r="N374" i="3" s="1"/>
  <c r="N375" i="3" a="1"/>
  <c r="N375" i="3" s="1"/>
  <c r="N376" i="3" a="1"/>
  <c r="N376" i="3" s="1"/>
  <c r="N377" i="3" a="1"/>
  <c r="N377" i="3" s="1"/>
  <c r="N378" i="3" a="1"/>
  <c r="N378" i="3" s="1"/>
  <c r="N379" i="3" a="1"/>
  <c r="N379" i="3" s="1"/>
  <c r="N380" i="3" a="1"/>
  <c r="N380" i="3" s="1"/>
  <c r="N381" i="3" a="1"/>
  <c r="N381" i="3" s="1"/>
  <c r="N382" i="3" a="1"/>
  <c r="N382" i="3" s="1"/>
  <c r="N383" i="3" a="1"/>
  <c r="N383" i="3" s="1"/>
  <c r="N384" i="3" a="1"/>
  <c r="N384" i="3" s="1"/>
  <c r="N385" i="3" a="1"/>
  <c r="N385" i="3" s="1"/>
  <c r="N386" i="3" a="1"/>
  <c r="N386" i="3" s="1"/>
  <c r="N387" i="3" a="1"/>
  <c r="N387" i="3" s="1"/>
  <c r="N388" i="3" a="1"/>
  <c r="N388" i="3" s="1"/>
  <c r="N389" i="3" a="1"/>
  <c r="N389" i="3" s="1"/>
  <c r="N390" i="3" a="1"/>
  <c r="N390" i="3" s="1"/>
  <c r="N391" i="3" a="1"/>
  <c r="N391" i="3" s="1"/>
  <c r="N392" i="3" a="1"/>
  <c r="N392" i="3" s="1"/>
  <c r="N393" i="3" a="1"/>
  <c r="N393" i="3" s="1"/>
  <c r="N394" i="3" a="1"/>
  <c r="N394" i="3" s="1"/>
  <c r="N395" i="3" a="1"/>
  <c r="N395" i="3" s="1"/>
  <c r="N396" i="3" a="1"/>
  <c r="N396" i="3" s="1"/>
  <c r="N397" i="3" a="1"/>
  <c r="N397" i="3" s="1"/>
  <c r="N398" i="3" a="1"/>
  <c r="N398" i="3" s="1"/>
  <c r="N399" i="3" a="1"/>
  <c r="N399" i="3" s="1"/>
  <c r="N400" i="3" a="1"/>
  <c r="N400" i="3" s="1"/>
  <c r="N401" i="3" a="1"/>
  <c r="N401" i="3" s="1"/>
  <c r="N402" i="3" a="1"/>
  <c r="N402" i="3" s="1"/>
  <c r="N403" i="3" a="1"/>
  <c r="N403" i="3" s="1"/>
  <c r="N404" i="3" a="1"/>
  <c r="N404" i="3" s="1"/>
  <c r="N405" i="3" a="1"/>
  <c r="N405" i="3" s="1"/>
  <c r="N406" i="3" a="1"/>
  <c r="N406" i="3" s="1"/>
  <c r="N407" i="3" a="1"/>
  <c r="N407" i="3" s="1"/>
  <c r="N408" i="3" a="1"/>
  <c r="N408" i="3" s="1"/>
  <c r="N409" i="3" a="1"/>
  <c r="N409" i="3" s="1"/>
  <c r="N410" i="3" a="1"/>
  <c r="N410" i="3" s="1"/>
  <c r="N411" i="3" a="1"/>
  <c r="N411" i="3" s="1"/>
  <c r="N412" i="3" a="1"/>
  <c r="N412" i="3" s="1"/>
  <c r="N413" i="3" a="1"/>
  <c r="N413" i="3" s="1"/>
  <c r="N414" i="3" a="1"/>
  <c r="N414" i="3" s="1"/>
  <c r="N415" i="3" a="1"/>
  <c r="N415" i="3" s="1"/>
  <c r="N416" i="3" a="1"/>
  <c r="N416" i="3" s="1"/>
  <c r="N417" i="3" a="1"/>
  <c r="N417" i="3" s="1"/>
  <c r="N418" i="3" a="1"/>
  <c r="N418" i="3" s="1"/>
  <c r="N419" i="3" a="1"/>
  <c r="N419" i="3" s="1"/>
  <c r="N420" i="3" a="1"/>
  <c r="N420" i="3" s="1"/>
  <c r="N421" i="3" a="1"/>
  <c r="N421" i="3" s="1"/>
  <c r="N422" i="3" a="1"/>
  <c r="N422" i="3" s="1"/>
  <c r="N423" i="3" a="1"/>
  <c r="N423" i="3" s="1"/>
  <c r="N424" i="3" a="1"/>
  <c r="N424" i="3" s="1"/>
  <c r="N425" i="3" a="1"/>
  <c r="N425" i="3" s="1"/>
  <c r="N426" i="3" a="1"/>
  <c r="N426" i="3" s="1"/>
  <c r="N427" i="3" a="1"/>
  <c r="N427" i="3" s="1"/>
  <c r="N428" i="3" a="1"/>
  <c r="N428" i="3" s="1"/>
  <c r="N429" i="3" a="1"/>
  <c r="N429" i="3" s="1"/>
  <c r="N430" i="3" a="1"/>
  <c r="N430" i="3" s="1"/>
  <c r="N431" i="3" a="1"/>
  <c r="N431" i="3" s="1"/>
  <c r="N432" i="3" a="1"/>
  <c r="N432" i="3" s="1"/>
  <c r="N433" i="3" a="1"/>
  <c r="N433" i="3" s="1"/>
  <c r="N434" i="3" a="1"/>
  <c r="N434" i="3" s="1"/>
  <c r="N435" i="3" a="1"/>
  <c r="N435" i="3" s="1"/>
  <c r="N436" i="3" a="1"/>
  <c r="N436" i="3" s="1"/>
  <c r="N437" i="3" a="1"/>
  <c r="N437" i="3" s="1"/>
  <c r="N438" i="3" a="1"/>
  <c r="N438" i="3" s="1"/>
  <c r="N439" i="3" a="1"/>
  <c r="N439" i="3" s="1"/>
  <c r="N440" i="3" a="1"/>
  <c r="N440" i="3" s="1"/>
  <c r="N441" i="3" a="1"/>
  <c r="N441" i="3" s="1"/>
  <c r="N442" i="3" a="1"/>
  <c r="N442" i="3" s="1"/>
  <c r="N443" i="3" a="1"/>
  <c r="N443" i="3" s="1"/>
  <c r="N444" i="3" a="1"/>
  <c r="N444" i="3" s="1"/>
  <c r="N445" i="3" a="1"/>
  <c r="N445" i="3" s="1"/>
  <c r="N446" i="3" a="1"/>
  <c r="N446" i="3" s="1"/>
  <c r="N447" i="3" a="1"/>
  <c r="N447" i="3" s="1"/>
  <c r="N448" i="3" a="1"/>
  <c r="N448" i="3" s="1"/>
  <c r="N449" i="3" a="1"/>
  <c r="N449" i="3" s="1"/>
  <c r="N450" i="3" a="1"/>
  <c r="N450" i="3" s="1"/>
  <c r="N451" i="3" a="1"/>
  <c r="N451" i="3" s="1"/>
  <c r="N452" i="3" a="1"/>
  <c r="N452" i="3" s="1"/>
  <c r="N453" i="3" a="1"/>
  <c r="N453" i="3" s="1"/>
  <c r="N454" i="3" a="1"/>
  <c r="N454" i="3" s="1"/>
  <c r="N455" i="3" a="1"/>
  <c r="N455" i="3" s="1"/>
  <c r="N456" i="3" a="1"/>
  <c r="N456" i="3" s="1"/>
  <c r="N457" i="3" a="1"/>
  <c r="N457" i="3" s="1"/>
  <c r="N458" i="3" a="1"/>
  <c r="N458" i="3" s="1"/>
  <c r="N459" i="3" a="1"/>
  <c r="N459" i="3" s="1"/>
  <c r="N460" i="3" a="1"/>
  <c r="N460" i="3" s="1"/>
  <c r="N461" i="3" a="1"/>
  <c r="N461" i="3" s="1"/>
  <c r="N462" i="3" a="1"/>
  <c r="N462" i="3" s="1"/>
  <c r="N463" i="3" a="1"/>
  <c r="N463" i="3" s="1"/>
  <c r="N464" i="3" a="1"/>
  <c r="N464" i="3" s="1"/>
  <c r="N465" i="3" a="1"/>
  <c r="N465" i="3" s="1"/>
  <c r="N466" i="3" a="1"/>
  <c r="N466" i="3" s="1"/>
  <c r="N467" i="3" a="1"/>
  <c r="N467" i="3" s="1"/>
  <c r="N468" i="3" a="1"/>
  <c r="N468" i="3" s="1"/>
  <c r="N469" i="3" a="1"/>
  <c r="N469" i="3" s="1"/>
  <c r="N470" i="3" a="1"/>
  <c r="N470" i="3" s="1"/>
  <c r="N471" i="3" a="1"/>
  <c r="N471" i="3" s="1"/>
  <c r="N472" i="3" a="1"/>
  <c r="N472" i="3" s="1"/>
  <c r="N473" i="3" a="1"/>
  <c r="N473" i="3" s="1"/>
  <c r="N474" i="3" a="1"/>
  <c r="N474" i="3" s="1"/>
  <c r="N475" i="3" a="1"/>
  <c r="N475" i="3" s="1"/>
  <c r="N476" i="3" a="1"/>
  <c r="N476" i="3" s="1"/>
  <c r="N477" i="3" a="1"/>
  <c r="N477" i="3" s="1"/>
  <c r="N478" i="3" a="1"/>
  <c r="N478" i="3" s="1"/>
  <c r="N479" i="3" a="1"/>
  <c r="N479" i="3" s="1"/>
  <c r="N480" i="3" a="1"/>
  <c r="N480" i="3" s="1"/>
  <c r="N481" i="3" a="1"/>
  <c r="N481" i="3" s="1"/>
  <c r="N482" i="3" a="1"/>
  <c r="N482" i="3" s="1"/>
  <c r="N483" i="3" a="1"/>
  <c r="N483" i="3" s="1"/>
  <c r="N484" i="3" a="1"/>
  <c r="N484" i="3" s="1"/>
  <c r="N485" i="3" a="1"/>
  <c r="N485" i="3" s="1"/>
  <c r="N486" i="3" a="1"/>
  <c r="N486" i="3" s="1"/>
  <c r="N487" i="3" a="1"/>
  <c r="N487" i="3" s="1"/>
  <c r="N488" i="3" a="1"/>
  <c r="N488" i="3" s="1"/>
  <c r="N489" i="3" a="1"/>
  <c r="N489" i="3" s="1"/>
  <c r="N490" i="3" a="1"/>
  <c r="N490" i="3" s="1"/>
  <c r="N491" i="3" a="1"/>
  <c r="N491" i="3" s="1"/>
  <c r="N492" i="3" a="1"/>
  <c r="N492" i="3" s="1"/>
  <c r="N493" i="3" a="1"/>
  <c r="N493" i="3" s="1"/>
  <c r="N494" i="3" a="1"/>
  <c r="N494" i="3" s="1"/>
  <c r="N495" i="3" a="1"/>
  <c r="N495" i="3" s="1"/>
  <c r="N496" i="3" a="1"/>
  <c r="N496" i="3" s="1"/>
  <c r="N497" i="3" a="1"/>
  <c r="N497" i="3" s="1"/>
  <c r="N498" i="3" a="1"/>
  <c r="N498" i="3" s="1"/>
  <c r="N499" i="3" a="1"/>
  <c r="N499" i="3" s="1"/>
  <c r="N500" i="3" a="1"/>
  <c r="N500" i="3" s="1"/>
  <c r="N501" i="3" a="1"/>
  <c r="N501" i="3" s="1"/>
  <c r="N502" i="3" a="1"/>
  <c r="N502" i="3" s="1"/>
  <c r="N503" i="3" a="1"/>
  <c r="N503" i="3" s="1"/>
  <c r="N504" i="3" a="1"/>
  <c r="N504" i="3" s="1"/>
  <c r="N505" i="3" a="1"/>
  <c r="N505" i="3" s="1"/>
  <c r="N506" i="3" a="1"/>
  <c r="N506" i="3" s="1"/>
  <c r="N507" i="3" a="1"/>
  <c r="N507" i="3" s="1"/>
  <c r="N508" i="3" a="1"/>
  <c r="N508" i="3" s="1"/>
  <c r="N509" i="3" a="1"/>
  <c r="N509" i="3" s="1"/>
  <c r="N510" i="3" a="1"/>
  <c r="N510" i="3" s="1"/>
  <c r="N511" i="3" a="1"/>
  <c r="N511" i="3" s="1"/>
  <c r="N512" i="3" a="1"/>
  <c r="N512" i="3" s="1"/>
  <c r="N513" i="3" a="1"/>
  <c r="N513" i="3" s="1"/>
  <c r="M17" i="8" l="1" a="1"/>
  <c r="M17" i="8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3" i="3" a="1"/>
  <c r="M263" i="3" s="1"/>
  <c r="M264" i="3" a="1"/>
  <c r="M264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3" i="3" a="1"/>
  <c r="M273" i="3" s="1"/>
  <c r="M274" i="3" a="1"/>
  <c r="M274" i="3" s="1"/>
  <c r="M275" i="3" a="1"/>
  <c r="M275" i="3" s="1"/>
  <c r="M276" i="3" a="1"/>
  <c r="M276" i="3" s="1"/>
  <c r="M277" i="3" a="1"/>
  <c r="M277" i="3" s="1"/>
  <c r="M278" i="3" a="1"/>
  <c r="M278" i="3" s="1"/>
  <c r="M279" i="3" a="1"/>
  <c r="M279" i="3" s="1"/>
  <c r="M280" i="3" a="1"/>
  <c r="M280" i="3" s="1"/>
  <c r="M281" i="3" a="1"/>
  <c r="M281" i="3" s="1"/>
  <c r="M282" i="3" a="1"/>
  <c r="M282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89" i="3" a="1"/>
  <c r="M289" i="3" s="1"/>
  <c r="M290" i="3" a="1"/>
  <c r="M290" i="3" s="1"/>
  <c r="M291" i="3" a="1"/>
  <c r="M291" i="3" s="1"/>
  <c r="M292" i="3" a="1"/>
  <c r="M292" i="3" s="1"/>
  <c r="M293" i="3" a="1"/>
  <c r="M293" i="3" s="1"/>
  <c r="M294" i="3" a="1"/>
  <c r="M294" i="3" s="1"/>
  <c r="M295" i="3" a="1"/>
  <c r="M295" i="3" s="1"/>
  <c r="M296" i="3" a="1"/>
  <c r="M296" i="3" s="1"/>
  <c r="M297" i="3" a="1"/>
  <c r="M297" i="3" s="1"/>
  <c r="M298" i="3" a="1"/>
  <c r="M298" i="3" s="1"/>
  <c r="M299" i="3" a="1"/>
  <c r="M299" i="3" s="1"/>
  <c r="M300" i="3" a="1"/>
  <c r="M300" i="3" s="1"/>
  <c r="M301" i="3" a="1"/>
  <c r="M301" i="3" s="1"/>
  <c r="M302" i="3" a="1"/>
  <c r="M302" i="3" s="1"/>
  <c r="M303" i="3" a="1"/>
  <c r="M303" i="3" s="1"/>
  <c r="M304" i="3" a="1"/>
  <c r="M304" i="3" s="1"/>
  <c r="M305" i="3" a="1"/>
  <c r="M305" i="3" s="1"/>
  <c r="M306" i="3" a="1"/>
  <c r="M306" i="3" s="1"/>
  <c r="M307" i="3" a="1"/>
  <c r="M307" i="3" s="1"/>
  <c r="M308" i="3" a="1"/>
  <c r="M308" i="3" s="1"/>
  <c r="M309" i="3" a="1"/>
  <c r="M309" i="3" s="1"/>
  <c r="M310" i="3" a="1"/>
  <c r="M310" i="3" s="1"/>
  <c r="M311" i="3" a="1"/>
  <c r="M311" i="3" s="1"/>
  <c r="M312" i="3" a="1"/>
  <c r="M312" i="3" s="1"/>
  <c r="M313" i="3" a="1"/>
  <c r="M313" i="3" s="1"/>
  <c r="M314" i="3" a="1"/>
  <c r="M314" i="3" s="1"/>
  <c r="M315" i="3" a="1"/>
  <c r="M315" i="3" s="1"/>
  <c r="M316" i="3" a="1"/>
  <c r="M316" i="3" s="1"/>
  <c r="M317" i="3" a="1"/>
  <c r="M317" i="3" s="1"/>
  <c r="M318" i="3" a="1"/>
  <c r="M318" i="3" s="1"/>
  <c r="M319" i="3" a="1"/>
  <c r="M319" i="3" s="1"/>
  <c r="M320" i="3" a="1"/>
  <c r="M320" i="3" s="1"/>
  <c r="M321" i="3" a="1"/>
  <c r="M321" i="3" s="1"/>
  <c r="M322" i="3" a="1"/>
  <c r="M322" i="3" s="1"/>
  <c r="M323" i="3" a="1"/>
  <c r="M323" i="3" s="1"/>
  <c r="M324" i="3" a="1"/>
  <c r="M324" i="3" s="1"/>
  <c r="M325" i="3" a="1"/>
  <c r="M325" i="3" s="1"/>
  <c r="M326" i="3" a="1"/>
  <c r="M326" i="3" s="1"/>
  <c r="M327" i="3" a="1"/>
  <c r="M327" i="3" s="1"/>
  <c r="M328" i="3" a="1"/>
  <c r="M328" i="3" s="1"/>
  <c r="M329" i="3" a="1"/>
  <c r="M329" i="3" s="1"/>
  <c r="M330" i="3" a="1"/>
  <c r="M330" i="3" s="1"/>
  <c r="M331" i="3" a="1"/>
  <c r="M331" i="3" s="1"/>
  <c r="M332" i="3" a="1"/>
  <c r="M332" i="3" s="1"/>
  <c r="M333" i="3" a="1"/>
  <c r="M333" i="3" s="1"/>
  <c r="M334" i="3" a="1"/>
  <c r="M334" i="3" s="1"/>
  <c r="M335" i="3" a="1"/>
  <c r="M335" i="3" s="1"/>
  <c r="M336" i="3" a="1"/>
  <c r="M336" i="3" s="1"/>
  <c r="M337" i="3" a="1"/>
  <c r="M337" i="3" s="1"/>
  <c r="M338" i="3" a="1"/>
  <c r="M338" i="3" s="1"/>
  <c r="M339" i="3" a="1"/>
  <c r="M339" i="3" s="1"/>
  <c r="M340" i="3" a="1"/>
  <c r="M340" i="3" s="1"/>
  <c r="M341" i="3" a="1"/>
  <c r="M341" i="3" s="1"/>
  <c r="M342" i="3" a="1"/>
  <c r="M342" i="3" s="1"/>
  <c r="M343" i="3" a="1"/>
  <c r="M343" i="3" s="1"/>
  <c r="M344" i="3" a="1"/>
  <c r="M344" i="3" s="1"/>
  <c r="M345" i="3" a="1"/>
  <c r="M345" i="3" s="1"/>
  <c r="M346" i="3" a="1"/>
  <c r="M346" i="3" s="1"/>
  <c r="M347" i="3" a="1"/>
  <c r="M347" i="3" s="1"/>
  <c r="M348" i="3" a="1"/>
  <c r="M348" i="3" s="1"/>
  <c r="M349" i="3" a="1"/>
  <c r="M349" i="3" s="1"/>
  <c r="M350" i="3" a="1"/>
  <c r="M350" i="3" s="1"/>
  <c r="M351" i="3" a="1"/>
  <c r="M351" i="3" s="1"/>
  <c r="M352" i="3" a="1"/>
  <c r="M352" i="3" s="1"/>
  <c r="M353" i="3" a="1"/>
  <c r="M353" i="3" s="1"/>
  <c r="M354" i="3" a="1"/>
  <c r="M354" i="3" s="1"/>
  <c r="M355" i="3" a="1"/>
  <c r="M355" i="3" s="1"/>
  <c r="M356" i="3" a="1"/>
  <c r="M356" i="3" s="1"/>
  <c r="M357" i="3" a="1"/>
  <c r="M357" i="3" s="1"/>
  <c r="M358" i="3" a="1"/>
  <c r="M358" i="3" s="1"/>
  <c r="M359" i="3" a="1"/>
  <c r="M359" i="3" s="1"/>
  <c r="M360" i="3" a="1"/>
  <c r="M360" i="3" s="1"/>
  <c r="M361" i="3" a="1"/>
  <c r="M361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68" i="3" a="1"/>
  <c r="M368" i="3" s="1"/>
  <c r="M369" i="3" a="1"/>
  <c r="M369" i="3" s="1"/>
  <c r="M370" i="3" a="1"/>
  <c r="M370" i="3" s="1"/>
  <c r="M371" i="3" a="1"/>
  <c r="M371" i="3" s="1"/>
  <c r="M372" i="3" a="1"/>
  <c r="M372" i="3" s="1"/>
  <c r="M373" i="3" a="1"/>
  <c r="M373" i="3" s="1"/>
  <c r="M374" i="3" a="1"/>
  <c r="M374" i="3" s="1"/>
  <c r="M375" i="3" a="1"/>
  <c r="M375" i="3" s="1"/>
  <c r="M376" i="3" a="1"/>
  <c r="M376" i="3" s="1"/>
  <c r="M377" i="3" a="1"/>
  <c r="M377" i="3" s="1"/>
  <c r="M378" i="3" a="1"/>
  <c r="M378" i="3" s="1"/>
  <c r="M379" i="3" a="1"/>
  <c r="M379" i="3" s="1"/>
  <c r="M380" i="3" a="1"/>
  <c r="M380" i="3" s="1"/>
  <c r="M381" i="3" a="1"/>
  <c r="M381" i="3" s="1"/>
  <c r="M382" i="3" a="1"/>
  <c r="M382" i="3" s="1"/>
  <c r="M383" i="3" a="1"/>
  <c r="M383" i="3" s="1"/>
  <c r="M384" i="3" a="1"/>
  <c r="M384" i="3" s="1"/>
  <c r="M385" i="3" a="1"/>
  <c r="M385" i="3" s="1"/>
  <c r="M386" i="3" a="1"/>
  <c r="M386" i="3" s="1"/>
  <c r="M387" i="3" a="1"/>
  <c r="M387" i="3" s="1"/>
  <c r="M388" i="3" a="1"/>
  <c r="M388" i="3" s="1"/>
  <c r="M389" i="3" a="1"/>
  <c r="M389" i="3" s="1"/>
  <c r="M390" i="3" a="1"/>
  <c r="M390" i="3" s="1"/>
  <c r="M391" i="3" a="1"/>
  <c r="M391" i="3" s="1"/>
  <c r="M392" i="3" a="1"/>
  <c r="M392" i="3" s="1"/>
  <c r="M393" i="3" a="1"/>
  <c r="M393" i="3" s="1"/>
  <c r="M394" i="3" a="1"/>
  <c r="M394" i="3" s="1"/>
  <c r="M395" i="3" a="1"/>
  <c r="M395" i="3" s="1"/>
  <c r="M396" i="3" a="1"/>
  <c r="M396" i="3" s="1"/>
  <c r="M397" i="3" a="1"/>
  <c r="M397" i="3" s="1"/>
  <c r="M398" i="3" a="1"/>
  <c r="M398" i="3" s="1"/>
  <c r="M399" i="3" a="1"/>
  <c r="M399" i="3" s="1"/>
  <c r="M400" i="3" a="1"/>
  <c r="M400" i="3" s="1"/>
  <c r="M401" i="3" a="1"/>
  <c r="M401" i="3" s="1"/>
  <c r="M402" i="3" a="1"/>
  <c r="M402" i="3" s="1"/>
  <c r="M403" i="3" a="1"/>
  <c r="M403" i="3" s="1"/>
  <c r="M404" i="3" a="1"/>
  <c r="M404" i="3" s="1"/>
  <c r="M405" i="3" a="1"/>
  <c r="M405" i="3" s="1"/>
  <c r="M406" i="3" a="1"/>
  <c r="M406" i="3" s="1"/>
  <c r="M407" i="3" a="1"/>
  <c r="M407" i="3" s="1"/>
  <c r="M408" i="3" a="1"/>
  <c r="M408" i="3" s="1"/>
  <c r="M409" i="3" a="1"/>
  <c r="M409" i="3" s="1"/>
  <c r="M410" i="3" a="1"/>
  <c r="M410" i="3" s="1"/>
  <c r="M411" i="3" a="1"/>
  <c r="M411" i="3" s="1"/>
  <c r="M412" i="3" a="1"/>
  <c r="M412" i="3" s="1"/>
  <c r="M413" i="3" a="1"/>
  <c r="M413" i="3" s="1"/>
  <c r="M414" i="3" a="1"/>
  <c r="M414" i="3" s="1"/>
  <c r="M415" i="3" a="1"/>
  <c r="M415" i="3" s="1"/>
  <c r="M416" i="3" a="1"/>
  <c r="M416" i="3" s="1"/>
  <c r="M417" i="3" a="1"/>
  <c r="M417" i="3" s="1"/>
  <c r="M418" i="3" a="1"/>
  <c r="M418" i="3" s="1"/>
  <c r="M419" i="3" a="1"/>
  <c r="M419" i="3" s="1"/>
  <c r="M420" i="3" a="1"/>
  <c r="M420" i="3" s="1"/>
  <c r="M421" i="3" a="1"/>
  <c r="M421" i="3" s="1"/>
  <c r="M422" i="3" a="1"/>
  <c r="M422" i="3" s="1"/>
  <c r="M423" i="3" a="1"/>
  <c r="M423" i="3" s="1"/>
  <c r="M424" i="3" a="1"/>
  <c r="M424" i="3" s="1"/>
  <c r="M425" i="3" a="1"/>
  <c r="M425" i="3" s="1"/>
  <c r="M426" i="3" a="1"/>
  <c r="M426" i="3" s="1"/>
  <c r="M427" i="3" a="1"/>
  <c r="M427" i="3" s="1"/>
  <c r="M428" i="3" a="1"/>
  <c r="M428" i="3" s="1"/>
  <c r="M429" i="3" a="1"/>
  <c r="M429" i="3" s="1"/>
  <c r="M430" i="3" a="1"/>
  <c r="M430" i="3" s="1"/>
  <c r="M431" i="3" a="1"/>
  <c r="M431" i="3" s="1"/>
  <c r="M432" i="3" a="1"/>
  <c r="M432" i="3" s="1"/>
  <c r="M433" i="3" a="1"/>
  <c r="M433" i="3" s="1"/>
  <c r="M434" i="3" a="1"/>
  <c r="M434" i="3" s="1"/>
  <c r="M435" i="3" a="1"/>
  <c r="M435" i="3" s="1"/>
  <c r="M436" i="3" a="1"/>
  <c r="M436" i="3" s="1"/>
  <c r="M437" i="3" a="1"/>
  <c r="M437" i="3" s="1"/>
  <c r="M438" i="3" a="1"/>
  <c r="M438" i="3" s="1"/>
  <c r="M439" i="3" a="1"/>
  <c r="M439" i="3" s="1"/>
  <c r="M440" i="3" a="1"/>
  <c r="M440" i="3" s="1"/>
  <c r="M441" i="3" a="1"/>
  <c r="M441" i="3" s="1"/>
  <c r="M442" i="3" a="1"/>
  <c r="M442" i="3" s="1"/>
  <c r="M443" i="3" a="1"/>
  <c r="M443" i="3" s="1"/>
  <c r="M444" i="3" a="1"/>
  <c r="M444" i="3" s="1"/>
  <c r="M445" i="3" a="1"/>
  <c r="M445" i="3" s="1"/>
  <c r="M446" i="3" a="1"/>
  <c r="M446" i="3" s="1"/>
  <c r="M447" i="3" a="1"/>
  <c r="M447" i="3" s="1"/>
  <c r="M448" i="3" a="1"/>
  <c r="M448" i="3" s="1"/>
  <c r="M449" i="3" a="1"/>
  <c r="M449" i="3" s="1"/>
  <c r="M450" i="3" a="1"/>
  <c r="M450" i="3" s="1"/>
  <c r="M451" i="3" a="1"/>
  <c r="M451" i="3" s="1"/>
  <c r="M452" i="3" a="1"/>
  <c r="M452" i="3" s="1"/>
  <c r="M453" i="3" a="1"/>
  <c r="M453" i="3" s="1"/>
  <c r="M454" i="3" a="1"/>
  <c r="M454" i="3" s="1"/>
  <c r="M455" i="3" a="1"/>
  <c r="M455" i="3" s="1"/>
  <c r="M456" i="3" a="1"/>
  <c r="M456" i="3" s="1"/>
  <c r="M457" i="3" a="1"/>
  <c r="M457" i="3" s="1"/>
  <c r="M458" i="3" a="1"/>
  <c r="M458" i="3" s="1"/>
  <c r="M459" i="3" a="1"/>
  <c r="M459" i="3" s="1"/>
  <c r="M460" i="3" a="1"/>
  <c r="M460" i="3" s="1"/>
  <c r="M461" i="3" a="1"/>
  <c r="M461" i="3" s="1"/>
  <c r="M462" i="3" a="1"/>
  <c r="M462" i="3" s="1"/>
  <c r="M463" i="3" a="1"/>
  <c r="M463" i="3" s="1"/>
  <c r="M464" i="3" a="1"/>
  <c r="M464" i="3" s="1"/>
  <c r="M465" i="3" a="1"/>
  <c r="M465" i="3" s="1"/>
  <c r="M466" i="3" a="1"/>
  <c r="M466" i="3" s="1"/>
  <c r="M467" i="3" a="1"/>
  <c r="M467" i="3" s="1"/>
  <c r="M468" i="3" a="1"/>
  <c r="M468" i="3" s="1"/>
  <c r="M469" i="3" a="1"/>
  <c r="M469" i="3" s="1"/>
  <c r="M470" i="3" a="1"/>
  <c r="M470" i="3" s="1"/>
  <c r="M471" i="3" a="1"/>
  <c r="M471" i="3" s="1"/>
  <c r="M472" i="3" a="1"/>
  <c r="M472" i="3" s="1"/>
  <c r="M473" i="3" a="1"/>
  <c r="M473" i="3" s="1"/>
  <c r="M474" i="3" a="1"/>
  <c r="M474" i="3" s="1"/>
  <c r="M475" i="3" a="1"/>
  <c r="M475" i="3" s="1"/>
  <c r="M476" i="3" a="1"/>
  <c r="M476" i="3" s="1"/>
  <c r="M477" i="3" a="1"/>
  <c r="M477" i="3" s="1"/>
  <c r="M478" i="3" a="1"/>
  <c r="M478" i="3" s="1"/>
  <c r="M479" i="3" a="1"/>
  <c r="M479" i="3" s="1"/>
  <c r="M480" i="3" a="1"/>
  <c r="M480" i="3" s="1"/>
  <c r="M481" i="3" a="1"/>
  <c r="M481" i="3" s="1"/>
  <c r="M482" i="3" a="1"/>
  <c r="M482" i="3" s="1"/>
  <c r="M483" i="3" a="1"/>
  <c r="M483" i="3" s="1"/>
  <c r="M484" i="3" a="1"/>
  <c r="M484" i="3" s="1"/>
  <c r="M485" i="3" a="1"/>
  <c r="M485" i="3" s="1"/>
  <c r="M486" i="3" a="1"/>
  <c r="M486" i="3" s="1"/>
  <c r="M487" i="3" a="1"/>
  <c r="M487" i="3" s="1"/>
  <c r="M488" i="3" a="1"/>
  <c r="M488" i="3" s="1"/>
  <c r="M489" i="3" a="1"/>
  <c r="M489" i="3" s="1"/>
  <c r="M490" i="3" a="1"/>
  <c r="M490" i="3" s="1"/>
  <c r="M491" i="3" a="1"/>
  <c r="M491" i="3" s="1"/>
  <c r="M492" i="3" a="1"/>
  <c r="M492" i="3" s="1"/>
  <c r="M493" i="3" a="1"/>
  <c r="M493" i="3" s="1"/>
  <c r="M494" i="3" a="1"/>
  <c r="M494" i="3" s="1"/>
  <c r="M495" i="3" a="1"/>
  <c r="M495" i="3" s="1"/>
  <c r="M496" i="3" a="1"/>
  <c r="M496" i="3" s="1"/>
  <c r="M497" i="3" a="1"/>
  <c r="M497" i="3" s="1"/>
  <c r="M498" i="3" a="1"/>
  <c r="M498" i="3" s="1"/>
  <c r="M499" i="3" a="1"/>
  <c r="M499" i="3" s="1"/>
  <c r="M500" i="3" a="1"/>
  <c r="M500" i="3" s="1"/>
  <c r="M501" i="3" a="1"/>
  <c r="M501" i="3" s="1"/>
  <c r="M502" i="3" a="1"/>
  <c r="M502" i="3" s="1"/>
  <c r="M503" i="3" a="1"/>
  <c r="M503" i="3" s="1"/>
  <c r="M504" i="3" a="1"/>
  <c r="M504" i="3" s="1"/>
  <c r="M505" i="3" a="1"/>
  <c r="M505" i="3" s="1"/>
  <c r="M506" i="3" a="1"/>
  <c r="M506" i="3" s="1"/>
  <c r="M507" i="3" a="1"/>
  <c r="M507" i="3" s="1"/>
  <c r="M508" i="3" a="1"/>
  <c r="M508" i="3" s="1"/>
  <c r="M509" i="3" a="1"/>
  <c r="M509" i="3" s="1"/>
  <c r="M510" i="3" a="1"/>
  <c r="M510" i="3" s="1"/>
  <c r="M511" i="3" a="1"/>
  <c r="M511" i="3" s="1"/>
  <c r="M512" i="3" a="1"/>
  <c r="M512" i="3" s="1"/>
  <c r="M513" i="3" a="1"/>
  <c r="M513" i="3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N17" i="3" l="1" a="1"/>
  <c r="N17" i="3" s="1"/>
  <c r="M17" i="3" a="1"/>
  <c r="M17" i="3" s="1"/>
  <c r="N16" i="3" a="1"/>
  <c r="N16" i="3" s="1"/>
  <c r="M16" i="3" a="1"/>
  <c r="M16" i="3" s="1"/>
  <c r="L18" i="3" l="1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2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3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4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5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6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7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8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9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0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1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<sst xmlns="http://schemas.openxmlformats.org/spreadsheetml/2006/main" count="44607" uniqueCount="2138">
  <si>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</si>
  <si>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</si>
  <si>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</si>
  <si>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</si>
  <si>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</si>
  <si>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</si>
  <si>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</si>
  <si>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</si>
  <si>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</si>
  <si>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</si>
  <si>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</si>
  <si>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</si>
  <si>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</si>
  <si>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</si>
  <si>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</si>
  <si>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</si>
  <si>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</si>
  <si>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</si>
  <si>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r>
      <t>ProjectID</t>
    </r>
    <r>
      <rPr>
        <b/>
        <vertAlign val="superscript"/>
        <sz val="11"/>
        <color theme="1" tint="0.249977111117893"/>
        <rFont val="Aptos Narrow"/>
        <family val="2"/>
        <scheme val="minor"/>
      </rPr>
      <t>++</t>
    </r>
  </si>
  <si>
    <t>Version</t>
  </si>
  <si>
    <t>Warehouse Representative</t>
  </si>
  <si>
    <r>
      <t xml:space="preserve">** For multiple Workorders, leave unchecked and enter Wordorder reference in the lines
</t>
    </r>
    <r>
      <rPr>
        <vertAlign val="superscript"/>
        <sz val="9"/>
        <color theme="1"/>
        <rFont val="Aptos Narrow"/>
        <family val="2"/>
        <scheme val="minor"/>
      </rPr>
      <t>++</t>
    </r>
    <r>
      <rPr>
        <sz val="9"/>
        <color theme="1"/>
        <rFont val="Aptos Narrow"/>
        <family val="2"/>
        <scheme val="minor"/>
      </rPr>
      <t xml:space="preserve"> For cost allocation purpose</t>
    </r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</si>
  <si>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</si>
  <si>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</si>
  <si>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</si>
  <si>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</si>
  <si>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</si>
  <si>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</si>
  <si>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</si>
  <si>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</si>
  <si>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Object ID Short Desription</t>
  </si>
  <si>
    <t>Actual stock</t>
  </si>
  <si>
    <t>Picked Qty</t>
  </si>
  <si>
    <t>Purchase Qty</t>
  </si>
  <si>
    <t>Item ID</t>
  </si>
  <si>
    <t>D365 Text Description</t>
  </si>
  <si>
    <t>Testing of new IPRF</t>
  </si>
  <si>
    <t>SA</t>
  </si>
  <si>
    <t>Testing post ref</t>
  </si>
  <si>
    <t>R00000150 - Van Oord - Pipavav, India</t>
  </si>
  <si>
    <t>T/141525</t>
  </si>
  <si>
    <t>Imthiyas Ahamed</t>
  </si>
  <si>
    <t>Jerin Johnson</t>
  </si>
  <si>
    <t>2152-8486186</t>
  </si>
  <si>
    <t>154826</t>
  </si>
  <si>
    <t>Keyboard</t>
  </si>
  <si>
    <t>PC</t>
  </si>
  <si>
    <t>Urgent</t>
  </si>
  <si>
    <t>247/58466</t>
  </si>
  <si>
    <t>14286</t>
  </si>
  <si>
    <t>Mouse</t>
  </si>
  <si>
    <t>Normal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</si>
  <si>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</si>
  <si>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</si>
  <si>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</si>
  <si>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</si>
  <si>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</si>
  <si>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</si>
  <si>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</si>
  <si>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</si>
  <si>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</si>
  <si>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</si>
  <si>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Sourcing required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</si>
  <si>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</si>
  <si>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</si>
  <si>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</si>
  <si>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</si>
  <si>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</si>
  <si>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</si>
  <si>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</si>
  <si>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</si>
  <si>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</si>
  <si>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Location is not Project ID?</t>
  </si>
  <si>
    <t>Input_Location</t>
  </si>
  <si>
    <t>Input_Requester</t>
  </si>
  <si>
    <t>Input_Warehouse_rep</t>
  </si>
  <si>
    <t>Request date</t>
  </si>
  <si>
    <t>Input_Request_Date</t>
  </si>
  <si>
    <t>=TODAY()+2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</si>
  <si>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</si>
  <si>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</si>
  <si>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</si>
  <si>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</si>
  <si>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</si>
  <si>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</si>
  <si>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</si>
  <si>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</si>
  <si>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</si>
  <si>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</si>
  <si>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</si>
  <si>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</si>
  <si>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</si>
  <si>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</si>
  <si>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</si>
  <si>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</si>
  <si>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</si>
  <si>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</si>
  <si>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</si>
  <si>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</si>
  <si>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</si>
  <si>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</si>
  <si>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</si>
  <si>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</si>
  <si>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</si>
  <si>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</si>
  <si>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</si>
  <si>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</si>
  <si>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</si>
  <si>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</si>
  <si>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</si>
  <si>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</si>
  <si>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</si>
  <si>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</si>
  <si>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</si>
  <si>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</si>
  <si>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</si>
  <si>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</si>
  <si>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</si>
  <si>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</si>
  <si>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</si>
  <si>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</si>
  <si>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</si>
  <si>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</si>
  <si>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 xml:space="preserve">Now this table tells you how the checkbox ActiveX controls should behave.
First column is ActiveX control name, Column 2 explains about the state, Column 3 refers to the related range, Column 4 tells about the content and column 5 referes to the property.
Every time when these controls change the state clear the content in the related reference range.
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</si>
  <si>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</si>
  <si>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</si>
  <si>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</si>
  <si>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</si>
  <si>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</si>
  <si>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Column name</t>
  </si>
  <si>
    <t>Formula</t>
  </si>
  <si>
    <t>Item</t>
  </si>
  <si>
    <t>Purchase Order</t>
  </si>
  <si>
    <t>IF([@[Purchase Qty]]&gt;0,
LET(
  pr, [@[Request number]],
  it, [@[Object ID]],
  hits, FILTER(
          D365_Lines_Manual[Purchase order],
          ISNUMBER(SEARCH(pr, D365_Lines_Manual[Text])) *
          ISNUMBER(SEARCH(it, D365_Lines_Manual[Text]))
        ),
  IFERROR(TEXTJOIN(", ",TRUE,UNIQUE(hits)),"Not found")
),"Purchase not applicable")</t>
  </si>
  <si>
    <t>Workbook</t>
  </si>
  <si>
    <t>Request lines (IPRF &amp; Rimses).xlsx</t>
  </si>
  <si>
    <t>PO Created by</t>
  </si>
  <si>
    <t>IF([@[Purchase Qty]]&gt;0,
LET(
  pr, [@[Request number]],
  it, [@[Object ID]],
  hits, FILTER(
          D365_Lines_Manual[Created by],
          ISNUMBER(SEARCH(pr, D365_Lines_Manual[Text])) *
          ISNUMBER(SEARCH(it, D365_Lines_Manual[Text]))
        ),
  IFERROR(TEXTJOIN(", ",TRUE,UNIQUE(hits)),"Not found")
),"Purchase not applicable")</t>
  </si>
  <si>
    <t>Sheet</t>
  </si>
  <si>
    <t>IPRF Lines</t>
  </si>
  <si>
    <t>PO Created on</t>
  </si>
  <si>
    <t>XLOOKUP([@[Purchase Order]],D365_Header_Manual[Purchase order],D365_Header_Manual[Accounting date],"Not found")</t>
  </si>
  <si>
    <t>Table</t>
  </si>
  <si>
    <t>IPRF_Lines_Master</t>
  </si>
  <si>
    <t>PO line status</t>
  </si>
  <si>
    <t>LET(
  pr, [@[Request number]],
  it, [@[Object ID]],
  hits, FILTER(
          D365_Lines_Manual[Line status],
          ISNUMBER(SEARCH(pr, D365_Lines_Manual[Text])) *
          ISNUMBER(SEARCH(it, D365_Lines_Manual[Text]))
        ),
  IFERROR(TEXTJOIN(", ",TRUE,UNIQUE(hits)),"Not found")
)</t>
  </si>
  <si>
    <t>Source tables</t>
  </si>
  <si>
    <r>
      <t>D365_Lines_Manual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D365_Header_Manual</t>
    </r>
  </si>
  <si>
    <t>Requested receipt Date (Lines)</t>
  </si>
  <si>
    <t>LET(
    pr, [@[Request number]],
    it, [@[Object ID]],
    hits, FILTER(
            D365_Lines_Manual[Requested receipt date],
            ISNUMBER(SEARCH(pr, D365_Lines_Manual[Text])) *
            ISNUMBER(SEARCH(it, D365_Lines_Manual[Text]))
         ),
    IFERROR(MAX(hits), "Not found")
)</t>
  </si>
  <si>
    <t>Execution</t>
  </si>
  <si>
    <r>
      <t xml:space="preserve">Via </t>
    </r>
    <r>
      <rPr>
        <b/>
        <sz val="11"/>
        <color theme="1"/>
        <rFont val="Aptos Narrow"/>
        <family val="2"/>
        <scheme val="minor"/>
      </rPr>
      <t>Power Automate → Run script</t>
    </r>
  </si>
  <si>
    <t>Requested receipt Date (Header)</t>
  </si>
  <si>
    <t>XLOOKUP([@[Purchase Order]],D365_Header_Manual[Purchase order],D365_Header_Manual[Requested receipt date],"Not found")</t>
  </si>
  <si>
    <t>Delivery Remainder****</t>
  </si>
  <si>
    <t>LET(
  pr, [@[Request number]],
  it, [@[Object ID]],
  hits, FILTER(
          D365_Lines_Manual[Deliver remainder],
          ISNUMBER(SEARCH(pr, D365_Lines_Manual[Text])) *
          ISNUMBER(SEARCH(it, D365_Lines_Manual[Text]))
        ),
  IFERROR(TEXTJOIN(", ",TRUE,UNIQUE(hits)),"Not found")
)</t>
  </si>
  <si>
    <t>Delivery Remainder</t>
  </si>
  <si>
    <t>IFERROR(
  INDEX(D365_Lines_Manual[Deliver remainder],
    MATCH(
      1,
      ISNUMBER(SEARCH([@[Request number]], D365_Lines_Manual[Text])) *
      ISNUMBER(SEARCH([@[Object ID]],      D365_Lines_Manual[Text])),
      0
    )
  ),
  "Not found"
)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</si>
  <si>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</si>
  <si>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</si>
  <si>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</si>
  <si>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</si>
  <si>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</si>
  <si>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</si>
  <si>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</si>
  <si>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</si>
  <si>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</si>
  <si>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</si>
  <si>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</si>
  <si>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</si>
  <si>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</si>
  <si>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</si>
  <si>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</si>
  <si>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</si>
  <si>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</si>
  <si>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</si>
  <si>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</si>
  <si>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</si>
  <si>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</si>
  <si>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</si>
  <si>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</si>
  <si>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</si>
  <si>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</si>
  <si>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</si>
  <si>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</si>
  <si>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</si>
  <si>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</si>
  <si>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</si>
  <si>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</si>
  <si>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</si>
  <si>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</si>
  <si>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</si>
  <si>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</si>
  <si>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</si>
  <si>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</si>
  <si>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</si>
  <si>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</si>
  <si>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</si>
  <si>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</si>
  <si>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</si>
  <si>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</si>
  <si>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</si>
  <si>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</si>
  <si>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</si>
  <si>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</si>
  <si>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</si>
  <si>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</si>
  <si>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</si>
  <si>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</si>
  <si>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</si>
  <si>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</si>
  <si>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</si>
  <si>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</si>
  <si>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</si>
  <si>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</si>
  <si>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</si>
  <si>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</si>
  <si>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</si>
  <si>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</si>
  <si>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</si>
  <si>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</si>
  <si>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</si>
  <si>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</si>
  <si>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</si>
  <si>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</si>
  <si>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</si>
  <si>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</si>
  <si>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</si>
  <si>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</si>
  <si>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</si>
  <si>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</si>
  <si>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</si>
  <si>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</si>
  <si>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</si>
  <si>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</si>
  <si>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</si>
  <si>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</si>
  <si>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</si>
  <si>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</si>
  <si>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</si>
  <si>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</si>
  <si>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</si>
  <si>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</si>
  <si>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</si>
  <si>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</si>
  <si>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</si>
  <si>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</si>
  <si>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</si>
  <si>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</si>
  <si>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</si>
  <si>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</si>
  <si>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</si>
  <si>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</si>
  <si>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</si>
  <si>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</si>
  <si>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</si>
  <si>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</si>
  <si>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</si>
  <si>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</si>
  <si>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</si>
  <si>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</si>
  <si>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</si>
  <si>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</si>
  <si>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</si>
  <si>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</si>
  <si>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</si>
  <si>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</si>
  <si>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</si>
  <si>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</si>
  <si>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</si>
  <si>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</si>
  <si>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</si>
  <si>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</si>
  <si>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</si>
  <si>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</si>
  <si>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</si>
  <si>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</si>
  <si>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</si>
  <si>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</si>
  <si>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</si>
  <si>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</si>
  <si>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</si>
  <si>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</si>
  <si>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</si>
  <si>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</si>
  <si>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</si>
  <si>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</si>
  <si>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</si>
  <si>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</si>
  <si>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</si>
  <si>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</si>
  <si>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</si>
  <si>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</si>
  <si>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</si>
  <si>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</si>
  <si>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</si>
  <si>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</si>
  <si>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</si>
  <si>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</si>
  <si>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</si>
  <si>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</si>
  <si>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</si>
  <si>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</si>
  <si>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</si>
  <si>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</si>
  <si>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</si>
  <si>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</si>
  <si>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</si>
  <si>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</si>
  <si>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</si>
  <si>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</si>
  <si>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</si>
  <si>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</si>
  <si>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</si>
  <si>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</si>
  <si>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</si>
  <si>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</si>
  <si>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</si>
  <si>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</si>
  <si>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</si>
  <si>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</si>
  <si>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</si>
  <si>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</si>
  <si>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</si>
  <si>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</si>
  <si>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</si>
  <si>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</si>
  <si>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</si>
  <si>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</si>
  <si>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</si>
  <si>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</si>
  <si>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</si>
  <si>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</si>
  <si>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</si>
  <si>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</si>
  <si>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</si>
  <si>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</si>
  <si>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</si>
  <si>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</si>
  <si>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</si>
  <si>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</si>
  <si>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</si>
  <si>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</si>
  <si>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</si>
  <si>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</si>
  <si>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</si>
  <si>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</si>
  <si>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</si>
  <si>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</si>
  <si>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</si>
  <si>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</si>
  <si>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</si>
  <si>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</si>
  <si>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</si>
  <si>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</si>
  <si>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</si>
  <si>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</si>
  <si>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</si>
  <si>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</si>
  <si>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</si>
  <si>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</si>
  <si>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</si>
  <si>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</si>
  <si>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</si>
  <si>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</si>
  <si>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</si>
  <si>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</si>
  <si>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</si>
  <si>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</si>
  <si>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</si>
  <si>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</si>
  <si>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</si>
  <si>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</si>
  <si>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</si>
  <si>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</si>
  <si>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</si>
  <si>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</si>
  <si>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</si>
  <si>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</si>
  <si>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</si>
  <si>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</si>
  <si>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</si>
  <si>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</si>
  <si>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</si>
  <si>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</si>
  <si>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</si>
  <si>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</si>
  <si>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</si>
  <si>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</si>
  <si>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</si>
  <si>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</si>
  <si>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</si>
  <si>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</si>
  <si>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</si>
  <si>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</si>
  <si>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</si>
  <si>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</si>
  <si>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</si>
  <si>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</si>
  <si>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</si>
  <si>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</si>
  <si>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</si>
  <si>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</si>
  <si>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</si>
  <si>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</si>
  <si>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</si>
  <si>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</si>
  <si>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</si>
  <si>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</si>
  <si>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</si>
  <si>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</si>
  <si>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</si>
  <si>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</si>
  <si>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</si>
  <si>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</si>
  <si>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</si>
  <si>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</si>
  <si>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</si>
  <si>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</si>
  <si>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</si>
  <si>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</si>
  <si>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</si>
  <si>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</si>
  <si>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</si>
  <si>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</si>
  <si>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</si>
  <si>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</si>
  <si>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</si>
  <si>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</si>
  <si>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</si>
  <si>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</si>
  <si>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</si>
  <si>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</si>
  <si>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</si>
  <si>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</si>
  <si>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</si>
  <si>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</si>
  <si>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</si>
  <si>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</si>
  <si>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</si>
  <si>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</si>
  <si>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</si>
  <si>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</si>
  <si>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</si>
  <si>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</si>
  <si>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</si>
  <si>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</si>
  <si>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</si>
  <si>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</si>
  <si>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</si>
  <si>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</si>
  <si>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</si>
  <si>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</si>
  <si>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</si>
  <si>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</si>
  <si>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</si>
  <si>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</si>
  <si>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</si>
  <si>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</si>
  <si>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</si>
  <si>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</si>
  <si>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</si>
  <si>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</si>
  <si>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</si>
  <si>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</si>
  <si>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</si>
  <si>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</si>
  <si>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</si>
  <si>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</si>
  <si>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</si>
  <si>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</si>
  <si>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</si>
  <si>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</si>
  <si>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</si>
  <si>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</si>
  <si>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</si>
  <si>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</si>
  <si>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</si>
  <si>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</si>
  <si>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</si>
  <si>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</si>
  <si>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</si>
  <si>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</si>
  <si>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</si>
  <si>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</si>
  <si>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</si>
  <si>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</si>
  <si>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</si>
  <si>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</si>
  <si>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</si>
  <si>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</si>
  <si>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</si>
  <si>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</si>
  <si>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</si>
  <si>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</si>
  <si>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</si>
  <si>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</si>
  <si>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</si>
  <si>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</si>
  <si>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</si>
  <si>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</si>
  <si>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</si>
  <si>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</si>
  <si>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</si>
  <si>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</si>
  <si>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</si>
  <si>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</si>
  <si>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</si>
  <si>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</si>
  <si>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</si>
  <si>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</si>
  <si>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</si>
  <si>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</si>
  <si>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</si>
  <si>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</si>
  <si>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</si>
  <si>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</si>
  <si>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</si>
  <si>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</si>
  <si>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</si>
  <si>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</si>
  <si>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</si>
  <si>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</si>
  <si>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</si>
  <si>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</si>
  <si>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</si>
  <si>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</si>
  <si>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</si>
  <si>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</si>
  <si>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</si>
  <si>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</si>
  <si>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</si>
  <si>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</si>
  <si>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</si>
  <si>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</si>
  <si>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</si>
  <si>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</si>
  <si>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</si>
  <si>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</si>
  <si>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</si>
  <si>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</si>
  <si>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</si>
  <si>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</si>
  <si>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</si>
  <si>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</si>
  <si>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</si>
  <si>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</si>
  <si>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</si>
  <si>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</si>
  <si>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</si>
  <si>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</si>
  <si>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</si>
  <si>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</si>
  <si>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</si>
  <si>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</si>
  <si>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</si>
  <si>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</si>
  <si>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</si>
  <si>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</si>
  <si>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</si>
  <si>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</si>
  <si>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</si>
  <si>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</si>
  <si>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</si>
  <si>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</si>
  <si>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</si>
  <si>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</si>
  <si>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</si>
  <si>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</si>
  <si>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</si>
  <si>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</si>
  <si>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</si>
  <si>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</si>
  <si>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</si>
  <si>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</si>
  <si>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</si>
  <si>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</si>
  <si>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</si>
  <si>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</si>
  <si>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</si>
  <si>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</si>
  <si>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</si>
  <si>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</si>
  <si>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</si>
  <si>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</si>
  <si>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</si>
  <si>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</si>
  <si>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</si>
  <si>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</si>
  <si>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</si>
  <si>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</si>
  <si>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</si>
  <si>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</si>
  <si>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</si>
  <si>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</si>
  <si>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</si>
  <si>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</si>
  <si>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</si>
  <si>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</si>
  <si>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</si>
  <si>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</si>
  <si>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</si>
  <si>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</si>
  <si>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</si>
  <si>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</si>
  <si>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</si>
  <si>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</si>
  <si>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</si>
  <si>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</si>
  <si>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</si>
  <si>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</si>
  <si>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</si>
  <si>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</si>
  <si>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</si>
  <si>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</si>
  <si>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</si>
  <si>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</si>
  <si>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</si>
  <si>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</si>
  <si>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</si>
  <si>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</si>
  <si>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</si>
  <si>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</si>
  <si>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</si>
  <si>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</si>
  <si>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</si>
  <si>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</si>
  <si>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</si>
  <si>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</si>
  <si>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</si>
  <si>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</si>
  <si>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</si>
  <si>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</si>
  <si>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</si>
  <si>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</si>
  <si>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</si>
  <si>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</si>
  <si>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</si>
  <si>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</si>
  <si>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</si>
  <si>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</si>
  <si>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</si>
  <si>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</si>
  <si>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</si>
  <si>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</si>
  <si>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</si>
  <si>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</si>
  <si>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</si>
  <si>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</si>
  <si>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</si>
  <si>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</si>
  <si>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</si>
  <si>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</si>
  <si>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</si>
  <si>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</si>
  <si>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</si>
  <si>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</si>
  <si>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</si>
  <si>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</si>
  <si>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</si>
  <si>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</si>
  <si>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</si>
  <si>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</si>
  <si>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</si>
  <si>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</si>
  <si>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</si>
  <si>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</si>
  <si>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</si>
  <si>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</si>
  <si>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</si>
  <si>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</si>
  <si>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</si>
  <si>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</si>
  <si>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</si>
  <si>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</si>
  <si>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</si>
  <si>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</si>
  <si>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</si>
  <si>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</si>
  <si>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</si>
  <si>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</si>
  <si>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</si>
  <si>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</si>
  <si>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</si>
  <si>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</si>
  <si>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</si>
  <si>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</si>
  <si>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</si>
  <si>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</si>
  <si>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</si>
  <si>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</si>
  <si>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</si>
  <si>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</si>
  <si>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</si>
  <si>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</si>
  <si>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</si>
  <si>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</si>
  <si>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</si>
  <si>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</si>
  <si>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</si>
  <si>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</si>
  <si>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</si>
  <si>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</si>
  <si>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</si>
  <si>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</si>
  <si>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</si>
  <si>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</si>
  <si>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</si>
  <si>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</si>
  <si>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</si>
  <si>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</si>
  <si>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</si>
  <si>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</si>
  <si>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</si>
  <si>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</si>
  <si>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</si>
  <si>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</si>
  <si>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</si>
  <si>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</si>
  <si>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</si>
  <si>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</si>
  <si>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</si>
  <si>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</si>
  <si>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</si>
  <si>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</si>
  <si>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</si>
  <si>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</si>
  <si>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</si>
  <si>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</si>
  <si>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</si>
  <si>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</si>
  <si>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</si>
  <si>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</si>
  <si>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</si>
  <si>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</si>
  <si>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</si>
  <si>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</si>
  <si>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</si>
  <si>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</si>
  <si>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</si>
  <si>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</si>
  <si>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</si>
  <si>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</si>
  <si>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</si>
  <si>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</si>
  <si>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</si>
  <si>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</si>
  <si>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</si>
  <si>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</si>
  <si>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</si>
  <si>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</si>
  <si>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</si>
  <si>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</si>
  <si>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</si>
  <si>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</si>
  <si>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</si>
  <si>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</si>
  <si>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</si>
  <si>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</si>
  <si>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</si>
  <si>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</si>
  <si>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</si>
  <si>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</si>
  <si>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</si>
  <si>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</si>
  <si>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</si>
  <si>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</si>
  <si>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</si>
  <si>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</si>
  <si>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</si>
  <si>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</si>
  <si>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</si>
  <si>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</si>
  <si>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</si>
  <si>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</si>
  <si>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</si>
  <si>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</si>
  <si>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</si>
  <si>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</si>
  <si>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</si>
  <si>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</si>
  <si>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</si>
  <si>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</si>
  <si>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</si>
  <si>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</si>
  <si>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</si>
  <si>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</si>
  <si>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</si>
  <si>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</si>
  <si>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</si>
  <si>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</si>
  <si>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</si>
  <si>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</si>
  <si>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</si>
  <si>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</si>
  <si>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</si>
  <si>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</si>
  <si>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</si>
  <si>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</si>
  <si>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</si>
  <si>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</si>
  <si>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</si>
  <si>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</si>
  <si>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</si>
  <si>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</si>
  <si>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</si>
  <si>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</si>
  <si>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</si>
  <si>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</si>
  <si>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</si>
  <si>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</si>
  <si>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</si>
  <si>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</si>
  <si>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</si>
  <si>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</si>
  <si>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</si>
  <si>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</si>
  <si>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</si>
  <si>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</si>
  <si>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</si>
  <si>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</si>
  <si>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</si>
  <si>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</si>
  <si>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</si>
  <si>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</si>
  <si>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</si>
  <si>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</si>
  <si>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</si>
  <si>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</si>
  <si>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</si>
  <si>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</si>
  <si>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</si>
  <si>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</si>
  <si>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</si>
  <si>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</si>
  <si>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</si>
  <si>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</si>
  <si>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</si>
  <si>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</si>
  <si>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</si>
  <si>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</si>
  <si>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</si>
  <si>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</si>
  <si>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</si>
  <si>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</si>
  <si>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</si>
  <si>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</si>
  <si>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</si>
  <si>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</si>
  <si>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</si>
  <si>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</si>
  <si>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</si>
  <si>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</si>
  <si>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</si>
  <si>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</si>
  <si>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</si>
  <si>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</si>
  <si>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</si>
  <si>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</si>
  <si>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</si>
  <si>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</si>
  <si>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</si>
  <si>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</si>
  <si>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</si>
  <si>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</si>
  <si>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</si>
  <si>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</si>
  <si>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</si>
  <si>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</si>
  <si>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</si>
  <si>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</si>
  <si>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</si>
  <si>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</si>
  <si>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</si>
  <si>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</si>
  <si>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</si>
  <si>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</si>
  <si>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</si>
  <si>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</si>
  <si>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</si>
  <si>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</si>
  <si>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</si>
  <si>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</si>
  <si>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</si>
  <si>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</si>
  <si>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</si>
  <si>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</si>
  <si>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</si>
  <si>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</si>
  <si>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</si>
  <si>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</si>
  <si>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</si>
  <si>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</si>
  <si>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</si>
  <si>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</si>
  <si>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</si>
  <si>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</si>
  <si>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</si>
  <si>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</si>
  <si>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</si>
  <si>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</si>
  <si>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</si>
  <si>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</si>
  <si>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</si>
  <si>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</si>
  <si>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</si>
  <si>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</si>
  <si>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</si>
  <si>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</si>
  <si>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</si>
  <si>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</si>
  <si>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</si>
  <si>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</si>
  <si>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</si>
  <si>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</si>
  <si>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</si>
  <si>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</si>
  <si>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</si>
  <si>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</si>
  <si>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</si>
  <si>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</si>
  <si>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</si>
  <si>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</si>
  <si>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</si>
  <si>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</si>
  <si>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</si>
  <si>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</si>
  <si>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</si>
  <si>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</si>
  <si>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</si>
  <si>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</si>
  <si>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</si>
  <si>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</si>
  <si>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</si>
  <si>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</si>
  <si>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</si>
  <si>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</si>
  <si>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</si>
  <si>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</si>
  <si>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</si>
  <si>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</si>
  <si>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</si>
  <si>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</si>
  <si>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</si>
  <si>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</si>
  <si>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</si>
  <si>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</si>
  <si>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</si>
  <si>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</si>
  <si>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</si>
  <si>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</si>
  <si>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</si>
  <si>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</si>
  <si>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</si>
  <si>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</si>
  <si>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</si>
  <si>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</si>
  <si>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</si>
  <si>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</si>
  <si>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</si>
  <si>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</si>
  <si>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</si>
  <si>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</si>
  <si>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</si>
  <si>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</si>
  <si>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</si>
  <si>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</si>
  <si>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</si>
  <si>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</si>
  <si>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</si>
  <si>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</si>
  <si>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</si>
  <si>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</si>
  <si>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</si>
  <si>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</si>
  <si>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</si>
  <si>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</si>
  <si>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</si>
  <si>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</si>
  <si>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</si>
  <si>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</si>
  <si>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</si>
  <si>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</si>
  <si>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</si>
  <si>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</si>
  <si>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</si>
  <si>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</si>
  <si>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</si>
  <si>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</si>
  <si>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</si>
  <si>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</si>
  <si>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</si>
  <si>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</si>
  <si>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</si>
  <si>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</si>
  <si>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</si>
  <si>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</si>
  <si>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</si>
  <si>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</si>
  <si>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</si>
  <si>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</si>
  <si>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</si>
  <si>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</si>
  <si>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</si>
  <si>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</si>
  <si>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</si>
  <si>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</si>
  <si>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</si>
  <si>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</si>
  <si>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</si>
  <si>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</si>
  <si>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</si>
  <si>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</si>
  <si>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</si>
  <si>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</si>
  <si>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</si>
  <si>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</si>
  <si>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</si>
  <si>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</si>
  <si>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</si>
  <si>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</si>
  <si>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</si>
  <si>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</si>
  <si>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</si>
  <si>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</si>
  <si>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</si>
  <si>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</si>
  <si>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</si>
  <si>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</si>
  <si>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</si>
  <si>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</si>
  <si>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</si>
  <si>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</si>
  <si>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</si>
  <si>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</si>
  <si>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</si>
  <si>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</si>
  <si>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</si>
  <si>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</si>
  <si>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</si>
  <si>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</si>
  <si>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</si>
  <si>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</si>
  <si>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</si>
  <si>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</si>
  <si>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</si>
  <si>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</si>
  <si>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</si>
  <si>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</si>
  <si>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</si>
  <si>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</si>
  <si>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</si>
  <si>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</si>
  <si>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</si>
  <si>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</si>
  <si>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</si>
  <si>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</si>
  <si>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</si>
  <si>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</si>
  <si>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</si>
  <si>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</si>
  <si>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</si>
  <si>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</si>
  <si>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</si>
  <si>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</si>
  <si>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</si>
  <si>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</si>
  <si>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</si>
  <si>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</si>
  <si>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</si>
  <si>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</si>
  <si>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</si>
  <si>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</si>
  <si>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</si>
  <si>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</si>
  <si>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</si>
  <si>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</si>
  <si>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</si>
  <si>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</si>
  <si>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</si>
  <si>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</si>
  <si>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</si>
  <si>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</si>
  <si>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</si>
  <si>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</si>
  <si>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</si>
  <si>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</si>
  <si>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</si>
  <si>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</si>
  <si>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</si>
  <si>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</si>
  <si>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</si>
  <si>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</si>
  <si>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</si>
  <si>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</si>
  <si>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</si>
  <si>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</si>
  <si>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</si>
  <si>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</si>
  <si>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</si>
  <si>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</si>
  <si>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</si>
  <si>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</si>
  <si>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</si>
  <si>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</si>
  <si>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</si>
  <si>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</si>
  <si>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</si>
  <si>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</si>
  <si>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</si>
  <si>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</si>
  <si>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</si>
  <si>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</si>
  <si>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</si>
  <si>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</si>
  <si>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</si>
  <si>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</si>
  <si>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</si>
  <si>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</si>
  <si>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</si>
  <si>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</si>
  <si>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</si>
  <si>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</si>
  <si>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</si>
  <si>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</si>
  <si>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</si>
  <si>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</si>
  <si>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</si>
  <si>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</si>
  <si>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</si>
  <si>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</si>
  <si>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</si>
  <si>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</si>
  <si>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</si>
  <si>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</si>
  <si>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</si>
  <si>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</si>
  <si>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</si>
  <si>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</si>
  <si>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</si>
  <si>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</si>
  <si>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</si>
  <si>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</si>
  <si>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</si>
  <si>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</si>
  <si>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</si>
  <si>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</si>
  <si>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</si>
  <si>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</si>
  <si>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</si>
  <si>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</si>
  <si>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</si>
  <si>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</si>
  <si>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</si>
  <si>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</si>
  <si>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</si>
  <si>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</si>
  <si>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</si>
  <si>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</si>
  <si>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</si>
  <si>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</si>
  <si>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</si>
  <si>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</si>
  <si>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</si>
  <si>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</si>
  <si>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</si>
  <si>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</si>
  <si>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</si>
  <si>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</si>
  <si>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</si>
  <si>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</si>
  <si>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</si>
  <si>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</si>
  <si>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</si>
  <si>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</si>
  <si>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</si>
  <si>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</si>
  <si>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</si>
  <si>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</si>
  <si>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</si>
  <si>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</si>
  <si>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</si>
  <si>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</si>
  <si>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</si>
  <si>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</si>
  <si>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</si>
  <si>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</si>
  <si>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</si>
  <si>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</si>
  <si>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</si>
  <si>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</si>
  <si>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</si>
  <si>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</si>
  <si>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</si>
  <si>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</si>
  <si>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</si>
  <si>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</si>
  <si>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</si>
  <si>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</si>
  <si>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</si>
  <si>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</si>
  <si>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</si>
  <si>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</si>
  <si>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</si>
  <si>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</si>
  <si>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</si>
  <si>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</si>
  <si>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</si>
  <si>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</si>
  <si>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</si>
  <si>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</si>
  <si>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</si>
  <si>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</si>
  <si>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</si>
  <si>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</si>
  <si>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</si>
  <si>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</si>
  <si>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</si>
  <si>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</si>
  <si>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</si>
  <si>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</si>
  <si>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</si>
  <si>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</si>
  <si>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</si>
  <si>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</si>
  <si>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</si>
  <si>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</si>
  <si>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</si>
  <si>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</si>
  <si>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</si>
  <si>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</si>
  <si>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</si>
  <si>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</si>
  <si>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</si>
  <si>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</si>
  <si>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</si>
  <si>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</si>
  <si>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</si>
  <si>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</si>
  <si>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</si>
  <si>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</si>
  <si>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</si>
  <si>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</si>
  <si>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</si>
  <si>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</si>
  <si>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</si>
  <si>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</si>
  <si>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</si>
  <si>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</si>
  <si>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</si>
  <si>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</si>
  <si>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</si>
  <si>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</si>
  <si>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</si>
  <si>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</si>
  <si>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</si>
  <si>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</si>
  <si>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</si>
  <si>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</si>
  <si>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</si>
  <si>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</si>
  <si>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</si>
  <si>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</si>
  <si>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</si>
  <si>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</si>
  <si>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</si>
  <si>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</si>
  <si>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</si>
  <si>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</si>
  <si>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</si>
  <si>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</si>
  <si>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</si>
  <si>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</si>
  <si>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</si>
  <si>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</si>
  <si>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</si>
  <si>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</si>
  <si>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</si>
  <si>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</si>
  <si>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</si>
  <si>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</si>
  <si>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</si>
  <si>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</si>
  <si>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</si>
  <si>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</si>
  <si>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</si>
  <si>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</si>
  <si>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</si>
  <si>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</si>
  <si>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</si>
  <si>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</si>
  <si>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</si>
  <si>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</si>
  <si>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</si>
  <si>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</si>
  <si>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</si>
  <si>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</si>
  <si>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</si>
  <si>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</si>
  <si>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</si>
  <si>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</si>
  <si>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</si>
  <si>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</si>
  <si>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</si>
  <si>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</si>
  <si>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</si>
  <si>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</si>
  <si>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</si>
  <si>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</si>
  <si>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</si>
  <si>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</si>
  <si>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</si>
  <si>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</si>
  <si>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</si>
  <si>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</si>
  <si>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</si>
  <si>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</si>
  <si>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</si>
  <si>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</si>
  <si>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</si>
  <si>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</si>
  <si>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</si>
  <si>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</si>
  <si>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</si>
  <si>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</si>
  <si>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</si>
  <si>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</si>
  <si>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</si>
  <si>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</si>
  <si>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</si>
  <si>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</si>
  <si>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</si>
  <si>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</si>
  <si>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</si>
  <si>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</si>
  <si>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</si>
  <si>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</si>
  <si>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</si>
  <si>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</si>
  <si>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</si>
  <si>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</si>
  <si>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</si>
  <si>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</si>
  <si>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</si>
  <si>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</si>
  <si>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</si>
  <si>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</si>
  <si>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</si>
  <si>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</si>
  <si>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</si>
  <si>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</si>
  <si>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</si>
  <si>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</si>
  <si>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</si>
  <si>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</si>
  <si>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</si>
  <si>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</si>
  <si>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</si>
  <si>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</si>
  <si>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</si>
  <si>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</si>
  <si>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</si>
  <si>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</si>
  <si>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</si>
  <si>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</si>
  <si>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</si>
  <si>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</si>
  <si>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</si>
  <si>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</si>
  <si>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</si>
  <si>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</si>
  <si>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</si>
  <si>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</si>
  <si>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</si>
  <si>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</si>
  <si>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</si>
  <si>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</si>
  <si>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</si>
  <si>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</si>
  <si>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</si>
  <si>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</si>
  <si>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</si>
  <si>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</si>
  <si>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</si>
  <si>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</si>
  <si>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</si>
  <si>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</si>
  <si>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</si>
  <si>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</si>
  <si>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</si>
  <si>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</si>
  <si>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</si>
  <si>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</si>
  <si>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</si>
  <si>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</si>
  <si>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</si>
  <si>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</si>
  <si>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</si>
  <si>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</si>
  <si>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</si>
  <si>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</si>
  <si>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</si>
  <si>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</si>
  <si>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</si>
  <si>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</si>
  <si>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</si>
  <si>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</si>
  <si>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</si>
  <si>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</si>
  <si>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</si>
  <si>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</si>
  <si>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</si>
  <si>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</si>
  <si>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</si>
  <si>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</si>
  <si>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</si>
  <si>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</si>
  <si>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</si>
  <si>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</si>
  <si>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</si>
  <si>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</si>
  <si>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</si>
  <si>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</si>
  <si>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</si>
  <si>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</si>
  <si>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</si>
  <si>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</si>
  <si>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</si>
  <si>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</si>
  <si>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</si>
  <si>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</si>
  <si>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</si>
  <si>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</si>
  <si>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</si>
  <si>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</si>
  <si>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</si>
  <si>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</si>
  <si>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</si>
  <si>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</si>
  <si>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</si>
  <si>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</si>
  <si>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</si>
  <si>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</si>
  <si>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</si>
  <si>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</si>
  <si>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</si>
  <si>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</si>
  <si>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</si>
  <si>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</si>
  <si>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</si>
  <si>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</si>
  <si>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</si>
  <si>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</si>
  <si>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</si>
  <si>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</si>
  <si>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</si>
  <si>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</si>
  <si>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</si>
  <si>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</si>
  <si>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</si>
  <si>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</si>
  <si>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</si>
  <si>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</si>
  <si>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</si>
  <si>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</si>
  <si>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</si>
  <si>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</si>
  <si>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</si>
  <si>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</si>
  <si>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</si>
  <si>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</si>
  <si>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</si>
  <si>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</si>
  <si>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</si>
  <si>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</si>
  <si>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</si>
  <si>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</si>
  <si>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</si>
  <si>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</si>
  <si>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</si>
  <si>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</si>
  <si>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</si>
  <si>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</si>
  <si>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</si>
  <si>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</si>
  <si>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</si>
  <si>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</si>
  <si>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</si>
  <si>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</si>
  <si>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</si>
  <si>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</si>
  <si>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</si>
  <si>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</si>
  <si>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</si>
  <si>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</si>
  <si>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</si>
  <si>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</si>
  <si>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</si>
  <si>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</si>
  <si>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</si>
  <si>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</si>
  <si>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</si>
  <si>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</si>
  <si>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</si>
  <si>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</si>
  <si>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</si>
  <si>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</si>
  <si>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</si>
  <si>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</si>
  <si>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</si>
  <si>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</si>
  <si>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</si>
  <si>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</si>
  <si>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</si>
  <si>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</si>
  <si>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</si>
  <si>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</si>
  <si>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</si>
  <si>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</si>
  <si>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</si>
  <si>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</si>
  <si>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</si>
  <si>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</si>
  <si>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</si>
  <si>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</si>
  <si>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</si>
  <si>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</si>
  <si>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</si>
  <si>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</si>
  <si>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</si>
  <si>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</si>
  <si>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</si>
  <si>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</si>
  <si>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</si>
  <si>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</si>
  <si>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</si>
  <si>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</si>
  <si>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</si>
  <si>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</si>
  <si>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</si>
  <si>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</si>
  <si>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</si>
  <si>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</si>
  <si>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</si>
  <si>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</si>
  <si>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</si>
  <si>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</si>
  <si>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</si>
  <si>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</si>
  <si>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</si>
  <si>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</si>
  <si>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</si>
  <si>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</si>
  <si>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</si>
  <si>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</si>
  <si>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</si>
  <si>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</si>
  <si>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</si>
  <si>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</si>
  <si>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</si>
  <si>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</si>
  <si>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</si>
  <si>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</si>
  <si>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</si>
  <si>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</si>
  <si>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</si>
  <si>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</si>
  <si>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</si>
  <si>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</si>
  <si>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</si>
  <si>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</si>
  <si>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</si>
  <si>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</si>
  <si>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</si>
  <si>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</si>
  <si>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</si>
  <si>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</si>
  <si>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</si>
  <si>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</si>
  <si>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</si>
  <si>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</si>
  <si>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</si>
  <si>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</si>
  <si>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</si>
  <si>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</si>
  <si>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</si>
  <si>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</si>
  <si>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</si>
  <si>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</si>
  <si>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</si>
  <si>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</si>
  <si>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</si>
  <si>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</si>
  <si>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</si>
  <si>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</si>
  <si>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</si>
  <si>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</si>
  <si>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</si>
  <si>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</si>
  <si>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</si>
  <si>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</si>
  <si>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</si>
  <si>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</si>
  <si>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</si>
  <si>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</si>
  <si>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</si>
  <si>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</si>
  <si>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</si>
  <si>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</si>
  <si>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</si>
  <si>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</si>
  <si>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</si>
  <si>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</si>
  <si>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</si>
  <si>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</si>
  <si>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</si>
  <si>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</si>
  <si>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</si>
  <si>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</si>
  <si>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</si>
  <si>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</si>
  <si>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</si>
  <si>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</si>
  <si>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</si>
  <si>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</si>
  <si>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</si>
  <si>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</si>
  <si>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</si>
  <si>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</si>
  <si>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</si>
  <si>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</si>
  <si>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</si>
  <si>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</si>
  <si>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</si>
  <si>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</si>
  <si>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</si>
  <si>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</si>
  <si>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</si>
  <si>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</si>
  <si>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</si>
  <si>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</si>
  <si>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</si>
  <si>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</si>
  <si>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</si>
  <si>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</si>
  <si>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</si>
  <si>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</si>
  <si>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</si>
  <si>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</si>
  <si>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</si>
  <si>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</si>
  <si>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</si>
  <si>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</si>
  <si>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</si>
  <si>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</si>
  <si>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</si>
  <si>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</si>
  <si>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</si>
  <si>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</si>
  <si>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</si>
  <si>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</si>
  <si>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</si>
  <si>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</si>
  <si>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</si>
  <si>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</si>
  <si>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</si>
  <si>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</si>
  <si>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</si>
  <si>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</si>
  <si>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</si>
  <si>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</si>
  <si>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</si>
  <si>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</si>
  <si>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</si>
  <si>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</si>
  <si>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</si>
  <si>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</si>
  <si>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</si>
  <si>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</si>
  <si>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</si>
  <si>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</si>
  <si>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</si>
  <si>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</si>
  <si>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</si>
  <si>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</si>
  <si>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</si>
  <si>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</si>
  <si>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</si>
  <si>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</si>
  <si>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</si>
  <si>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</si>
  <si>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</si>
  <si>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</si>
  <si>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</si>
  <si>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</si>
  <si>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</si>
  <si>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</si>
  <si>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</si>
  <si>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</si>
  <si>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</si>
  <si>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</si>
  <si>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</si>
  <si>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</si>
  <si>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</si>
  <si>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</si>
  <si>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</si>
  <si>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</si>
  <si>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</si>
  <si>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</si>
  <si>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</si>
  <si>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</si>
  <si>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</si>
  <si>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</si>
  <si>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</si>
  <si>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</si>
  <si>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</si>
  <si>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</si>
  <si>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</si>
  <si>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</si>
  <si>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</si>
  <si>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</si>
  <si>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</si>
  <si>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</si>
  <si>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</si>
  <si>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</si>
  <si>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</si>
  <si>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</si>
  <si>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</si>
  <si>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</si>
  <si>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</si>
  <si>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</si>
  <si>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</si>
  <si>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</si>
  <si>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</si>
  <si>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</si>
  <si>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</si>
  <si>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</si>
  <si>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</si>
  <si>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</si>
  <si>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</si>
  <si>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</si>
  <si>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</si>
  <si>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</si>
  <si>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</si>
  <si>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</si>
  <si>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</si>
  <si>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</si>
  <si>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</si>
  <si>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</si>
  <si>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</si>
  <si>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</si>
  <si>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</si>
  <si>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</si>
  <si>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</si>
  <si>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</si>
  <si>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</si>
  <si>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</si>
  <si>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</si>
  <si>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</si>
  <si>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</si>
  <si>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</si>
  <si>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</si>
  <si>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</si>
  <si>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</si>
  <si>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</si>
  <si>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</si>
  <si>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</si>
  <si>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</si>
  <si>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</si>
  <si>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</si>
  <si>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</si>
  <si>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</si>
  <si>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</si>
  <si>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</si>
  <si>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</si>
  <si>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</si>
  <si>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</si>
  <si>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</si>
  <si>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</si>
  <si>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</si>
  <si>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</si>
  <si>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</si>
  <si>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</si>
  <si>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</si>
  <si>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</si>
  <si>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</si>
  <si>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</si>
  <si>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</si>
  <si>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</si>
  <si>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</si>
  <si>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</si>
  <si>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</si>
  <si>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</si>
  <si>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</si>
  <si>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</si>
  <si>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</si>
  <si>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</si>
  <si>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</si>
  <si>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</si>
  <si>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</si>
  <si>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</si>
  <si>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</si>
  <si>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</si>
  <si>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</si>
  <si>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</si>
  <si>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</si>
  <si>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</si>
  <si>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</si>
  <si>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</si>
  <si>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</si>
  <si>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</si>
  <si>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</si>
  <si>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</si>
  <si>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</si>
  <si>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</si>
  <si>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</si>
  <si>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</si>
  <si>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</si>
  <si>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</si>
  <si>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</si>
  <si>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</si>
  <si>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</si>
  <si>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</si>
  <si>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</si>
  <si>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</si>
  <si>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</si>
  <si>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</si>
  <si>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</si>
  <si>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</si>
  <si>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</si>
  <si>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</si>
  <si>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</si>
  <si>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</si>
  <si>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</si>
  <si>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</si>
  <si>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</si>
  <si>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</si>
  <si>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</si>
  <si>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</si>
  <si>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</si>
  <si>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</si>
  <si>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</si>
  <si>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</si>
  <si>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</si>
  <si>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</si>
  <si>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</si>
  <si>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</si>
  <si>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</si>
  <si>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</si>
  <si>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</si>
  <si>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</si>
  <si>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</si>
  <si>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Data validation</t>
  </si>
  <si>
    <t>Warehouse representative</t>
  </si>
  <si>
    <t>EmailAddress1</t>
  </si>
  <si>
    <t>Item Sub type - Material</t>
  </si>
  <si>
    <t>Item Sub type - Service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</si>
  <si>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</si>
  <si>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</si>
  <si>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</si>
  <si>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</si>
  <si>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</si>
  <si>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</si>
  <si>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</si>
  <si>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</si>
  <si>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</si>
  <si>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T_item_subtype_materials</t>
  </si>
  <si>
    <t>Buyer</t>
  </si>
  <si>
    <t>T_item_subtype_services</t>
  </si>
  <si>
    <t>Warehouse_representative</t>
  </si>
  <si>
    <t>T_Requester11</t>
  </si>
  <si>
    <t>T_item_type16</t>
  </si>
  <si>
    <t>Test_Display_name</t>
  </si>
  <si>
    <t>Dr. Mohamed Abd El Azeem SDF DFASD  DFD</t>
  </si>
  <si>
    <t>T_Locations</t>
  </si>
  <si>
    <t>J00000019 - Galfar - Habshan &amp; ASAB</t>
  </si>
  <si>
    <t xml:space="preserve">J00000044 - </t>
  </si>
  <si>
    <t>J00000046 - RAK Precast - Ras Al Khaimah FZ</t>
  </si>
  <si>
    <t>J00000047 - AMS220</t>
  </si>
  <si>
    <t>J00000071 - Robt. Stone - Habshan</t>
  </si>
  <si>
    <t>J00000102 - OFCO - Mina Free Port</t>
  </si>
  <si>
    <t>J00000114 - ADNOC LS - UZ and S</t>
  </si>
  <si>
    <t>J00000150 - Target Engineering - Arzanah Island</t>
  </si>
  <si>
    <t>J00000158 - NMDC - SIR BANIYAS BRIDGE WORKS PROJECT</t>
  </si>
  <si>
    <t>J00000161 - NMDC - Hudariyat</t>
  </si>
  <si>
    <t>J00000174 - NSH - Borouge 4</t>
  </si>
  <si>
    <t>J00000186 - NPCC - Musaffah Yard 300Te</t>
  </si>
  <si>
    <t>J00000191 - NMDC - Al Yasat Isl. 280Te</t>
  </si>
  <si>
    <t>J00000195 - Penta Global - Zirku Island</t>
  </si>
  <si>
    <t>J00000196 - Adnoc Drilling - Asseifiya Island</t>
  </si>
  <si>
    <t>J00000197 - NMDC - Taweelah Ramhan Project</t>
  </si>
  <si>
    <t>J00000201 - Motor Way General Transport - Mussafah onshore</t>
  </si>
  <si>
    <t>J00000204 - ST JV - Guggenheim Abu Dhabi</t>
  </si>
  <si>
    <t>J00000211 - Adnoc Drilling - Liwa</t>
  </si>
  <si>
    <t>J00000213 - Ali &amp; Sons - ASMEF Yard</t>
  </si>
  <si>
    <t>J00000218 - Denholm YSF - INEOS Project ICAD</t>
  </si>
  <si>
    <t>J00000224 - NBTC - Borouge</t>
  </si>
  <si>
    <t>J00000225 - Denholm Yam - Borouge Ruwais</t>
  </si>
  <si>
    <t>J00000229 - AMS BU135 - Internal rental</t>
  </si>
  <si>
    <t>J00000230 - Motorway - Hail &amp; Gasha</t>
  </si>
  <si>
    <t>J00000235 - Alas - Precast</t>
  </si>
  <si>
    <t>J00000237 - OFCO - Mugharraq Port</t>
  </si>
  <si>
    <t>J00000241 - Jan De Nul Dredging - Lightning Project</t>
  </si>
  <si>
    <t>J00000243 - Denholm Yam - Hail &amp; Gasha Onshore</t>
  </si>
  <si>
    <t>J00000244 - Jan De Nul Dredging - Omairah Island</t>
  </si>
  <si>
    <t>J00000246 - Jan De Nul Dredging - Dubai Water Front</t>
  </si>
  <si>
    <t>J00000248 - NSH - Hail &amp; Gasha Onshore</t>
  </si>
  <si>
    <t>J00000251 - ALAS - IMCC Yard</t>
  </si>
  <si>
    <t>J00000252 - Dhafir Technologies - Zirku Island</t>
  </si>
  <si>
    <t>J00000253 - TWMA - Gasha DC06 - Seebah Island</t>
  </si>
  <si>
    <t>J00000254 - TWMA - Assifiya Island</t>
  </si>
  <si>
    <t>J00000256 - Denholm Yam - Borouge 4 New Package</t>
  </si>
  <si>
    <t>J00000257 - Turbine - Sas Al Nakhl</t>
  </si>
  <si>
    <t>J00000258 - NMDC - Taziz Landing Project</t>
  </si>
  <si>
    <t>J00000259 - Motor Way - Taziz</t>
  </si>
  <si>
    <t>J00000261 - NMDC - Al Nawras</t>
  </si>
  <si>
    <t>J00000262 - Gulf Ready Mix - Hail &amp; Gasha Onshore</t>
  </si>
  <si>
    <t>J00000263 - Descon Engineering - Habshan 5</t>
  </si>
  <si>
    <t>J00000266 - Motorway - Shah Gas Expansion Project</t>
  </si>
  <si>
    <t>J00000268 - NMDC LTS - LNG – Ruwais</t>
  </si>
  <si>
    <t>J00000269 - NSH - Harvest Ammonia Project</t>
  </si>
  <si>
    <t>J00000270 - Sarens - H&amp;G Ruwais</t>
  </si>
  <si>
    <t>J00000271 - NSH - LNG Project Ruwais</t>
  </si>
  <si>
    <t>J00000272 - Roll Group - Test Weights &amp; Tray Mussafah</t>
  </si>
  <si>
    <t>J00000273 - Galfar - Mahani Sharjah</t>
  </si>
  <si>
    <t>J00000274 - NMDC - MERAM Habshan</t>
  </si>
  <si>
    <t>J00000275 - Penta Global - MEI Works Mussafah</t>
  </si>
  <si>
    <t>J00000276 - JDN - Palm Jebel Ali</t>
  </si>
  <si>
    <t>J00000277 - Falcor - Load Spreader Mats</t>
  </si>
  <si>
    <t>J00000278 - BAGC - Hail &amp; Gasha Onshore</t>
  </si>
  <si>
    <t>J00000279 - NPCC-SAIPEM jv - H&amp;G Package 1</t>
  </si>
  <si>
    <t>J00000280 - Cylingas - Habshan 5</t>
  </si>
  <si>
    <t>J00000281 - Al Jaber - H&amp;G Package 1</t>
  </si>
  <si>
    <t>J00000282 - Star Ocean - Bu Sikeen Island</t>
  </si>
  <si>
    <t>J00000283 - Eagle Ultra - Jabel Ali (Hire of Test Weights)</t>
  </si>
  <si>
    <t>R00000028 - Target DGD</t>
  </si>
  <si>
    <t>R00000043 - NMDC – NISI (Taweelah)</t>
  </si>
  <si>
    <t>R00000066 - Dredging International Saudi Arabia - Oxagon T2</t>
  </si>
  <si>
    <t>R00000074 - NPCC - Saudi Aramco KSA</t>
  </si>
  <si>
    <t>R00000078 - MBL - Jeddah</t>
  </si>
  <si>
    <t>R00000097 - NMDC - H&amp;G Island</t>
  </si>
  <si>
    <t>R00000100 - COWC - Port works Barbados</t>
  </si>
  <si>
    <t>R00000104 - All Marine - Dalma Island</t>
  </si>
  <si>
    <t>R00000109 - DMC - Ras Laffan</t>
  </si>
  <si>
    <t>R00000111 - NMDC - TAZIZ Logistics Project / Port Package</t>
  </si>
  <si>
    <t>R00000112 - Archirodon - M1 Project - Umluj</t>
  </si>
  <si>
    <t>R00000118 - Target - Wave Project</t>
  </si>
  <si>
    <t>R00000119 - AVR-Umm Al Naar Refinery</t>
  </si>
  <si>
    <t>R00000120 - ARCHIRODON – Salt Domes</t>
  </si>
  <si>
    <t>R00000123 - SAIPEM - Hail &amp; Gasha</t>
  </si>
  <si>
    <t>R00000124 - Target - Al Sahil Project</t>
  </si>
  <si>
    <t>R00000128 - DAEWOO - Immersed Tunnel Iraq</t>
  </si>
  <si>
    <t>R00000135 - Van Oord - Umm Suqeim</t>
  </si>
  <si>
    <t>R00000136 - NMDC - Hudariyat</t>
  </si>
  <si>
    <t>R00000138 - Masirah - LNG Sur</t>
  </si>
  <si>
    <t>R00000139 - NAEL General – Al Amerah, Al Ain</t>
  </si>
  <si>
    <t>R00000140 - Mar Marine - Cape Jumeirah</t>
  </si>
  <si>
    <t>R00000141 - Mar Marine - Port Rashid</t>
  </si>
  <si>
    <t>R00000143 - JDN - Palm Jebel Ali</t>
  </si>
  <si>
    <t>R00000147 - NMDC - Ruwais LNG</t>
  </si>
  <si>
    <t>R00000148 - NMDC - Zirku Project</t>
  </si>
  <si>
    <t>R00000151 - NPCC-SAIPEM jv - H&amp;G Package 1</t>
  </si>
  <si>
    <t>R00000153 - DBB - Peninsula Project</t>
  </si>
  <si>
    <t>R00000154 - PLC - Umm Suqeim</t>
  </si>
  <si>
    <t>R00000155 - TWMA - H&amp;G GOP</t>
  </si>
  <si>
    <t>R00000156 - ITD Cementation - Ruwais LNG</t>
  </si>
  <si>
    <t>R00000157 - PLC - C34 MBM</t>
  </si>
  <si>
    <t>R00000158 - DBB - Al Marjan Island</t>
  </si>
  <si>
    <t>R00000159 - DCS - Baitha Qassem</t>
  </si>
  <si>
    <t>R00000160 - AL QARYAN - Al Khobar</t>
  </si>
  <si>
    <t>R00000161 - TARGET - Mina Port</t>
  </si>
  <si>
    <t>R00000162 - JIATAI Contracting - Al Sila Port</t>
  </si>
  <si>
    <t>R00000163 - AL QARYAN - Shuaibah</t>
  </si>
  <si>
    <t>R00000164 - NMDC - Ghantoot Ora-Bayn Phase 1</t>
  </si>
  <si>
    <t>R00000165 - ALEC - The Sphere</t>
  </si>
  <si>
    <t>R00000166 - NMDC - Khalifa Port</t>
  </si>
  <si>
    <t>ICAD III - Abu dhabi</t>
  </si>
  <si>
    <t>T_bu20</t>
  </si>
  <si>
    <t>Projects</t>
  </si>
  <si>
    <t>1 Direct Labor_01 - Salary</t>
  </si>
  <si>
    <t>1 Direct Labor_02 - Extralegal</t>
  </si>
  <si>
    <t>1 Direct Labor_02_01 - Extralegal fuel</t>
  </si>
  <si>
    <t>1 Direct Labor_02_02 - Rental private cars</t>
  </si>
  <si>
    <t>1 Direct Labor_03 - Insurance</t>
  </si>
  <si>
    <t>1 Direct Labor_04 - Travel</t>
  </si>
  <si>
    <t>1 Direct Labor_05 - Training</t>
  </si>
  <si>
    <t>1 Direct Labor_06 - Temporary staff</t>
  </si>
  <si>
    <t>1 Direct Labor_07 - Personal Protection Equipment (PPE)</t>
  </si>
  <si>
    <t>1 Equipment_01_01 - Maintenance &amp; repair AMS Cranes</t>
  </si>
  <si>
    <t>1 Equipment_02 - Fuel</t>
  </si>
  <si>
    <t>1 Equipment_03 - Insurance</t>
  </si>
  <si>
    <t>1 Equipment_05 - Rent</t>
  </si>
  <si>
    <t>1 Equipment_06 - Intrest</t>
  </si>
  <si>
    <t>1 Equipment_07 - Depreciation</t>
  </si>
  <si>
    <t>1 Equipment_08 - Taxes (incl. Duties)</t>
  </si>
  <si>
    <t>1 Equipment_09 - Technical inspection</t>
  </si>
  <si>
    <t>1 Equipment_10 - Off-balance rent</t>
  </si>
  <si>
    <t>1 Overhead_01 - Communication</t>
  </si>
  <si>
    <t>1 Overhead_02 - Facilities</t>
  </si>
  <si>
    <t>1 Overhead_06 - Legal</t>
  </si>
  <si>
    <t>1 Overhead_06_01 - Legal general</t>
  </si>
  <si>
    <t>1 Overhead_06_02 - Legal insurance</t>
  </si>
  <si>
    <t>1 Overhead_07 - Management</t>
  </si>
  <si>
    <t>1 Overhead_10 - QESH</t>
  </si>
  <si>
    <t>1 Overhead_11 - Rent</t>
  </si>
  <si>
    <t>1 Overhead_12 - Sales</t>
  </si>
  <si>
    <t>1 Overhead_13 - Marketing</t>
  </si>
  <si>
    <t>1 Overhead_15 - White collars</t>
  </si>
  <si>
    <t>1 Overhead_15_01 - Salary</t>
  </si>
  <si>
    <t>1 Overhead_15_02 - Extralegal</t>
  </si>
  <si>
    <t>1 Overhead_15_02_02 - Rental private cars</t>
  </si>
  <si>
    <t>1 Overhead_15_03 - Insurance</t>
  </si>
  <si>
    <t>1 Overhead_15_04 - Travel &amp; entertainment</t>
  </si>
  <si>
    <t>1 Overhead_15_05 - Training</t>
  </si>
  <si>
    <t>1 Overhead_15_06 - Temporary staff</t>
  </si>
  <si>
    <t>1 Overhead_15_07 - Personal Protection Equipment (PPE)</t>
  </si>
  <si>
    <t>1 Overhead_15_08 - Other</t>
  </si>
  <si>
    <t>1 Overhead_18 - Treasury</t>
  </si>
  <si>
    <t>1 Overhead_19 - Taxes</t>
  </si>
  <si>
    <t>1 Overhead_20 - Non-assignable</t>
  </si>
  <si>
    <t>1 Overhead_21 - Other</t>
  </si>
  <si>
    <t>1 Overhead_02_23 - FAC AMS ICAD</t>
  </si>
  <si>
    <t>1 Overhead_03_09 - Finance &amp; Controlling AMS</t>
  </si>
  <si>
    <t>1 Overhead_04_09 - HR AMS</t>
  </si>
  <si>
    <t>1 Overhead_08_10 - Office management AMS</t>
  </si>
  <si>
    <t>1 Direct Labor_02_03 - Housing</t>
  </si>
  <si>
    <t>1 Direct Labor_02_04 - Utilities</t>
  </si>
  <si>
    <t>1 Direct Labor_02_07 - Laundry service</t>
  </si>
  <si>
    <t>1 Overhead_04_90 - HR Recruitment</t>
  </si>
  <si>
    <t>1 Direct Labor_08 - Other</t>
  </si>
  <si>
    <t>1 Direct Labor_02_08 - Food</t>
  </si>
  <si>
    <t>1 Direct Labor_02_09 - Visa &amp; licenses</t>
  </si>
  <si>
    <t>1 Overhead_26 - IT</t>
  </si>
  <si>
    <t>1 Equipment_00 - AMS Internal</t>
  </si>
  <si>
    <t>1 Equipment_01_02 - Maintenance &amp; repair Earth Works</t>
  </si>
  <si>
    <t>1 Equipment_04_01 - Assets non depreciated AMS Cranes</t>
  </si>
  <si>
    <t>1 Equipment_04_02 - Assets non depreciated Earth Works</t>
  </si>
  <si>
    <t>1 Overhead_15_02_03 - Housing</t>
  </si>
  <si>
    <t>1 Overhead_15_02_04 - Utilities</t>
  </si>
  <si>
    <t>1 Overhead_15_02_05 - School fees</t>
  </si>
  <si>
    <t>1 Overhead_15_02_06 - Child allowance</t>
  </si>
  <si>
    <t>1 Overhead_15_02_07 - Laundry service</t>
  </si>
  <si>
    <t>1 Overhead_15_02_08 - Food</t>
  </si>
  <si>
    <t>1 Overhead_15_02_09 - Visa &amp; Licenses</t>
  </si>
  <si>
    <t>1 Equipment_11_01 - Transport AMS Cranes</t>
  </si>
  <si>
    <t>1 Equipment_11_02 - Transport Earth Works</t>
  </si>
  <si>
    <t>Workshop EM - Workshop EM</t>
  </si>
  <si>
    <t>Workshop EM_01 - Maintenance &amp; Repair</t>
  </si>
  <si>
    <t>Workshop EM_02 - Fuel</t>
  </si>
  <si>
    <t>Workshop EM_03 - Insurance</t>
  </si>
  <si>
    <t>Workshop EM_04 - Assets non depreciated</t>
  </si>
  <si>
    <t>Workshop EM_05 - Rent</t>
  </si>
  <si>
    <t>Workshop EM_06 - Intrest</t>
  </si>
  <si>
    <t>Workshop EM_07 - Depreciation</t>
  </si>
  <si>
    <t>Workshop EM_08 - Taxes</t>
  </si>
  <si>
    <t>Workshop EM_09 - Technical inspection</t>
  </si>
  <si>
    <t>Workshop EM_10 - Off-balance rent</t>
  </si>
  <si>
    <t>Workshop EM_11 - Transport</t>
  </si>
  <si>
    <t>Workshop EM_12 - Personnel</t>
  </si>
  <si>
    <t>Workshop EM_12_01 - Salary</t>
  </si>
  <si>
    <t>Workshop EM_12_02 - Extralegal</t>
  </si>
  <si>
    <t>Workshop EM_12_02_01 - Extralegal fuel</t>
  </si>
  <si>
    <t>Workshop EM_12_02_02 - Rental private cars</t>
  </si>
  <si>
    <t>Workshop EM_12_02_03 - Housing</t>
  </si>
  <si>
    <t>Workshop EM_12_02_04 - Utilities</t>
  </si>
  <si>
    <t>Workshop EM_12_02_05 - School fees</t>
  </si>
  <si>
    <t>Workshop EM_12_02_06 - Child allowance</t>
  </si>
  <si>
    <t>Workshop EM_12_02_07 - Laundry service</t>
  </si>
  <si>
    <t>Workshop EM_12_02_08 - Food</t>
  </si>
  <si>
    <t>Workshop EM_12_02_09 - Visa &amp; licences</t>
  </si>
  <si>
    <t>Workshop EM_12_03 - Insurance</t>
  </si>
  <si>
    <t>Workshop EM_12_04 - Travel</t>
  </si>
  <si>
    <t>Workshop EM_12_05 - Training</t>
  </si>
  <si>
    <t>Workshop EM_12_06 - Temporary Staff</t>
  </si>
  <si>
    <t>Workshop EM_12_07 - Personel Protection Equipment (PPE)</t>
  </si>
  <si>
    <t>Workshop EM_12_08 - Other</t>
  </si>
  <si>
    <t>EMWYard - EMW Yard - Clean up</t>
  </si>
  <si>
    <t>1 Overhead_02_42 - AMS AD Workshop + office</t>
  </si>
  <si>
    <t>2 Project_02 - AMS AD</t>
  </si>
  <si>
    <t>J_Yard - J_Yard (operator hrs Yard)</t>
  </si>
  <si>
    <t>J_Workshop - J_Workshop (mechanic hrs Yard)</t>
  </si>
  <si>
    <t>R_Yard - R_Yard (operator hrs Yard)</t>
  </si>
  <si>
    <t>R_Workshop - R_Workshop (mechanic hrs Yard)</t>
  </si>
  <si>
    <t>1 Equipment_01_03 - Maintenance &amp; repair Shared Service</t>
  </si>
  <si>
    <t>CR Workshop - CR Workshop</t>
  </si>
  <si>
    <t>CR Workshop_01 - Maintenance &amp; Repair</t>
  </si>
  <si>
    <t>CR Workshop_02 - Fuel</t>
  </si>
  <si>
    <t>CR Workshop_03 - Insurance</t>
  </si>
  <si>
    <t>CR Workshop_04 - Assets non depreciated</t>
  </si>
  <si>
    <t>CR Workshop_05 - Rent</t>
  </si>
  <si>
    <t>CR Workshop_06 - Intrest</t>
  </si>
  <si>
    <t>CR Workshop_07 - Depreciation</t>
  </si>
  <si>
    <t>CR Workshop_08 - Taxes</t>
  </si>
  <si>
    <t>CR Workshop_09 - Technical inspection</t>
  </si>
  <si>
    <t>CR Workshop_10 - Off-balance rent</t>
  </si>
  <si>
    <t>CR Workshop_11 - Transport</t>
  </si>
  <si>
    <t>CR Workshop_12 - Personnel</t>
  </si>
  <si>
    <t>CR Workshop_12_01 - Salary</t>
  </si>
  <si>
    <t>CR Workshop_12_02 - Extralegal</t>
  </si>
  <si>
    <t>CR Workshop_12_03 - Insurance</t>
  </si>
  <si>
    <t>CR Workshop_12_04 - Travel</t>
  </si>
  <si>
    <t>CR Workshop_12_05 - Training</t>
  </si>
  <si>
    <t>CR Workshop_12_06 - Temporary Staff</t>
  </si>
  <si>
    <t>CR Workshop_12_07 - Personel Protection Equipment (PPE)</t>
  </si>
  <si>
    <t>CR Workshop_12_08 - Other</t>
  </si>
  <si>
    <t>CR Workshop_12_02_01 - Extralegal fuel</t>
  </si>
  <si>
    <t>CR Workshop_12_02_02 - Rental private cars</t>
  </si>
  <si>
    <t>CR Workshop_12_02_03 - Housing</t>
  </si>
  <si>
    <t>CR Workshop_12_02_04 - Utilities</t>
  </si>
  <si>
    <t>CR Workshop_12_02_05 - School fees</t>
  </si>
  <si>
    <t>CR Workshop_12_02_06 - Child allowance</t>
  </si>
  <si>
    <t>CR Workshop_12_02_07 - Laundry service</t>
  </si>
  <si>
    <t>CR Workshop_12_02_08 - Food</t>
  </si>
  <si>
    <t>CR Workshop_12_02_09 - Visa &amp; licences</t>
  </si>
  <si>
    <t>ETR-1162 - Trading asset ETR-1162  CAT D8R</t>
  </si>
  <si>
    <t>ETR-1163 - Trading asset ETR-1163 EX1200-6 raiser kit</t>
  </si>
  <si>
    <t>Workshop EM_13 - Batam</t>
  </si>
  <si>
    <t>T00000001 - AMS EM - Special External Transportation</t>
  </si>
  <si>
    <t>R90000000 - EM Training Yard</t>
  </si>
  <si>
    <t>R_Standby - R_Standby (operators hrs Standby)</t>
  </si>
  <si>
    <t>ETR-1196 - Trading asset 1196 - CAT D8T</t>
  </si>
  <si>
    <t>2 Project_02_42_03 - AD Floor Office UAE</t>
  </si>
  <si>
    <t>1 Equipment_04_03 - Assets non depreciated Shared Service</t>
  </si>
  <si>
    <t>T_Entity19</t>
  </si>
  <si>
    <t>R_bu</t>
  </si>
  <si>
    <t>DefinedName</t>
  </si>
  <si>
    <t>R_entity</t>
  </si>
  <si>
    <t>R_item_subtype_material</t>
  </si>
  <si>
    <t>R_item_subtype_service</t>
  </si>
  <si>
    <t>R_item_type</t>
  </si>
  <si>
    <t>R_location</t>
  </si>
  <si>
    <t>R_projects</t>
  </si>
  <si>
    <t>R_request_type</t>
  </si>
  <si>
    <t>R_requester_name</t>
  </si>
  <si>
    <t>R_warehouse_rep_name</t>
  </si>
  <si>
    <t>Business unit</t>
  </si>
  <si>
    <t>Warehouse (Inventory)</t>
  </si>
  <si>
    <t>1.0.3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</si>
</sst>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]d\ mmm\ yyyy;@" x16r2:formatCode16="[$-en-150,1]d\ mmm\ yyyy;@"/>
  </numFmts>
  <fonts count="18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0"/>
      <color theme="1"/>
      <name val="Arial Unicode MS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vertAlign val="superscript"/>
      <sz val="11"/>
      <color theme="1" tint="0.249977111117893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8" fillId="0" borderId="13" xfId="0" applyNumberFormat="1" applyFont="1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0" fontId="9" fillId="0" borderId="13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0" fillId="0" borderId="8" xfId="0" applyBorder="1"/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5" borderId="13" xfId="0" applyFill="1" applyBorder="1" applyAlignment="1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vertical="center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left" vertical="center"/>
      <protection locked="0"/>
    </xf>
    <xf numFmtId="0" fontId="17" fillId="0" borderId="13" xfId="0" applyFont="1" applyBorder="1" applyAlignment="1" applyProtection="1">
      <alignment vertical="center"/>
      <protection locked="0"/>
    </xf>
    <xf numFmtId="164" fontId="17" fillId="0" borderId="13" xfId="0" applyNumberFormat="1" applyFont="1" applyBorder="1" applyAlignment="1" applyProtection="1">
      <alignment vertical="center"/>
      <protection locked="0"/>
    </xf>
    <xf numFmtId="0" fontId="17" fillId="0" borderId="13" xfId="0" applyFont="1" applyBorder="1" applyAlignment="1">
      <alignment horizontal="left" vertical="center"/>
    </xf>
    <xf numFmtId="14" fontId="17" fillId="0" borderId="12" xfId="0" applyNumberFormat="1" applyFont="1" applyBorder="1" applyAlignment="1">
      <alignment horizontal="left" vertical="center"/>
    </xf>
    <xf numFmtId="0" fontId="0" fillId="5" borderId="12" xfId="0" applyFill="1" applyBorder="1" applyAlignment="1" applyProtection="1">
      <alignment horizontal="left" vertic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2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164" fontId="17" fillId="0" borderId="4" xfId="0" applyNumberFormat="1" applyFont="1" applyBorder="1" applyAlignment="1" applyProtection="1">
      <alignment horizontal="left" vertical="center"/>
      <protection locked="0"/>
    </xf>
    <xf numFmtId="0" fontId="17" fillId="0" borderId="3" xfId="0" applyFont="1" applyBorder="1" applyAlignment="1" applyProtection="1">
      <alignment horizontal="left" vertical="center"/>
      <protection locked="0"/>
    </xf>
    <xf numFmtId="164" fontId="17" fillId="0" borderId="16" xfId="0" applyNumberFormat="1" applyFont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0" fontId="17" fillId="0" borderId="13" xfId="0" applyFont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 wrapText="1"/>
    </xf>
    <xf numFmtId="164" fontId="17" fillId="0" borderId="3" xfId="0" applyNumberFormat="1" applyFont="1" applyBorder="1" applyAlignment="1" applyProtection="1">
      <alignment horizontal="left" vertical="center"/>
      <protection locked="0"/>
    </xf>
    <xf numFmtId="0" fontId="14" fillId="4" borderId="14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/>
      <protection locked="0"/>
    </xf>
    <xf numFmtId="164" fontId="17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64" fontId="11" fillId="0" borderId="12" xfId="0" applyNumberFormat="1" applyFont="1" applyBorder="1" applyAlignment="1" applyProtection="1">
      <alignment horizontal="center" vertical="center"/>
      <protection locked="0"/>
    </xf>
    <xf numFmtId="164" fontId="8" fillId="0" borderId="13" xfId="0" applyNumberFormat="1" applyFont="1" applyBorder="1" applyAlignment="1" applyProtection="1">
      <alignment horizontal="left" vertical="center"/>
      <protection locked="0"/>
    </xf>
    <xf numFmtId="0" fontId="14" fillId="4" borderId="12" xfId="0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locked="0"/>
    </xf>
    <xf numFmtId="0" fontId="9" fillId="0" borderId="13" xfId="0" applyFon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Medium9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113" name="chbox_workorder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E2E61-CB46-6034-8E6D-384CC472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238125</xdr:rowOff>
        </xdr:from>
        <xdr:to>
          <xdr:col>3</xdr:col>
          <xdr:colOff>1533525</xdr:colOff>
          <xdr:row>11</xdr:row>
          <xdr:rowOff>266700</xdr:rowOff>
        </xdr:to>
        <xdr:sp macro="" textlink="">
          <xdr:nvSpPr>
            <xdr:cNvPr id="3124" name="btn_submit_request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1</xdr:col>
          <xdr:colOff>361950</xdr:colOff>
          <xdr:row>11</xdr:row>
          <xdr:rowOff>285750</xdr:rowOff>
        </xdr:to>
        <xdr:sp macro="" textlink="">
          <xdr:nvSpPr>
            <xdr:cNvPr id="3125" name="btn_new_request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10</xdr:row>
          <xdr:rowOff>238125</xdr:rowOff>
        </xdr:from>
        <xdr:to>
          <xdr:col>2</xdr:col>
          <xdr:colOff>533400</xdr:colOff>
          <xdr:row>11</xdr:row>
          <xdr:rowOff>285750</xdr:rowOff>
        </xdr:to>
        <xdr:sp macro="" textlink="">
          <xdr:nvSpPr>
            <xdr:cNvPr id="3176" name="btn_reset_line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371475</xdr:colOff>
          <xdr:row>6</xdr:row>
          <xdr:rowOff>171450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11</xdr:col>
          <xdr:colOff>847725</xdr:colOff>
          <xdr:row>7</xdr:row>
          <xdr:rowOff>19050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CB732B8-5F15-936A-F855-874ACF281FA8}"/>
            </a:ext>
          </a:extLst>
        </xdr:cNvPr>
        <xdr:cNvSpPr/>
      </xdr:nvSpPr>
      <xdr:spPr>
        <a:xfrm>
          <a:off x="0" y="1851085"/>
          <a:ext cx="178279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A8AE71-9D63-442F-B464-30339F59E9B8}"/>
            </a:ext>
          </a:extLst>
        </xdr:cNvPr>
        <xdr:cNvSpPr/>
      </xdr:nvSpPr>
      <xdr:spPr>
        <a:xfrm>
          <a:off x="5603575" y="1355066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FA86C47-4D5B-4F87-9719-52DD4EB7BB6C}"/>
            </a:ext>
          </a:extLst>
        </xdr:cNvPr>
        <xdr:cNvSpPr/>
      </xdr:nvSpPr>
      <xdr:spPr>
        <a:xfrm>
          <a:off x="5603575" y="1851085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9</xdr:col>
      <xdr:colOff>819149</xdr:colOff>
      <xdr:row>6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5849647-B497-46A2-BBFE-F3E5A705BBC3}"/>
            </a:ext>
          </a:extLst>
        </xdr:cNvPr>
        <xdr:cNvSpPr/>
      </xdr:nvSpPr>
      <xdr:spPr>
        <a:xfrm>
          <a:off x="10439399" y="1352550"/>
          <a:ext cx="2943226" cy="2476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9217" name="chbox_workor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B59969-5370-490D-9405-4F2623402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11</xdr:row>
          <xdr:rowOff>0</xdr:rowOff>
        </xdr:from>
        <xdr:to>
          <xdr:col>8</xdr:col>
          <xdr:colOff>38100</xdr:colOff>
          <xdr:row>11</xdr:row>
          <xdr:rowOff>314325</xdr:rowOff>
        </xdr:to>
        <xdr:sp macro="" textlink="">
          <xdr:nvSpPr>
            <xdr:cNvPr id="9218" name="btn_submit_reques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2</xdr:col>
          <xdr:colOff>723900</xdr:colOff>
          <xdr:row>11</xdr:row>
          <xdr:rowOff>285750</xdr:rowOff>
        </xdr:to>
        <xdr:sp macro="" textlink="">
          <xdr:nvSpPr>
            <xdr:cNvPr id="9219" name="btn_new_reques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0D1884-A5A3-4F27-817D-8936FC98934F}"/>
            </a:ext>
          </a:extLst>
        </xdr:cNvPr>
        <xdr:cNvSpPr txBox="1"/>
      </xdr:nvSpPr>
      <xdr:spPr>
        <a:xfrm>
          <a:off x="13573125" y="0"/>
          <a:ext cx="1638300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19050</xdr:rowOff>
        </xdr:from>
        <xdr:to>
          <xdr:col>4</xdr:col>
          <xdr:colOff>571500</xdr:colOff>
          <xdr:row>11</xdr:row>
          <xdr:rowOff>304800</xdr:rowOff>
        </xdr:to>
        <xdr:sp macro="" textlink="">
          <xdr:nvSpPr>
            <xdr:cNvPr id="9220" name="btn_reset_lin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800100</xdr:colOff>
          <xdr:row>7</xdr:row>
          <xdr:rowOff>0</xdr:rowOff>
        </xdr:to>
        <xdr:sp macro="" textlink="">
          <xdr:nvSpPr>
            <xdr:cNvPr id="9221" name="Chbox_Sourcing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22" name="chbox_rimse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3" name="chbox_postfacto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0ED7FE1-7BE1-4DBB-BE1C-F638D98C9344}"/>
            </a:ext>
          </a:extLst>
        </xdr:cNvPr>
        <xdr:cNvSpPr/>
      </xdr:nvSpPr>
      <xdr:spPr>
        <a:xfrm>
          <a:off x="0" y="1847850"/>
          <a:ext cx="1782433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799B80-6109-41C1-9F6D-850C3BB05D32}"/>
            </a:ext>
          </a:extLst>
        </xdr:cNvPr>
        <xdr:cNvSpPr/>
      </xdr:nvSpPr>
      <xdr:spPr>
        <a:xfrm>
          <a:off x="5600700" y="13525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33D5949-D560-4260-9D5A-37207B25A796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859047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F48FB6F-5357-4601-95E9-02EEC9FB337B}"/>
            </a:ext>
          </a:extLst>
        </xdr:cNvPr>
        <xdr:cNvSpPr/>
      </xdr:nvSpPr>
      <xdr:spPr>
        <a:xfrm>
          <a:off x="10439400" y="1352550"/>
          <a:ext cx="176392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E60794-2BD8-458E-AFA4-3F0853D8B5CF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002CDE4-49EE-4635-B58B-8F6B1DBC4C40}" autoFormatId="16" applyNumberFormats="0" applyBorderFormats="0" applyFontFormats="0" applyPatternFormats="0" applyAlignmentFormats="0" applyWidthHeightFormats="0">
  <queryTableRefresh nextId="35">
    <queryTableFields count="3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18" name="Data.ProjectID" tableColumnId="18"/>
      <queryTableField id="19" name="Data.ProjectID Abb" tableColumnId="19"/>
      <queryTableField id="20" name="Data.ProjectName" tableColumnId="20"/>
      <queryTableField id="21" name="Data.Location" tableColumnId="21"/>
      <queryTableField id="22" name="Data.dataAreaId" tableColumnId="22"/>
      <queryTableField id="23" name="Data.DimensionDisplayValue" tableColumnId="23"/>
      <queryTableField id="24" name="Data.ParentProject" tableColumnId="24"/>
      <queryTableField id="25" name="Data.ProjectStage" tableColumnId="25"/>
      <queryTableField id="26" name="Data.ProjectID_Name" tableColumnId="26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F09544A-F25C-4D0F-94B8-85433D4043FC}" autoFormatId="16" applyNumberFormats="0" applyBorderFormats="0" applyFontFormats="0" applyPatternFormats="0" applyAlignmentFormats="0" applyWidthHeightFormats="0">
  <queryTableRefresh nextId="64">
    <queryTableFields count="3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1" name="Data.ProjectID" tableColumnId="21"/>
      <queryTableField id="22" name="Data.ProjectID Abb" tableColumnId="22"/>
      <queryTableField id="23" name="Data.ProjectName" tableColumnId="23"/>
      <queryTableField id="24" name="Data.Location" tableColumnId="24"/>
      <queryTableField id="25" name="Data.dataAreaId" tableColumnId="25"/>
      <queryTableField id="26" name="Data.DimensionDisplayValue" tableColumnId="26"/>
      <queryTableField id="27" name="Data.ParentProject" tableColumnId="27"/>
      <queryTableField id="28" name="Data.ProjectStage" tableColumnId="28"/>
      <queryTableField id="29" name="Data.ProjectID_Name" tableColumnId="29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5589D2E1-B25E-48B3-89D9-4D5DF59D2506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5:N513" totalsRowShown="0" headerRowDxfId="90" dataDxfId="88" headerRowBorderDxfId="89">
  <autoFilter ref="A15:N513" xr:uid="{AAF4D28C-ABCE-491B-A4C9-D2EE94995289}"/>
  <tableColumns count="14">
    <tableColumn id="1" xr3:uid="{578DC884-C226-4181-A942-C6F05AFBBF7D}" name="Line num" dataDxfId="8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6"/>
    <tableColumn id="4" xr3:uid="{0E48D81F-BE1A-4B96-ADEA-3D97770A332D}" name="Work Order" dataDxfId="85"/>
    <tableColumn id="5" xr3:uid="{277D1136-7085-4C0A-A458-D5E4D46677EF}" name="Item Description" dataDxfId="84"/>
    <tableColumn id="6" xr3:uid="{CBDBFFAD-15F5-41AD-B0F5-B634C3DF8FFE}" name="Requested Qty" dataDxfId="83"/>
    <tableColumn id="9" xr3:uid="{16B8AA09-6C7B-4F94-926F-8C6EF3F03503}" name="Unit" dataDxfId="82"/>
    <tableColumn id="11" xr3:uid="{0735D067-CCAB-44AB-97E4-9C1FCD913F81}" name="Priority" dataDxfId="81"/>
    <tableColumn id="15" xr3:uid="{FF415555-D237-408D-80A6-2C0DA1709E64}" name="Object ID" dataDxfId="80"/>
    <tableColumn id="14" xr3:uid="{19D55DE9-E517-4376-9D89-134409A32586}" name="Object ID Short Desription" dataDxfId="79"/>
    <tableColumn id="12" xr3:uid="{53BF2286-669E-4E00-AD18-23198FCAF3AA}" name="Actual stock" dataDxfId="78"/>
    <tableColumn id="7" xr3:uid="{A783AF57-8F0D-4D2E-ABE6-056CEF4BD459}" name="Picked Qty" dataDxfId="77"/>
    <tableColumn id="8" xr3:uid="{9A5A0866-F1C0-4684-9829-A5ABBC090990}" name="Purchase Qty" dataDxfId="76">
      <calculatedColumnFormula>IF(OR(IPRF_Lines[[#This Row],[Requested Qty]]="",IPRF_Lines[[#This Row],[Picked Qty]]=""),"",IPRF_Lines[[#This Row],[Requested Qty]]-IPRF_Lines[[#This Row],[Picked Qty]])</calculatedColumnFormula>
    </tableColumn>
    <tableColumn id="2" xr3:uid="{EE3F0155-60BA-4E0D-B73C-11BD2CA4F956}" name="Item ID" dataDxfId="7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74">
      <calculatedColumnFormula array="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8D329-E26F-4D86-BD19-785285181789}" name="IPRF_Lines_Edit" displayName="IPRF_Lines_Edit" ref="A15:N513" totalsRowShown="0" headerRowDxfId="73" dataDxfId="71" headerRowBorderDxfId="72">
  <autoFilter ref="A15:N513" xr:uid="{AAF4D28C-ABCE-491B-A4C9-D2EE94995289}"/>
  <tableColumns count="14">
    <tableColumn id="1" xr3:uid="{40447059-F20E-4DDB-A400-FF4D5369E3BB}" name="Line num" dataDxfId="70">
      <calculatedColumnFormula>IF(
    OR(IPRF_Lines_Edit[[#This Row],[Item Description]]="",IPRF_Lines_Edit[[#This Row],[Requested Qty]]="",IPRF_Lines_Edit[[#This Row],[Unit]]=""),
    "",
    TEXT(ROW()-ROW(IPRF_Lines_Edit[[#Headers],[Line num]]), "000")
)</calculatedColumnFormula>
    </tableColumn>
    <tableColumn id="3" xr3:uid="{CF912286-D334-4261-9715-FB2FCFC3DE7A}" name="OEM Part number" dataDxfId="69"/>
    <tableColumn id="4" xr3:uid="{AEDDA452-EB72-49FD-A773-57509883F2B3}" name="Work Order" dataDxfId="68"/>
    <tableColumn id="5" xr3:uid="{6A726EFA-29B6-446D-9395-E97E5BF13A06}" name="Item Description" dataDxfId="67"/>
    <tableColumn id="6" xr3:uid="{BC60B6CF-4639-4906-AC01-7F23ED72356F}" name="Requested Qty" dataDxfId="66"/>
    <tableColumn id="9" xr3:uid="{67914EB1-EC60-4D96-B4E8-DACA30C7DD65}" name="Unit" dataDxfId="65"/>
    <tableColumn id="11" xr3:uid="{F98FD142-EB31-412A-AED2-8D40ABE642AD}" name="Priority" dataDxfId="64"/>
    <tableColumn id="15" xr3:uid="{7ABEB22B-8031-4F9D-B53B-A088D902B36B}" name="Object ID" dataDxfId="63"/>
    <tableColumn id="14" xr3:uid="{3182EB7C-13CE-4B85-A7FB-47F222CB8576}" name="Object ID Short Desription" dataDxfId="62"/>
    <tableColumn id="12" xr3:uid="{F54B0EA3-3132-4851-9A7D-4B03909D79AE}" name="Actual stock" dataDxfId="61"/>
    <tableColumn id="7" xr3:uid="{1A40385C-26D6-40F6-99C4-B9AFF144F581}" name="Picked Qty" dataDxfId="60"/>
    <tableColumn id="8" xr3:uid="{28E43926-ECF0-49A7-9639-D86BC907F871}" name="Purchase Qty" dataDxfId="59">
      <calculatedColumnFormula>IF(OR(IPRF_Lines_Edit[[#This Row],[Requested Qty]]="",IPRF_Lines_Edit[[#This Row],[Picked Qty]]=""),"",IPRF_Lines_Edit[[#This Row],[Requested Qty]]-IPRF_Lines_Edit[[#This Row],[Picked Qty]])</calculatedColumnFormula>
    </tableColumn>
    <tableColumn id="2" xr3:uid="{6E554879-7275-4456-AA06-402663632E85}" name="Item ID" dataDxfId="58">
      <calculatedColumnFormula array="1">IF(
    OR(IPRF_Lines_Edit[[#This Row],[Item Description]]="",IPRF_Lines_Edit[[#This Row],[Requested Qty]]="",IPRF_Lines_Edit[[#This Row],[Unit]]=""),
    "",UPPER(IPRF_Header[Request number] &amp; "-" &amp; IPRF_Lines_Edit[[#This Row],[Line num]]))</calculatedColumnFormula>
    </tableColumn>
    <tableColumn id="13" xr3:uid="{3352EA7B-C716-4077-A080-978142CC59A6}" name="D365 Text Description" dataDxfId="57">
      <calculatedColumnFormula array="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2" totalsRowShown="0" headerRowDxfId="56" dataDxfId="55">
  <autoFilter ref="A1:D22" xr:uid="{CC6C3471-E566-4C9C-8E3A-0BC62FDA3439}"/>
  <tableColumns count="4">
    <tableColumn id="1" xr3:uid="{A8A0E5BB-7317-43D2-A607-77A5C3627EE4}" name="Parameters" dataDxfId="54"/>
    <tableColumn id="2" xr3:uid="{33D20711-0C72-411A-BC59-114801ED73AE}" name="Default value" dataDxfId="53"/>
    <tableColumn id="3" xr3:uid="{43BD9C19-A107-43B8-96A4-6E57559FDC83}" name="Related range" dataDxfId="52"/>
    <tableColumn id="4" xr3:uid="{8F4D767D-7D35-42EF-B64E-526E3B558467}" name="ActiveX control" dataDxfId="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Y2" totalsRowShown="0" headerRowDxfId="49" dataDxfId="47" headerRowBorderDxfId="48" tableBorderDxfId="46" totalsRowBorderDxfId="45">
  <autoFilter ref="A1:Y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3" xr3:uid="{2FCB20E5-9B02-405D-90CE-D3B4F7565834}" name="Request number" dataDxfId="44"/>
    <tableColumn id="4" xr3:uid="{A5C64650-D7CF-4FE4-B190-C85DE9DFD9ED}" name="Subject" dataDxfId="43"/>
    <tableColumn id="11" xr3:uid="{EAA20670-E0CD-4083-BBD5-2B63003E9975}" name="Request type" dataDxfId="42"/>
    <tableColumn id="12" xr3:uid="{BB8B42EC-B2A9-4D25-B3DC-3763C5471FED}" name="Item type" dataDxfId="41"/>
    <tableColumn id="1" xr3:uid="{D071B403-653F-4EE4-A210-A473BCDA83D1}" name="Entity" dataDxfId="40"/>
    <tableColumn id="2" xr3:uid="{A71ABBAE-2B43-4B83-AA24-D61326ED3DD3}" name="BU Unit" dataDxfId="39"/>
    <tableColumn id="14" xr3:uid="{1894280C-2AE3-4820-B008-E4F30B1DFCFD}" name="Sourcingrequired" dataDxfId="38"/>
    <tableColumn id="5" xr3:uid="{AA36CAAB-5703-4483-AB55-5B6CC568B425}" name="Sourcingref" dataDxfId="37"/>
    <tableColumn id="15" xr3:uid="{9CE6BF0B-8215-4ED2-AF65-FC912C626897}" name="Postfacto" dataDxfId="36"/>
    <tableColumn id="16" xr3:uid="{E2535574-F39A-4225-93BF-21A639FF4A89}" name="Postfactoref" dataDxfId="35"/>
    <tableColumn id="6" xr3:uid="{015273AD-59B4-4C29-BC29-26EEE8DE864A}" name="Request Date" dataDxfId="34"/>
    <tableColumn id="8" xr3:uid="{721DCA9C-7EDE-4D10-B49F-8BDA778C2148}" name="Required by" dataDxfId="33"/>
    <tableColumn id="17" xr3:uid="{8B99BBCC-4C55-4BB2-867E-9765A0330223}" name="RequestedInRimses" dataDxfId="32"/>
    <tableColumn id="18" xr3:uid="{4C7FFAF8-AA21-4559-BA61-D45AE5154453}" name="Rimsesref" dataDxfId="31"/>
    <tableColumn id="19" xr3:uid="{959EF2CE-51AE-46C5-BDDF-3A3A67BF89BB}" name="Workorderavailable" dataDxfId="30"/>
    <tableColumn id="20" xr3:uid="{F44EC7C1-66CD-4D6A-BFAE-47695CB0996C}" name="WorkorderRef" dataDxfId="29"/>
    <tableColumn id="21" xr3:uid="{5DD6B7C5-F70B-4152-B8A9-9415CDAF72F8}" name="Project ID" dataDxfId="28"/>
    <tableColumn id="24" xr3:uid="{CFD2E743-8A69-4F3C-8EB3-7A966722F15E}" name="Location" dataDxfId="27"/>
    <tableColumn id="10" xr3:uid="{0E3F9419-4090-40C4-90F4-65D60DFDA8E1}" name="Requester" dataDxfId="26"/>
    <tableColumn id="27" xr3:uid="{C56F0890-5C15-446C-AC93-0DDD4104F511}" name="Requester Email" dataDxfId="25"/>
    <tableColumn id="7" xr3:uid="{E842D90A-D009-483D-A2F2-4F83A45F16BD}" name="Warehouse Rep" dataDxfId="24"/>
    <tableColumn id="28" xr3:uid="{535A78DC-32BD-498A-A77C-EB4A169CDE57}" name="Warehouse Rep Email" dataDxfId="23"/>
    <tableColumn id="9" xr3:uid="{3CB12AF8-F18E-497C-AC43-35197E65806A}" name="Assigned Buyer" dataDxfId="22"/>
    <tableColumn id="29" xr3:uid="{FF2EE2F5-F610-48B0-8FF1-823DBDF6E249}" name="Buyer Email" dataDxfId="21"/>
    <tableColumn id="13" xr3:uid="{7FA3360B-0F43-4619-8728-BD88C91DF9E6}" name="Version" dataDxfId="2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26" totalsRowShown="0" headerRowDxfId="19" dataDxfId="18">
  <autoFilter ref="A1:E26" xr:uid="{49AF5143-6073-4CEF-B0DE-618244C0309D}"/>
  <tableColumns count="5">
    <tableColumn id="1" xr3:uid="{F19EDF1D-F0C4-48F7-B81A-4393A25EDEEE}" name="Header column name" dataDxfId="17"/>
    <tableColumn id="2" xr3:uid="{6EFD5190-925C-4615-AC35-D849D6305918}" name="Input reference" dataDxfId="16"/>
    <tableColumn id="3" xr3:uid="{6ABD105A-1EC2-4C17-9949-0EDCF075057D}" name="ActiveX" dataDxfId="15"/>
    <tableColumn id="4" xr3:uid="{3535AE2B-F097-45F0-A514-646E0249FC7A}" name="Validation" dataDxfId="14"/>
    <tableColumn id="5" xr3:uid="{982719B4-EC4E-4F6D-87A1-28393E0C1239}" name="Remarks" dataDxfId="1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M9" totalsRowShown="0" headerRowDxfId="12" dataDxfId="11">
  <autoFilter ref="I1:M9" xr:uid="{91C7268D-5EA4-48DA-961F-52649D8E0067}"/>
  <tableColumns count="5">
    <tableColumn id="3" xr3:uid="{3A1F8A8C-071A-4492-A715-80A735EE5BA6}" name="ActiveX" dataDxfId="10"/>
    <tableColumn id="1" xr3:uid="{800450DD-D99A-45DB-B587-76D32D58F509}" name="Value" dataDxfId="9"/>
    <tableColumn id="2" xr3:uid="{1F5DE1BD-DE8A-4A77-B0CD-B333178A35FC}" name="Related reference" dataDxfId="8"/>
    <tableColumn id="4" xr3:uid="{79E2A030-A707-49D8-BCC0-76AC16D63B19}" name="Content" dataDxfId="7"/>
    <tableColumn id="5" xr3:uid="{E248F177-3CB8-48A1-AE14-A39B4E53A611}" name="Properties" dataDxf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AH2805" tableType="queryTable" totalsRowShown="0">
  <autoFilter ref="A1:AH2805" xr:uid="{A6ED8A2F-C4CC-44A0-B6FA-A3E4E2A62F44}"/>
  <tableColumns count="34">
    <tableColumn id="1" xr3:uid="{1938E66F-BEC3-4224-A587-0071ADAF8D8B}" uniqueName="1" name="Name" queryTableFieldId="1" dataDxfId="5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0" xr3:uid="{4F736B94-0A2B-42F0-B1D9-35B0678FE883}" uniqueName="20" name="Data.ProjectName" queryTableFieldId="20"/>
    <tableColumn id="21" xr3:uid="{3BA7A7F6-F169-4C60-9E08-05EA1E08EF69}" uniqueName="21" name="Data.Location" queryTableFieldId="21"/>
    <tableColumn id="22" xr3:uid="{10C317D2-F129-4C26-959A-46E21CFA1E5A}" uniqueName="22" name="Data.dataAreaId" queryTableFieldId="22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6" xr3:uid="{1BA18A96-C398-4FAA-90B9-6DB70FEC1951}" uniqueName="26" name="Data.ProjectID_Name" queryTableFieldId="26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32" xr3:uid="{3D623911-B8AA-401B-B782-ED37EDBB84C9}" uniqueName="32" name="Item" queryTableFieldId="32" dataDxfId="4"/>
    <tableColumn id="33" xr3:uid="{B9D0969E-0AF8-48C8-B30A-2C330E821734}" uniqueName="33" name="Kind" queryTableFieldId="33" dataDxfId="3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AH2805" tableType="queryTable" totalsRowShown="0">
  <autoFilter ref="A1:AH2805" xr:uid="{10D62B92-0345-4012-8793-0E407FBA560C}"/>
  <tableColumns count="34">
    <tableColumn id="1" xr3:uid="{11290DDF-B753-402C-8AA9-B9D5465F1C20}" uniqueName="1" name="Name" queryTableFieldId="1" dataDxfId="2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3" xr3:uid="{52CA9AF2-3B5E-4795-9AF4-96552516FEBD}" uniqueName="23" name="Data.ProjectName" queryTableFieldId="23"/>
    <tableColumn id="24" xr3:uid="{8E2A2F75-BCFD-4E20-B4AB-90C450B01212}" uniqueName="24" name="Data.Location" queryTableFieldId="24"/>
    <tableColumn id="25" xr3:uid="{125A928B-25EA-4D8E-852F-948430B8D764}" uniqueName="25" name="Data.dataAreaId" queryTableFieldId="25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9" xr3:uid="{36AE06E9-387B-439F-A360-C0A859C3D2FF}" uniqueName="29" name="Data.ProjectID_Name" queryTableFieldId="29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3" xr3:uid="{87E74362-C74B-4840-BD36-D8FD05C271CB}" uniqueName="3" name="Item" queryTableFieldId="3" dataDxfId="1"/>
    <tableColumn id="4" xr3:uid="{14A25A60-0A32-42E4-A33D-3824C97A75CD}" uniqueName="4" name="Kind" queryTableFieldId="4" dataDxfId="0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C190" tableType="queryTable" totalsRowShown="0">
  <autoFilter ref="Y1:AC190" xr:uid="{67E3EF3D-ED4D-45B7-980D-E43CA269AFF2}"/>
  <tableColumns count="5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E1:AI19" tableType="queryTable" totalsRowShown="0">
  <autoFilter ref="AE1:AI19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K1:AO13" tableType="queryTable" totalsRowShown="0">
  <autoFilter ref="AK1:AO13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N513"/>
  <sheetViews>
    <sheetView showGridLines="0" tabSelected="1" zoomScaleNormal="100" workbookViewId="0">
      <selection activeCell="K19" sqref="K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90"/>
      <c r="D5" s="90"/>
      <c r="F5" s="80" t="s">
        <v>3</v>
      </c>
      <c r="G5" s="81"/>
      <c r="H5" s="91"/>
      <c r="I5" s="91"/>
      <c r="J5" s="38"/>
      <c r="K5" s="80" t="s">
        <v>4</v>
      </c>
      <c r="L5" s="82"/>
      <c r="M5" s="79"/>
      <c r="N5" s="78"/>
    </row>
    <row r="6" spans="1:14" s="15" customFormat="1" ht="20.100000000000001" customHeight="1">
      <c r="A6" s="80" t="s">
        <v>5</v>
      </c>
      <c r="B6" s="81"/>
      <c r="C6" s="91" t="s">
        <v>6</v>
      </c>
      <c r="D6" s="91"/>
      <c r="F6" s="80" t="s">
        <v>7</v>
      </c>
      <c r="G6" s="81"/>
      <c r="H6" s="86" t="s">
        <v>8</v>
      </c>
      <c r="I6" s="86"/>
      <c r="J6" s="38"/>
      <c r="K6" s="80" t="s">
        <v>9</v>
      </c>
      <c r="L6" s="82"/>
      <c r="M6" s="79"/>
      <c r="N6" s="74" t="s">
        <v>10</v>
      </c>
    </row>
    <row r="7" spans="1:14" s="15" customFormat="1" ht="20.100000000000001" customHeight="1">
      <c r="A7" s="80" t="s">
        <v>11</v>
      </c>
      <c r="B7" s="81"/>
      <c r="C7" s="91" t="s">
        <v>12</v>
      </c>
      <c r="D7" s="91"/>
      <c r="F7" s="80"/>
      <c r="G7" s="82"/>
      <c r="H7" s="83"/>
      <c r="I7" s="84"/>
      <c r="J7" s="38"/>
      <c r="K7" s="80"/>
      <c r="L7" s="82"/>
      <c r="M7" s="79"/>
      <c r="N7" s="77"/>
    </row>
    <row r="8" spans="1:14" s="15" customFormat="1" ht="20.100000000000001" customHeight="1">
      <c r="A8" s="80" t="s">
        <v>13</v>
      </c>
      <c r="B8" s="81"/>
      <c r="C8" s="93">
        <f ca="1">TODAY()+2</f>
        <v>46023</v>
      </c>
      <c r="D8" s="93"/>
      <c r="F8" s="80" t="s">
        <v>14</v>
      </c>
      <c r="G8" s="81"/>
      <c r="H8" s="87"/>
      <c r="I8" s="87"/>
      <c r="K8" s="80" t="s">
        <v>15</v>
      </c>
      <c r="L8" s="82"/>
      <c r="M8" s="79"/>
      <c r="N8" s="75"/>
    </row>
    <row r="9" spans="1:14" s="15" customFormat="1" ht="20.100000000000001" customHeight="1">
      <c r="A9" s="94"/>
      <c r="B9" s="95"/>
      <c r="C9" s="83"/>
      <c r="D9" s="84"/>
      <c r="F9" s="80"/>
      <c r="G9" s="82"/>
      <c r="H9" s="83"/>
      <c r="I9" s="84"/>
      <c r="J9" s="38"/>
      <c r="K9" s="80" t="s">
        <v>16</v>
      </c>
      <c r="L9" s="82"/>
      <c r="M9" s="79"/>
      <c r="N9" s="76" t="s">
        <v>17</v>
      </c>
    </row>
    <row r="10" spans="1:14" s="15" customFormat="1" ht="20.100000000000001" customHeight="1">
      <c r="A10" s="80" t="s">
        <v>18</v>
      </c>
      <c r="B10" s="81"/>
      <c r="C10" s="96"/>
      <c r="D10" s="97"/>
      <c r="F10" s="80" t="s">
        <v>19</v>
      </c>
      <c r="G10" s="81"/>
      <c r="H10" s="85"/>
      <c r="I10" s="85"/>
      <c r="J10" s="38"/>
      <c r="K10" s="80" t="s">
        <v>20</v>
      </c>
      <c r="L10" s="82"/>
      <c r="M10" s="79"/>
      <c r="N10" s="76"/>
    </row>
    <row r="11" spans="1:14" s="15" customFormat="1" ht="20.100000000000001" customHeight="1">
      <c r="I11" s="38"/>
      <c r="J11" s="38"/>
      <c r="K11" s="80" t="s">
        <v>2136</v>
      </c>
      <c r="L11" s="82"/>
      <c r="M11" s="79"/>
      <c r="N11" s="76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15.75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" s="6"/>
      <c r="C16" s="7"/>
      <c r="D16" s="8"/>
      <c r="E16" s="9"/>
      <c r="F16" s="10"/>
      <c r="G16" s="10"/>
      <c r="H16" s="10"/>
      <c r="I16" s="10"/>
      <c r="J16" s="60"/>
      <c r="K16" s="9"/>
      <c r="L16" s="58" t="str">
        <f>IF(OR(IPRF_Lines[[#This Row],[Requested Qty]]="",IPRF_Lines[[#This Row],[Picked Qty]]=""),"",IPRF_Lines[[#This Row],[Requested Qty]]-IPRF_Lines[[#This Row],[Picked Qty]])</f>
        <v/>
      </c>
      <c r="M16" s="18" t="str" cm="1">
        <f t="array" ref="M16">IF(
    OR(IPRF_Lines[[#This Row],[Item Description]]="",IPRF_Lines[[#This Row],[Requested Qty]]="",IPRF_Lines[[#This Row],[Unit]]=""),
    "",UPPER(IPRF_Header[Request number] &amp; "-" &amp; IPRF_Lines[[#This Row],[Line num]]))</f>
        <v/>
      </c>
      <c r="N16" s="19" t="str" cm="1">
        <f t="array" ref="N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" s="6"/>
      <c r="C17" s="7"/>
      <c r="D17" s="6"/>
      <c r="E17" s="9"/>
      <c r="F17" s="10"/>
      <c r="G17" s="10"/>
      <c r="H17" s="7"/>
      <c r="I17" s="7"/>
      <c r="J17" s="60"/>
      <c r="K17" s="9"/>
      <c r="L17" s="58" t="str">
        <f>IF(OR(IPRF_Lines[[#This Row],[Requested Qty]]="",IPRF_Lines[[#This Row],[Picked Qty]]=""),"",IPRF_Lines[[#This Row],[Requested Qty]]-IPRF_Lines[[#This Row],[Picked Qty]])</f>
        <v/>
      </c>
      <c r="M17" s="18" t="str" cm="1">
        <f t="array" ref="M17">IF(
    OR(IPRF_Lines[[#This Row],[Item Description]]="",IPRF_Lines[[#This Row],[Requested Qty]]="",IPRF_Lines[[#This Row],[Unit]]=""),
    "",UPPER(IPRF_Header[Request number] &amp; "-" &amp; IPRF_Lines[[#This Row],[Line num]]))</f>
        <v/>
      </c>
      <c r="N17" s="19" t="str" cm="1">
        <f t="array" ref="N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IF(OR(IPRF_Lines[[#This Row],[Requested Qty]]="",IPRF_Lines[[#This Row],[Picked Qty]]=""),"",IPRF_Lines[[#This Row],[Requested Qty]]-IPRF_Lines[[#This Row],[Picked Qty]])</f>
        <v/>
      </c>
      <c r="M18" s="18" t="str" cm="1">
        <f t="array" ref="M18">IF(
    OR(IPRF_Lines[[#This Row],[Item Description]]="",IPRF_Lines[[#This Row],[Requested Qty]]="",IPRF_Lines[[#This Row],[Unit]]=""),
    "",UPPER(IPRF_Header[Request number] &amp; "-" &amp; IPRF_Lines[[#This Row],[Line num]]))</f>
        <v/>
      </c>
      <c r="N18" s="19" t="str" cm="1">
        <f t="array" ref="N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IF(OR(IPRF_Lines[[#This Row],[Requested Qty]]="",IPRF_Lines[[#This Row],[Picked Qty]]=""),"",IPRF_Lines[[#This Row],[Requested Qty]]-IPRF_Lines[[#This Row],[Picked Qty]])</f>
        <v/>
      </c>
      <c r="M19" s="18" t="str" cm="1">
        <f t="array" ref="M19">IF(
    OR(IPRF_Lines[[#This Row],[Item Description]]="",IPRF_Lines[[#This Row],[Requested Qty]]="",IPRF_Lines[[#This Row],[Unit]]=""),
    "",UPPER(IPRF_Header[Request number] &amp; "-" &amp; IPRF_Lines[[#This Row],[Line num]]))</f>
        <v/>
      </c>
      <c r="N19" s="19" t="str" cm="1">
        <f t="array" ref="N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IF(OR(IPRF_Lines[[#This Row],[Requested Qty]]="",IPRF_Lines[[#This Row],[Picked Qty]]=""),"",IPRF_Lines[[#This Row],[Requested Qty]]-IPRF_Lines[[#This Row],[Picked Qty]])</f>
        <v/>
      </c>
      <c r="M20" s="18" t="str" cm="1">
        <f t="array" ref="M20">IF(
    OR(IPRF_Lines[[#This Row],[Item Description]]="",IPRF_Lines[[#This Row],[Requested Qty]]="",IPRF_Lines[[#This Row],[Unit]]=""),
    "",UPPER(IPRF_Header[Request number] &amp; "-" &amp; IPRF_Lines[[#This Row],[Line num]]))</f>
        <v/>
      </c>
      <c r="N20" s="19" t="str" cm="1">
        <f t="array" ref="N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IF(OR(IPRF_Lines[[#This Row],[Requested Qty]]="",IPRF_Lines[[#This Row],[Picked Qty]]=""),"",IPRF_Lines[[#This Row],[Requested Qty]]-IPRF_Lines[[#This Row],[Picked Qty]])</f>
        <v/>
      </c>
      <c r="M21" s="18" t="str" cm="1">
        <f t="array" ref="M21">IF(
    OR(IPRF_Lines[[#This Row],[Item Description]]="",IPRF_Lines[[#This Row],[Requested Qty]]="",IPRF_Lines[[#This Row],[Unit]]=""),
    "",UPPER(IPRF_Header[Request number] &amp; "-" &amp; IPRF_Lines[[#This Row],[Line num]]))</f>
        <v/>
      </c>
      <c r="N21" s="19" t="str" cm="1">
        <f t="array" ref="N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IF(OR(IPRF_Lines[[#This Row],[Requested Qty]]="",IPRF_Lines[[#This Row],[Picked Qty]]=""),"",IPRF_Lines[[#This Row],[Requested Qty]]-IPRF_Lines[[#This Row],[Picked Qty]])</f>
        <v/>
      </c>
      <c r="M22" s="18" t="str" cm="1">
        <f t="array" ref="M22">IF(
    OR(IPRF_Lines[[#This Row],[Item Description]]="",IPRF_Lines[[#This Row],[Requested Qty]]="",IPRF_Lines[[#This Row],[Unit]]=""),
    "",UPPER(IPRF_Header[Request number] &amp; "-" &amp; IPRF_Lines[[#This Row],[Line num]]))</f>
        <v/>
      </c>
      <c r="N22" s="19" t="str" cm="1">
        <f t="array" ref="N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IF(OR(IPRF_Lines[[#This Row],[Requested Qty]]="",IPRF_Lines[[#This Row],[Picked Qty]]=""),"",IPRF_Lines[[#This Row],[Requested Qty]]-IPRF_Lines[[#This Row],[Picked Qty]])</f>
        <v/>
      </c>
      <c r="M23" s="18" t="str" cm="1">
        <f t="array" ref="M23">IF(
    OR(IPRF_Lines[[#This Row],[Item Description]]="",IPRF_Lines[[#This Row],[Requested Qty]]="",IPRF_Lines[[#This Row],[Unit]]=""),
    "",UPPER(IPRF_Header[Request number] &amp; "-" &amp; IPRF_Lines[[#This Row],[Line num]]))</f>
        <v/>
      </c>
      <c r="N23" s="19" t="str" cm="1">
        <f t="array" ref="N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IF(OR(IPRF_Lines[[#This Row],[Requested Qty]]="",IPRF_Lines[[#This Row],[Picked Qty]]=""),"",IPRF_Lines[[#This Row],[Requested Qty]]-IPRF_Lines[[#This Row],[Picked Qty]])</f>
        <v/>
      </c>
      <c r="M24" s="18" t="str" cm="1">
        <f t="array" ref="M24">IF(
    OR(IPRF_Lines[[#This Row],[Item Description]]="",IPRF_Lines[[#This Row],[Requested Qty]]="",IPRF_Lines[[#This Row],[Unit]]=""),
    "",UPPER(IPRF_Header[Request number] &amp; "-" &amp; IPRF_Lines[[#This Row],[Line num]]))</f>
        <v/>
      </c>
      <c r="N24" s="19" t="str" cm="1">
        <f t="array" ref="N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IF(OR(IPRF_Lines[[#This Row],[Requested Qty]]="",IPRF_Lines[[#This Row],[Picked Qty]]=""),"",IPRF_Lines[[#This Row],[Requested Qty]]-IPRF_Lines[[#This Row],[Picked Qty]])</f>
        <v/>
      </c>
      <c r="M25" s="18" t="str" cm="1">
        <f t="array" ref="M25">IF(
    OR(IPRF_Lines[[#This Row],[Item Description]]="",IPRF_Lines[[#This Row],[Requested Qty]]="",IPRF_Lines[[#This Row],[Unit]]=""),
    "",UPPER(IPRF_Header[Request number] &amp; "-" &amp; IPRF_Lines[[#This Row],[Line num]]))</f>
        <v/>
      </c>
      <c r="N25" s="19" t="str" cm="1">
        <f t="array" ref="N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IF(OR(IPRF_Lines[[#This Row],[Requested Qty]]="",IPRF_Lines[[#This Row],[Picked Qty]]=""),"",IPRF_Lines[[#This Row],[Requested Qty]]-IPRF_Lines[[#This Row],[Picked Qty]])</f>
        <v/>
      </c>
      <c r="M26" s="18" t="str" cm="1">
        <f t="array" ref="M26">IF(
    OR(IPRF_Lines[[#This Row],[Item Description]]="",IPRF_Lines[[#This Row],[Requested Qty]]="",IPRF_Lines[[#This Row],[Unit]]=""),
    "",UPPER(IPRF_Header[Request number] &amp; "-" &amp; IPRF_Lines[[#This Row],[Line num]]))</f>
        <v/>
      </c>
      <c r="N26" s="19" t="str" cm="1">
        <f t="array" ref="N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IF(OR(IPRF_Lines[[#This Row],[Requested Qty]]="",IPRF_Lines[[#This Row],[Picked Qty]]=""),"",IPRF_Lines[[#This Row],[Requested Qty]]-IPRF_Lines[[#This Row],[Picked Qty]])</f>
        <v/>
      </c>
      <c r="M27" s="18" t="str" cm="1">
        <f t="array" ref="M27">IF(
    OR(IPRF_Lines[[#This Row],[Item Description]]="",IPRF_Lines[[#This Row],[Requested Qty]]="",IPRF_Lines[[#This Row],[Unit]]=""),
    "",UPPER(IPRF_Header[Request number] &amp; "-" &amp; IPRF_Lines[[#This Row],[Line num]]))</f>
        <v/>
      </c>
      <c r="N27" s="19" t="str" cm="1">
        <f t="array" ref="N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IF(OR(IPRF_Lines[[#This Row],[Requested Qty]]="",IPRF_Lines[[#This Row],[Picked Qty]]=""),"",IPRF_Lines[[#This Row],[Requested Qty]]-IPRF_Lines[[#This Row],[Picked Qty]])</f>
        <v/>
      </c>
      <c r="M28" s="18" t="str" cm="1">
        <f t="array" ref="M28">IF(
    OR(IPRF_Lines[[#This Row],[Item Description]]="",IPRF_Lines[[#This Row],[Requested Qty]]="",IPRF_Lines[[#This Row],[Unit]]=""),
    "",UPPER(IPRF_Header[Request number] &amp; "-" &amp; IPRF_Lines[[#This Row],[Line num]]))</f>
        <v/>
      </c>
      <c r="N28" s="19" t="str" cm="1">
        <f t="array" ref="N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IF(OR(IPRF_Lines[[#This Row],[Requested Qty]]="",IPRF_Lines[[#This Row],[Picked Qty]]=""),"",IPRF_Lines[[#This Row],[Requested Qty]]-IPRF_Lines[[#This Row],[Picked Qty]])</f>
        <v/>
      </c>
      <c r="M29" s="18" t="str" cm="1">
        <f t="array" ref="M29">IF(
    OR(IPRF_Lines[[#This Row],[Item Description]]="",IPRF_Lines[[#This Row],[Requested Qty]]="",IPRF_Lines[[#This Row],[Unit]]=""),
    "",UPPER(IPRF_Header[Request number] &amp; "-" &amp; IPRF_Lines[[#This Row],[Line num]]))</f>
        <v/>
      </c>
      <c r="N29" s="19" t="str" cm="1">
        <f t="array" ref="N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IF(OR(IPRF_Lines[[#This Row],[Requested Qty]]="",IPRF_Lines[[#This Row],[Picked Qty]]=""),"",IPRF_Lines[[#This Row],[Requested Qty]]-IPRF_Lines[[#This Row],[Picked Qty]])</f>
        <v/>
      </c>
      <c r="M30" s="18" t="str" cm="1">
        <f t="array" ref="M30">IF(
    OR(IPRF_Lines[[#This Row],[Item Description]]="",IPRF_Lines[[#This Row],[Requested Qty]]="",IPRF_Lines[[#This Row],[Unit]]=""),
    "",UPPER(IPRF_Header[Request number] &amp; "-" &amp; IPRF_Lines[[#This Row],[Line num]]))</f>
        <v/>
      </c>
      <c r="N30" s="19" t="str" cm="1">
        <f t="array" ref="N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IF(OR(IPRF_Lines[[#This Row],[Requested Qty]]="",IPRF_Lines[[#This Row],[Picked Qty]]=""),"",IPRF_Lines[[#This Row],[Requested Qty]]-IPRF_Lines[[#This Row],[Picked Qty]])</f>
        <v/>
      </c>
      <c r="M31" s="18" t="str" cm="1">
        <f t="array" ref="M31">IF(
    OR(IPRF_Lines[[#This Row],[Item Description]]="",IPRF_Lines[[#This Row],[Requested Qty]]="",IPRF_Lines[[#This Row],[Unit]]=""),
    "",UPPER(IPRF_Header[Request number] &amp; "-" &amp; IPRF_Lines[[#This Row],[Line num]]))</f>
        <v/>
      </c>
      <c r="N31" s="19" t="str" cm="1">
        <f t="array" ref="N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IF(OR(IPRF_Lines[[#This Row],[Requested Qty]]="",IPRF_Lines[[#This Row],[Picked Qty]]=""),"",IPRF_Lines[[#This Row],[Requested Qty]]-IPRF_Lines[[#This Row],[Picked Qty]])</f>
        <v/>
      </c>
      <c r="M32" s="18" t="str" cm="1">
        <f t="array" ref="M32">IF(
    OR(IPRF_Lines[[#This Row],[Item Description]]="",IPRF_Lines[[#This Row],[Requested Qty]]="",IPRF_Lines[[#This Row],[Unit]]=""),
    "",UPPER(IPRF_Header[Request number] &amp; "-" &amp; IPRF_Lines[[#This Row],[Line num]]))</f>
        <v/>
      </c>
      <c r="N32" s="19" t="str" cm="1">
        <f t="array" ref="N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IF(OR(IPRF_Lines[[#This Row],[Requested Qty]]="",IPRF_Lines[[#This Row],[Picked Qty]]=""),"",IPRF_Lines[[#This Row],[Requested Qty]]-IPRF_Lines[[#This Row],[Picked Qty]])</f>
        <v/>
      </c>
      <c r="M33" s="18" t="str" cm="1">
        <f t="array" ref="M33">IF(
    OR(IPRF_Lines[[#This Row],[Item Description]]="",IPRF_Lines[[#This Row],[Requested Qty]]="",IPRF_Lines[[#This Row],[Unit]]=""),
    "",UPPER(IPRF_Header[Request number] &amp; "-" &amp; IPRF_Lines[[#This Row],[Line num]]))</f>
        <v/>
      </c>
      <c r="N33" s="19" t="str" cm="1">
        <f t="array" ref="N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IF(OR(IPRF_Lines[[#This Row],[Requested Qty]]="",IPRF_Lines[[#This Row],[Picked Qty]]=""),"",IPRF_Lines[[#This Row],[Requested Qty]]-IPRF_Lines[[#This Row],[Picked Qty]])</f>
        <v/>
      </c>
      <c r="M34" s="18" t="str" cm="1">
        <f t="array" ref="M34">IF(
    OR(IPRF_Lines[[#This Row],[Item Description]]="",IPRF_Lines[[#This Row],[Requested Qty]]="",IPRF_Lines[[#This Row],[Unit]]=""),
    "",UPPER(IPRF_Header[Request number] &amp; "-" &amp; IPRF_Lines[[#This Row],[Line num]]))</f>
        <v/>
      </c>
      <c r="N34" s="19" t="str" cm="1">
        <f t="array" ref="N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IF(OR(IPRF_Lines[[#This Row],[Requested Qty]]="",IPRF_Lines[[#This Row],[Picked Qty]]=""),"",IPRF_Lines[[#This Row],[Requested Qty]]-IPRF_Lines[[#This Row],[Picked Qty]])</f>
        <v/>
      </c>
      <c r="M35" s="18" t="str" cm="1">
        <f t="array" ref="M35">IF(
    OR(IPRF_Lines[[#This Row],[Item Description]]="",IPRF_Lines[[#This Row],[Requested Qty]]="",IPRF_Lines[[#This Row],[Unit]]=""),
    "",UPPER(IPRF_Header[Request number] &amp; "-" &amp; IPRF_Lines[[#This Row],[Line num]]))</f>
        <v/>
      </c>
      <c r="N35" s="19" t="str" cm="1">
        <f t="array" ref="N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IF(OR(IPRF_Lines[[#This Row],[Requested Qty]]="",IPRF_Lines[[#This Row],[Picked Qty]]=""),"",IPRF_Lines[[#This Row],[Requested Qty]]-IPRF_Lines[[#This Row],[Picked Qty]])</f>
        <v/>
      </c>
      <c r="M36" s="18" t="str" cm="1">
        <f t="array" ref="M36">IF(
    OR(IPRF_Lines[[#This Row],[Item Description]]="",IPRF_Lines[[#This Row],[Requested Qty]]="",IPRF_Lines[[#This Row],[Unit]]=""),
    "",UPPER(IPRF_Header[Request number] &amp; "-" &amp; IPRF_Lines[[#This Row],[Line num]]))</f>
        <v/>
      </c>
      <c r="N36" s="19" t="str" cm="1">
        <f t="array" ref="N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IF(OR(IPRF_Lines[[#This Row],[Requested Qty]]="",IPRF_Lines[[#This Row],[Picked Qty]]=""),"",IPRF_Lines[[#This Row],[Requested Qty]]-IPRF_Lines[[#This Row],[Picked Qty]])</f>
        <v/>
      </c>
      <c r="M37" s="18" t="str" cm="1">
        <f t="array" ref="M37">IF(
    OR(IPRF_Lines[[#This Row],[Item Description]]="",IPRF_Lines[[#This Row],[Requested Qty]]="",IPRF_Lines[[#This Row],[Unit]]=""),
    "",UPPER(IPRF_Header[Request number] &amp; "-" &amp; IPRF_Lines[[#This Row],[Line num]]))</f>
        <v/>
      </c>
      <c r="N37" s="19" t="str" cm="1">
        <f t="array" ref="N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IF(OR(IPRF_Lines[[#This Row],[Requested Qty]]="",IPRF_Lines[[#This Row],[Picked Qty]]=""),"",IPRF_Lines[[#This Row],[Requested Qty]]-IPRF_Lines[[#This Row],[Picked Qty]])</f>
        <v/>
      </c>
      <c r="M38" s="18" t="str" cm="1">
        <f t="array" ref="M38">IF(
    OR(IPRF_Lines[[#This Row],[Item Description]]="",IPRF_Lines[[#This Row],[Requested Qty]]="",IPRF_Lines[[#This Row],[Unit]]=""),
    "",UPPER(IPRF_Header[Request number] &amp; "-" &amp; IPRF_Lines[[#This Row],[Line num]]))</f>
        <v/>
      </c>
      <c r="N38" s="19" t="str" cm="1">
        <f t="array" ref="N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IF(OR(IPRF_Lines[[#This Row],[Requested Qty]]="",IPRF_Lines[[#This Row],[Picked Qty]]=""),"",IPRF_Lines[[#This Row],[Requested Qty]]-IPRF_Lines[[#This Row],[Picked Qty]])</f>
        <v/>
      </c>
      <c r="M39" s="18" t="str" cm="1">
        <f t="array" ref="M39">IF(
    OR(IPRF_Lines[[#This Row],[Item Description]]="",IPRF_Lines[[#This Row],[Requested Qty]]="",IPRF_Lines[[#This Row],[Unit]]=""),
    "",UPPER(IPRF_Header[Request number] &amp; "-" &amp; IPRF_Lines[[#This Row],[Line num]]))</f>
        <v/>
      </c>
      <c r="N39" s="19" t="str" cm="1">
        <f t="array" ref="N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IF(OR(IPRF_Lines[[#This Row],[Requested Qty]]="",IPRF_Lines[[#This Row],[Picked Qty]]=""),"",IPRF_Lines[[#This Row],[Requested Qty]]-IPRF_Lines[[#This Row],[Picked Qty]])</f>
        <v/>
      </c>
      <c r="M40" s="18" t="str" cm="1">
        <f t="array" ref="M40">IF(
    OR(IPRF_Lines[[#This Row],[Item Description]]="",IPRF_Lines[[#This Row],[Requested Qty]]="",IPRF_Lines[[#This Row],[Unit]]=""),
    "",UPPER(IPRF_Header[Request number] &amp; "-" &amp; IPRF_Lines[[#This Row],[Line num]]))</f>
        <v/>
      </c>
      <c r="N40" s="19" t="str" cm="1">
        <f t="array" ref="N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IF(OR(IPRF_Lines[[#This Row],[Requested Qty]]="",IPRF_Lines[[#This Row],[Picked Qty]]=""),"",IPRF_Lines[[#This Row],[Requested Qty]]-IPRF_Lines[[#This Row],[Picked Qty]])</f>
        <v/>
      </c>
      <c r="M41" s="18" t="str" cm="1">
        <f t="array" ref="M41">IF(
    OR(IPRF_Lines[[#This Row],[Item Description]]="",IPRF_Lines[[#This Row],[Requested Qty]]="",IPRF_Lines[[#This Row],[Unit]]=""),
    "",UPPER(IPRF_Header[Request number] &amp; "-" &amp; IPRF_Lines[[#This Row],[Line num]]))</f>
        <v/>
      </c>
      <c r="N41" s="19" t="str" cm="1">
        <f t="array" ref="N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IF(OR(IPRF_Lines[[#This Row],[Requested Qty]]="",IPRF_Lines[[#This Row],[Picked Qty]]=""),"",IPRF_Lines[[#This Row],[Requested Qty]]-IPRF_Lines[[#This Row],[Picked Qty]])</f>
        <v/>
      </c>
      <c r="M42" s="18" t="str" cm="1">
        <f t="array" ref="M42">IF(
    OR(IPRF_Lines[[#This Row],[Item Description]]="",IPRF_Lines[[#This Row],[Requested Qty]]="",IPRF_Lines[[#This Row],[Unit]]=""),
    "",UPPER(IPRF_Header[Request number] &amp; "-" &amp; IPRF_Lines[[#This Row],[Line num]]))</f>
        <v/>
      </c>
      <c r="N42" s="19" t="str" cm="1">
        <f t="array" ref="N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IF(OR(IPRF_Lines[[#This Row],[Requested Qty]]="",IPRF_Lines[[#This Row],[Picked Qty]]=""),"",IPRF_Lines[[#This Row],[Requested Qty]]-IPRF_Lines[[#This Row],[Picked Qty]])</f>
        <v/>
      </c>
      <c r="M43" s="18" t="str" cm="1">
        <f t="array" ref="M43">IF(
    OR(IPRF_Lines[[#This Row],[Item Description]]="",IPRF_Lines[[#This Row],[Requested Qty]]="",IPRF_Lines[[#This Row],[Unit]]=""),
    "",UPPER(IPRF_Header[Request number] &amp; "-" &amp; IPRF_Lines[[#This Row],[Line num]]))</f>
        <v/>
      </c>
      <c r="N43" s="19" t="str" cm="1">
        <f t="array" ref="N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IF(OR(IPRF_Lines[[#This Row],[Requested Qty]]="",IPRF_Lines[[#This Row],[Picked Qty]]=""),"",IPRF_Lines[[#This Row],[Requested Qty]]-IPRF_Lines[[#This Row],[Picked Qty]])</f>
        <v/>
      </c>
      <c r="M44" s="18" t="str" cm="1">
        <f t="array" ref="M44">IF(
    OR(IPRF_Lines[[#This Row],[Item Description]]="",IPRF_Lines[[#This Row],[Requested Qty]]="",IPRF_Lines[[#This Row],[Unit]]=""),
    "",UPPER(IPRF_Header[Request number] &amp; "-" &amp; IPRF_Lines[[#This Row],[Line num]]))</f>
        <v/>
      </c>
      <c r="N44" s="19" t="str" cm="1">
        <f t="array" ref="N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IF(OR(IPRF_Lines[[#This Row],[Requested Qty]]="",IPRF_Lines[[#This Row],[Picked Qty]]=""),"",IPRF_Lines[[#This Row],[Requested Qty]]-IPRF_Lines[[#This Row],[Picked Qty]])</f>
        <v/>
      </c>
      <c r="M45" s="18" t="str" cm="1">
        <f t="array" ref="M45">IF(
    OR(IPRF_Lines[[#This Row],[Item Description]]="",IPRF_Lines[[#This Row],[Requested Qty]]="",IPRF_Lines[[#This Row],[Unit]]=""),
    "",UPPER(IPRF_Header[Request number] &amp; "-" &amp; IPRF_Lines[[#This Row],[Line num]]))</f>
        <v/>
      </c>
      <c r="N45" s="19" t="str" cm="1">
        <f t="array" ref="N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IF(OR(IPRF_Lines[[#This Row],[Requested Qty]]="",IPRF_Lines[[#This Row],[Picked Qty]]=""),"",IPRF_Lines[[#This Row],[Requested Qty]]-IPRF_Lines[[#This Row],[Picked Qty]])</f>
        <v/>
      </c>
      <c r="M46" s="18" t="str" cm="1">
        <f t="array" ref="M46">IF(
    OR(IPRF_Lines[[#This Row],[Item Description]]="",IPRF_Lines[[#This Row],[Requested Qty]]="",IPRF_Lines[[#This Row],[Unit]]=""),
    "",UPPER(IPRF_Header[Request number] &amp; "-" &amp; IPRF_Lines[[#This Row],[Line num]]))</f>
        <v/>
      </c>
      <c r="N46" s="19" t="str" cm="1">
        <f t="array" ref="N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IF(OR(IPRF_Lines[[#This Row],[Requested Qty]]="",IPRF_Lines[[#This Row],[Picked Qty]]=""),"",IPRF_Lines[[#This Row],[Requested Qty]]-IPRF_Lines[[#This Row],[Picked Qty]])</f>
        <v/>
      </c>
      <c r="M47" s="18" t="str" cm="1">
        <f t="array" ref="M47">IF(
    OR(IPRF_Lines[[#This Row],[Item Description]]="",IPRF_Lines[[#This Row],[Requested Qty]]="",IPRF_Lines[[#This Row],[Unit]]=""),
    "",UPPER(IPRF_Header[Request number] &amp; "-" &amp; IPRF_Lines[[#This Row],[Line num]]))</f>
        <v/>
      </c>
      <c r="N47" s="19" t="str" cm="1">
        <f t="array" ref="N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IF(OR(IPRF_Lines[[#This Row],[Requested Qty]]="",IPRF_Lines[[#This Row],[Picked Qty]]=""),"",IPRF_Lines[[#This Row],[Requested Qty]]-IPRF_Lines[[#This Row],[Picked Qty]])</f>
        <v/>
      </c>
      <c r="M48" s="18" t="str" cm="1">
        <f t="array" ref="M48">IF(
    OR(IPRF_Lines[[#This Row],[Item Description]]="",IPRF_Lines[[#This Row],[Requested Qty]]="",IPRF_Lines[[#This Row],[Unit]]=""),
    "",UPPER(IPRF_Header[Request number] &amp; "-" &amp; IPRF_Lines[[#This Row],[Line num]]))</f>
        <v/>
      </c>
      <c r="N48" s="19" t="str" cm="1">
        <f t="array" ref="N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IF(OR(IPRF_Lines[[#This Row],[Requested Qty]]="",IPRF_Lines[[#This Row],[Picked Qty]]=""),"",IPRF_Lines[[#This Row],[Requested Qty]]-IPRF_Lines[[#This Row],[Picked Qty]])</f>
        <v/>
      </c>
      <c r="M49" s="18" t="str" cm="1">
        <f t="array" ref="M49">IF(
    OR(IPRF_Lines[[#This Row],[Item Description]]="",IPRF_Lines[[#This Row],[Requested Qty]]="",IPRF_Lines[[#This Row],[Unit]]=""),
    "",UPPER(IPRF_Header[Request number] &amp; "-" &amp; IPRF_Lines[[#This Row],[Line num]]))</f>
        <v/>
      </c>
      <c r="N49" s="19" t="str" cm="1">
        <f t="array" ref="N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IF(OR(IPRF_Lines[[#This Row],[Requested Qty]]="",IPRF_Lines[[#This Row],[Picked Qty]]=""),"",IPRF_Lines[[#This Row],[Requested Qty]]-IPRF_Lines[[#This Row],[Picked Qty]])</f>
        <v/>
      </c>
      <c r="M50" s="18" t="str" cm="1">
        <f t="array" ref="M50">IF(
    OR(IPRF_Lines[[#This Row],[Item Description]]="",IPRF_Lines[[#This Row],[Requested Qty]]="",IPRF_Lines[[#This Row],[Unit]]=""),
    "",UPPER(IPRF_Header[Request number] &amp; "-" &amp; IPRF_Lines[[#This Row],[Line num]]))</f>
        <v/>
      </c>
      <c r="N50" s="19" t="str" cm="1">
        <f t="array" ref="N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IF(OR(IPRF_Lines[[#This Row],[Requested Qty]]="",IPRF_Lines[[#This Row],[Picked Qty]]=""),"",IPRF_Lines[[#This Row],[Requested Qty]]-IPRF_Lines[[#This Row],[Picked Qty]])</f>
        <v/>
      </c>
      <c r="M51" s="18" t="str" cm="1">
        <f t="array" ref="M51">IF(
    OR(IPRF_Lines[[#This Row],[Item Description]]="",IPRF_Lines[[#This Row],[Requested Qty]]="",IPRF_Lines[[#This Row],[Unit]]=""),
    "",UPPER(IPRF_Header[Request number] &amp; "-" &amp; IPRF_Lines[[#This Row],[Line num]]))</f>
        <v/>
      </c>
      <c r="N51" s="19" t="str" cm="1">
        <f t="array" ref="N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IF(OR(IPRF_Lines[[#This Row],[Requested Qty]]="",IPRF_Lines[[#This Row],[Picked Qty]]=""),"",IPRF_Lines[[#This Row],[Requested Qty]]-IPRF_Lines[[#This Row],[Picked Qty]])</f>
        <v/>
      </c>
      <c r="M52" s="18" t="str" cm="1">
        <f t="array" ref="M52">IF(
    OR(IPRF_Lines[[#This Row],[Item Description]]="",IPRF_Lines[[#This Row],[Requested Qty]]="",IPRF_Lines[[#This Row],[Unit]]=""),
    "",UPPER(IPRF_Header[Request number] &amp; "-" &amp; IPRF_Lines[[#This Row],[Line num]]))</f>
        <v/>
      </c>
      <c r="N52" s="19" t="str" cm="1">
        <f t="array" ref="N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IF(OR(IPRF_Lines[[#This Row],[Requested Qty]]="",IPRF_Lines[[#This Row],[Picked Qty]]=""),"",IPRF_Lines[[#This Row],[Requested Qty]]-IPRF_Lines[[#This Row],[Picked Qty]])</f>
        <v/>
      </c>
      <c r="M53" s="18" t="str" cm="1">
        <f t="array" ref="M53">IF(
    OR(IPRF_Lines[[#This Row],[Item Description]]="",IPRF_Lines[[#This Row],[Requested Qty]]="",IPRF_Lines[[#This Row],[Unit]]=""),
    "",UPPER(IPRF_Header[Request number] &amp; "-" &amp; IPRF_Lines[[#This Row],[Line num]]))</f>
        <v/>
      </c>
      <c r="N53" s="19" t="str" cm="1">
        <f t="array" ref="N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IF(OR(IPRF_Lines[[#This Row],[Requested Qty]]="",IPRF_Lines[[#This Row],[Picked Qty]]=""),"",IPRF_Lines[[#This Row],[Requested Qty]]-IPRF_Lines[[#This Row],[Picked Qty]])</f>
        <v/>
      </c>
      <c r="M54" s="18" t="str" cm="1">
        <f t="array" ref="M54">IF(
    OR(IPRF_Lines[[#This Row],[Item Description]]="",IPRF_Lines[[#This Row],[Requested Qty]]="",IPRF_Lines[[#This Row],[Unit]]=""),
    "",UPPER(IPRF_Header[Request number] &amp; "-" &amp; IPRF_Lines[[#This Row],[Line num]]))</f>
        <v/>
      </c>
      <c r="N54" s="19" t="str" cm="1">
        <f t="array" ref="N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IF(OR(IPRF_Lines[[#This Row],[Requested Qty]]="",IPRF_Lines[[#This Row],[Picked Qty]]=""),"",IPRF_Lines[[#This Row],[Requested Qty]]-IPRF_Lines[[#This Row],[Picked Qty]])</f>
        <v/>
      </c>
      <c r="M55" s="18" t="str" cm="1">
        <f t="array" ref="M55">IF(
    OR(IPRF_Lines[[#This Row],[Item Description]]="",IPRF_Lines[[#This Row],[Requested Qty]]="",IPRF_Lines[[#This Row],[Unit]]=""),
    "",UPPER(IPRF_Header[Request number] &amp; "-" &amp; IPRF_Lines[[#This Row],[Line num]]))</f>
        <v/>
      </c>
      <c r="N55" s="19" t="str" cm="1">
        <f t="array" ref="N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IF(OR(IPRF_Lines[[#This Row],[Requested Qty]]="",IPRF_Lines[[#This Row],[Picked Qty]]=""),"",IPRF_Lines[[#This Row],[Requested Qty]]-IPRF_Lines[[#This Row],[Picked Qty]])</f>
        <v/>
      </c>
      <c r="M56" s="18" t="str" cm="1">
        <f t="array" ref="M56">IF(
    OR(IPRF_Lines[[#This Row],[Item Description]]="",IPRF_Lines[[#This Row],[Requested Qty]]="",IPRF_Lines[[#This Row],[Unit]]=""),
    "",UPPER(IPRF_Header[Request number] &amp; "-" &amp; IPRF_Lines[[#This Row],[Line num]]))</f>
        <v/>
      </c>
      <c r="N56" s="19" t="str" cm="1">
        <f t="array" ref="N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IF(OR(IPRF_Lines[[#This Row],[Requested Qty]]="",IPRF_Lines[[#This Row],[Picked Qty]]=""),"",IPRF_Lines[[#This Row],[Requested Qty]]-IPRF_Lines[[#This Row],[Picked Qty]])</f>
        <v/>
      </c>
      <c r="M57" s="18" t="str" cm="1">
        <f t="array" ref="M57">IF(
    OR(IPRF_Lines[[#This Row],[Item Description]]="",IPRF_Lines[[#This Row],[Requested Qty]]="",IPRF_Lines[[#This Row],[Unit]]=""),
    "",UPPER(IPRF_Header[Request number] &amp; "-" &amp; IPRF_Lines[[#This Row],[Line num]]))</f>
        <v/>
      </c>
      <c r="N57" s="19" t="str" cm="1">
        <f t="array" ref="N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IF(OR(IPRF_Lines[[#This Row],[Requested Qty]]="",IPRF_Lines[[#This Row],[Picked Qty]]=""),"",IPRF_Lines[[#This Row],[Requested Qty]]-IPRF_Lines[[#This Row],[Picked Qty]])</f>
        <v/>
      </c>
      <c r="M58" s="18" t="str" cm="1">
        <f t="array" ref="M58">IF(
    OR(IPRF_Lines[[#This Row],[Item Description]]="",IPRF_Lines[[#This Row],[Requested Qty]]="",IPRF_Lines[[#This Row],[Unit]]=""),
    "",UPPER(IPRF_Header[Request number] &amp; "-" &amp; IPRF_Lines[[#This Row],[Line num]]))</f>
        <v/>
      </c>
      <c r="N58" s="19" t="str" cm="1">
        <f t="array" ref="N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IF(OR(IPRF_Lines[[#This Row],[Requested Qty]]="",IPRF_Lines[[#This Row],[Picked Qty]]=""),"",IPRF_Lines[[#This Row],[Requested Qty]]-IPRF_Lines[[#This Row],[Picked Qty]])</f>
        <v/>
      </c>
      <c r="M59" s="18" t="str" cm="1">
        <f t="array" ref="M59">IF(
    OR(IPRF_Lines[[#This Row],[Item Description]]="",IPRF_Lines[[#This Row],[Requested Qty]]="",IPRF_Lines[[#This Row],[Unit]]=""),
    "",UPPER(IPRF_Header[Request number] &amp; "-" &amp; IPRF_Lines[[#This Row],[Line num]]))</f>
        <v/>
      </c>
      <c r="N59" s="19" t="str" cm="1">
        <f t="array" ref="N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IF(OR(IPRF_Lines[[#This Row],[Requested Qty]]="",IPRF_Lines[[#This Row],[Picked Qty]]=""),"",IPRF_Lines[[#This Row],[Requested Qty]]-IPRF_Lines[[#This Row],[Picked Qty]])</f>
        <v/>
      </c>
      <c r="M60" s="18" t="str" cm="1">
        <f t="array" ref="M60">IF(
    OR(IPRF_Lines[[#This Row],[Item Description]]="",IPRF_Lines[[#This Row],[Requested Qty]]="",IPRF_Lines[[#This Row],[Unit]]=""),
    "",UPPER(IPRF_Header[Request number] &amp; "-" &amp; IPRF_Lines[[#This Row],[Line num]]))</f>
        <v/>
      </c>
      <c r="N60" s="19" t="str" cm="1">
        <f t="array" ref="N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IF(OR(IPRF_Lines[[#This Row],[Requested Qty]]="",IPRF_Lines[[#This Row],[Picked Qty]]=""),"",IPRF_Lines[[#This Row],[Requested Qty]]-IPRF_Lines[[#This Row],[Picked Qty]])</f>
        <v/>
      </c>
      <c r="M61" s="18" t="str" cm="1">
        <f t="array" ref="M61">IF(
    OR(IPRF_Lines[[#This Row],[Item Description]]="",IPRF_Lines[[#This Row],[Requested Qty]]="",IPRF_Lines[[#This Row],[Unit]]=""),
    "",UPPER(IPRF_Header[Request number] &amp; "-" &amp; IPRF_Lines[[#This Row],[Line num]]))</f>
        <v/>
      </c>
      <c r="N61" s="19" t="str" cm="1">
        <f t="array" ref="N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IF(OR(IPRF_Lines[[#This Row],[Requested Qty]]="",IPRF_Lines[[#This Row],[Picked Qty]]=""),"",IPRF_Lines[[#This Row],[Requested Qty]]-IPRF_Lines[[#This Row],[Picked Qty]])</f>
        <v/>
      </c>
      <c r="M62" s="18" t="str" cm="1">
        <f t="array" ref="M62">IF(
    OR(IPRF_Lines[[#This Row],[Item Description]]="",IPRF_Lines[[#This Row],[Requested Qty]]="",IPRF_Lines[[#This Row],[Unit]]=""),
    "",UPPER(IPRF_Header[Request number] &amp; "-" &amp; IPRF_Lines[[#This Row],[Line num]]))</f>
        <v/>
      </c>
      <c r="N62" s="19" t="str" cm="1">
        <f t="array" ref="N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IF(OR(IPRF_Lines[[#This Row],[Requested Qty]]="",IPRF_Lines[[#This Row],[Picked Qty]]=""),"",IPRF_Lines[[#This Row],[Requested Qty]]-IPRF_Lines[[#This Row],[Picked Qty]])</f>
        <v/>
      </c>
      <c r="M63" s="18" t="str" cm="1">
        <f t="array" ref="M63">IF(
    OR(IPRF_Lines[[#This Row],[Item Description]]="",IPRF_Lines[[#This Row],[Requested Qty]]="",IPRF_Lines[[#This Row],[Unit]]=""),
    "",UPPER(IPRF_Header[Request number] &amp; "-" &amp; IPRF_Lines[[#This Row],[Line num]]))</f>
        <v/>
      </c>
      <c r="N63" s="19" t="str" cm="1">
        <f t="array" ref="N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IF(OR(IPRF_Lines[[#This Row],[Requested Qty]]="",IPRF_Lines[[#This Row],[Picked Qty]]=""),"",IPRF_Lines[[#This Row],[Requested Qty]]-IPRF_Lines[[#This Row],[Picked Qty]])</f>
        <v/>
      </c>
      <c r="M64" s="18" t="str" cm="1">
        <f t="array" ref="M64">IF(
    OR(IPRF_Lines[[#This Row],[Item Description]]="",IPRF_Lines[[#This Row],[Requested Qty]]="",IPRF_Lines[[#This Row],[Unit]]=""),
    "",UPPER(IPRF_Header[Request number] &amp; "-" &amp; IPRF_Lines[[#This Row],[Line num]]))</f>
        <v/>
      </c>
      <c r="N64" s="19" t="str" cm="1">
        <f t="array" ref="N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IF(OR(IPRF_Lines[[#This Row],[Requested Qty]]="",IPRF_Lines[[#This Row],[Picked Qty]]=""),"",IPRF_Lines[[#This Row],[Requested Qty]]-IPRF_Lines[[#This Row],[Picked Qty]])</f>
        <v/>
      </c>
      <c r="M65" s="18" t="str" cm="1">
        <f t="array" ref="M65">IF(
    OR(IPRF_Lines[[#This Row],[Item Description]]="",IPRF_Lines[[#This Row],[Requested Qty]]="",IPRF_Lines[[#This Row],[Unit]]=""),
    "",UPPER(IPRF_Header[Request number] &amp; "-" &amp; IPRF_Lines[[#This Row],[Line num]]))</f>
        <v/>
      </c>
      <c r="N65" s="19" t="str" cm="1">
        <f t="array" ref="N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IF(OR(IPRF_Lines[[#This Row],[Requested Qty]]="",IPRF_Lines[[#This Row],[Picked Qty]]=""),"",IPRF_Lines[[#This Row],[Requested Qty]]-IPRF_Lines[[#This Row],[Picked Qty]])</f>
        <v/>
      </c>
      <c r="M66" s="18" t="str" cm="1">
        <f t="array" ref="M66">IF(
    OR(IPRF_Lines[[#This Row],[Item Description]]="",IPRF_Lines[[#This Row],[Requested Qty]]="",IPRF_Lines[[#This Row],[Unit]]=""),
    "",UPPER(IPRF_Header[Request number] &amp; "-" &amp; IPRF_Lines[[#This Row],[Line num]]))</f>
        <v/>
      </c>
      <c r="N66" s="19" t="str" cm="1">
        <f t="array" ref="N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IF(OR(IPRF_Lines[[#This Row],[Requested Qty]]="",IPRF_Lines[[#This Row],[Picked Qty]]=""),"",IPRF_Lines[[#This Row],[Requested Qty]]-IPRF_Lines[[#This Row],[Picked Qty]])</f>
        <v/>
      </c>
      <c r="M67" s="18" t="str" cm="1">
        <f t="array" ref="M67">IF(
    OR(IPRF_Lines[[#This Row],[Item Description]]="",IPRF_Lines[[#This Row],[Requested Qty]]="",IPRF_Lines[[#This Row],[Unit]]=""),
    "",UPPER(IPRF_Header[Request number] &amp; "-" &amp; IPRF_Lines[[#This Row],[Line num]]))</f>
        <v/>
      </c>
      <c r="N67" s="19" t="str" cm="1">
        <f t="array" ref="N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IF(OR(IPRF_Lines[[#This Row],[Requested Qty]]="",IPRF_Lines[[#This Row],[Picked Qty]]=""),"",IPRF_Lines[[#This Row],[Requested Qty]]-IPRF_Lines[[#This Row],[Picked Qty]])</f>
        <v/>
      </c>
      <c r="M68" s="18" t="str" cm="1">
        <f t="array" ref="M68">IF(
    OR(IPRF_Lines[[#This Row],[Item Description]]="",IPRF_Lines[[#This Row],[Requested Qty]]="",IPRF_Lines[[#This Row],[Unit]]=""),
    "",UPPER(IPRF_Header[Request number] &amp; "-" &amp; IPRF_Lines[[#This Row],[Line num]]))</f>
        <v/>
      </c>
      <c r="N68" s="19" t="str" cm="1">
        <f t="array" ref="N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IF(OR(IPRF_Lines[[#This Row],[Requested Qty]]="",IPRF_Lines[[#This Row],[Picked Qty]]=""),"",IPRF_Lines[[#This Row],[Requested Qty]]-IPRF_Lines[[#This Row],[Picked Qty]])</f>
        <v/>
      </c>
      <c r="M69" s="18" t="str" cm="1">
        <f t="array" ref="M69">IF(
    OR(IPRF_Lines[[#This Row],[Item Description]]="",IPRF_Lines[[#This Row],[Requested Qty]]="",IPRF_Lines[[#This Row],[Unit]]=""),
    "",UPPER(IPRF_Header[Request number] &amp; "-" &amp; IPRF_Lines[[#This Row],[Line num]]))</f>
        <v/>
      </c>
      <c r="N69" s="19" t="str" cm="1">
        <f t="array" ref="N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IF(OR(IPRF_Lines[[#This Row],[Requested Qty]]="",IPRF_Lines[[#This Row],[Picked Qty]]=""),"",IPRF_Lines[[#This Row],[Requested Qty]]-IPRF_Lines[[#This Row],[Picked Qty]])</f>
        <v/>
      </c>
      <c r="M70" s="18" t="str" cm="1">
        <f t="array" ref="M70">IF(
    OR(IPRF_Lines[[#This Row],[Item Description]]="",IPRF_Lines[[#This Row],[Requested Qty]]="",IPRF_Lines[[#This Row],[Unit]]=""),
    "",UPPER(IPRF_Header[Request number] &amp; "-" &amp; IPRF_Lines[[#This Row],[Line num]]))</f>
        <v/>
      </c>
      <c r="N70" s="19" t="str" cm="1">
        <f t="array" ref="N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IF(OR(IPRF_Lines[[#This Row],[Requested Qty]]="",IPRF_Lines[[#This Row],[Picked Qty]]=""),"",IPRF_Lines[[#This Row],[Requested Qty]]-IPRF_Lines[[#This Row],[Picked Qty]])</f>
        <v/>
      </c>
      <c r="M71" s="18" t="str" cm="1">
        <f t="array" ref="M71">IF(
    OR(IPRF_Lines[[#This Row],[Item Description]]="",IPRF_Lines[[#This Row],[Requested Qty]]="",IPRF_Lines[[#This Row],[Unit]]=""),
    "",UPPER(IPRF_Header[Request number] &amp; "-" &amp; IPRF_Lines[[#This Row],[Line num]]))</f>
        <v/>
      </c>
      <c r="N71" s="19" t="str" cm="1">
        <f t="array" ref="N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IF(OR(IPRF_Lines[[#This Row],[Requested Qty]]="",IPRF_Lines[[#This Row],[Picked Qty]]=""),"",IPRF_Lines[[#This Row],[Requested Qty]]-IPRF_Lines[[#This Row],[Picked Qty]])</f>
        <v/>
      </c>
      <c r="M72" s="18" t="str" cm="1">
        <f t="array" ref="M72">IF(
    OR(IPRF_Lines[[#This Row],[Item Description]]="",IPRF_Lines[[#This Row],[Requested Qty]]="",IPRF_Lines[[#This Row],[Unit]]=""),
    "",UPPER(IPRF_Header[Request number] &amp; "-" &amp; IPRF_Lines[[#This Row],[Line num]]))</f>
        <v/>
      </c>
      <c r="N72" s="19" t="str" cm="1">
        <f t="array" ref="N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IF(OR(IPRF_Lines[[#This Row],[Requested Qty]]="",IPRF_Lines[[#This Row],[Picked Qty]]=""),"",IPRF_Lines[[#This Row],[Requested Qty]]-IPRF_Lines[[#This Row],[Picked Qty]])</f>
        <v/>
      </c>
      <c r="M73" s="18" t="str" cm="1">
        <f t="array" ref="M73">IF(
    OR(IPRF_Lines[[#This Row],[Item Description]]="",IPRF_Lines[[#This Row],[Requested Qty]]="",IPRF_Lines[[#This Row],[Unit]]=""),
    "",UPPER(IPRF_Header[Request number] &amp; "-" &amp; IPRF_Lines[[#This Row],[Line num]]))</f>
        <v/>
      </c>
      <c r="N73" s="19" t="str" cm="1">
        <f t="array" ref="N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IF(OR(IPRF_Lines[[#This Row],[Requested Qty]]="",IPRF_Lines[[#This Row],[Picked Qty]]=""),"",IPRF_Lines[[#This Row],[Requested Qty]]-IPRF_Lines[[#This Row],[Picked Qty]])</f>
        <v/>
      </c>
      <c r="M74" s="18" t="str" cm="1">
        <f t="array" ref="M74">IF(
    OR(IPRF_Lines[[#This Row],[Item Description]]="",IPRF_Lines[[#This Row],[Requested Qty]]="",IPRF_Lines[[#This Row],[Unit]]=""),
    "",UPPER(IPRF_Header[Request number] &amp; "-" &amp; IPRF_Lines[[#This Row],[Line num]]))</f>
        <v/>
      </c>
      <c r="N74" s="19" t="str" cm="1">
        <f t="array" ref="N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IF(OR(IPRF_Lines[[#This Row],[Requested Qty]]="",IPRF_Lines[[#This Row],[Picked Qty]]=""),"",IPRF_Lines[[#This Row],[Requested Qty]]-IPRF_Lines[[#This Row],[Picked Qty]])</f>
        <v/>
      </c>
      <c r="M75" s="18" t="str" cm="1">
        <f t="array" ref="M75">IF(
    OR(IPRF_Lines[[#This Row],[Item Description]]="",IPRF_Lines[[#This Row],[Requested Qty]]="",IPRF_Lines[[#This Row],[Unit]]=""),
    "",UPPER(IPRF_Header[Request number] &amp; "-" &amp; IPRF_Lines[[#This Row],[Line num]]))</f>
        <v/>
      </c>
      <c r="N75" s="19" t="str" cm="1">
        <f t="array" ref="N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IF(OR(IPRF_Lines[[#This Row],[Requested Qty]]="",IPRF_Lines[[#This Row],[Picked Qty]]=""),"",IPRF_Lines[[#This Row],[Requested Qty]]-IPRF_Lines[[#This Row],[Picked Qty]])</f>
        <v/>
      </c>
      <c r="M76" s="18" t="str" cm="1">
        <f t="array" ref="M76">IF(
    OR(IPRF_Lines[[#This Row],[Item Description]]="",IPRF_Lines[[#This Row],[Requested Qty]]="",IPRF_Lines[[#This Row],[Unit]]=""),
    "",UPPER(IPRF_Header[Request number] &amp; "-" &amp; IPRF_Lines[[#This Row],[Line num]]))</f>
        <v/>
      </c>
      <c r="N76" s="19" t="str" cm="1">
        <f t="array" ref="N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IF(OR(IPRF_Lines[[#This Row],[Requested Qty]]="",IPRF_Lines[[#This Row],[Picked Qty]]=""),"",IPRF_Lines[[#This Row],[Requested Qty]]-IPRF_Lines[[#This Row],[Picked Qty]])</f>
        <v/>
      </c>
      <c r="M77" s="18" t="str" cm="1">
        <f t="array" ref="M77">IF(
    OR(IPRF_Lines[[#This Row],[Item Description]]="",IPRF_Lines[[#This Row],[Requested Qty]]="",IPRF_Lines[[#This Row],[Unit]]=""),
    "",UPPER(IPRF_Header[Request number] &amp; "-" &amp; IPRF_Lines[[#This Row],[Line num]]))</f>
        <v/>
      </c>
      <c r="N77" s="19" t="str" cm="1">
        <f t="array" ref="N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IF(OR(IPRF_Lines[[#This Row],[Requested Qty]]="",IPRF_Lines[[#This Row],[Picked Qty]]=""),"",IPRF_Lines[[#This Row],[Requested Qty]]-IPRF_Lines[[#This Row],[Picked Qty]])</f>
        <v/>
      </c>
      <c r="M78" s="18" t="str" cm="1">
        <f t="array" ref="M78">IF(
    OR(IPRF_Lines[[#This Row],[Item Description]]="",IPRF_Lines[[#This Row],[Requested Qty]]="",IPRF_Lines[[#This Row],[Unit]]=""),
    "",UPPER(IPRF_Header[Request number] &amp; "-" &amp; IPRF_Lines[[#This Row],[Line num]]))</f>
        <v/>
      </c>
      <c r="N78" s="19" t="str" cm="1">
        <f t="array" ref="N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IF(OR(IPRF_Lines[[#This Row],[Requested Qty]]="",IPRF_Lines[[#This Row],[Picked Qty]]=""),"",IPRF_Lines[[#This Row],[Requested Qty]]-IPRF_Lines[[#This Row],[Picked Qty]])</f>
        <v/>
      </c>
      <c r="M79" s="18" t="str" cm="1">
        <f t="array" ref="M79">IF(
    OR(IPRF_Lines[[#This Row],[Item Description]]="",IPRF_Lines[[#This Row],[Requested Qty]]="",IPRF_Lines[[#This Row],[Unit]]=""),
    "",UPPER(IPRF_Header[Request number] &amp; "-" &amp; IPRF_Lines[[#This Row],[Line num]]))</f>
        <v/>
      </c>
      <c r="N79" s="19" t="str" cm="1">
        <f t="array" ref="N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IF(OR(IPRF_Lines[[#This Row],[Requested Qty]]="",IPRF_Lines[[#This Row],[Picked Qty]]=""),"",IPRF_Lines[[#This Row],[Requested Qty]]-IPRF_Lines[[#This Row],[Picked Qty]])</f>
        <v/>
      </c>
      <c r="M80" s="18" t="str" cm="1">
        <f t="array" ref="M80">IF(
    OR(IPRF_Lines[[#This Row],[Item Description]]="",IPRF_Lines[[#This Row],[Requested Qty]]="",IPRF_Lines[[#This Row],[Unit]]=""),
    "",UPPER(IPRF_Header[Request number] &amp; "-" &amp; IPRF_Lines[[#This Row],[Line num]]))</f>
        <v/>
      </c>
      <c r="N80" s="19" t="str" cm="1">
        <f t="array" ref="N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IF(OR(IPRF_Lines[[#This Row],[Requested Qty]]="",IPRF_Lines[[#This Row],[Picked Qty]]=""),"",IPRF_Lines[[#This Row],[Requested Qty]]-IPRF_Lines[[#This Row],[Picked Qty]])</f>
        <v/>
      </c>
      <c r="M81" s="18" t="str" cm="1">
        <f t="array" ref="M81">IF(
    OR(IPRF_Lines[[#This Row],[Item Description]]="",IPRF_Lines[[#This Row],[Requested Qty]]="",IPRF_Lines[[#This Row],[Unit]]=""),
    "",UPPER(IPRF_Header[Request number] &amp; "-" &amp; IPRF_Lines[[#This Row],[Line num]]))</f>
        <v/>
      </c>
      <c r="N81" s="19" t="str" cm="1">
        <f t="array" ref="N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IF(OR(IPRF_Lines[[#This Row],[Requested Qty]]="",IPRF_Lines[[#This Row],[Picked Qty]]=""),"",IPRF_Lines[[#This Row],[Requested Qty]]-IPRF_Lines[[#This Row],[Picked Qty]])</f>
        <v/>
      </c>
      <c r="M82" s="18" t="str" cm="1">
        <f t="array" ref="M82">IF(
    OR(IPRF_Lines[[#This Row],[Item Description]]="",IPRF_Lines[[#This Row],[Requested Qty]]="",IPRF_Lines[[#This Row],[Unit]]=""),
    "",UPPER(IPRF_Header[Request number] &amp; "-" &amp; IPRF_Lines[[#This Row],[Line num]]))</f>
        <v/>
      </c>
      <c r="N82" s="19" t="str" cm="1">
        <f t="array" ref="N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IF(OR(IPRF_Lines[[#This Row],[Requested Qty]]="",IPRF_Lines[[#This Row],[Picked Qty]]=""),"",IPRF_Lines[[#This Row],[Requested Qty]]-IPRF_Lines[[#This Row],[Picked Qty]])</f>
        <v/>
      </c>
      <c r="M83" s="18" t="str" cm="1">
        <f t="array" ref="M83">IF(
    OR(IPRF_Lines[[#This Row],[Item Description]]="",IPRF_Lines[[#This Row],[Requested Qty]]="",IPRF_Lines[[#This Row],[Unit]]=""),
    "",UPPER(IPRF_Header[Request number] &amp; "-" &amp; IPRF_Lines[[#This Row],[Line num]]))</f>
        <v/>
      </c>
      <c r="N83" s="19" t="str" cm="1">
        <f t="array" ref="N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IF(OR(IPRF_Lines[[#This Row],[Requested Qty]]="",IPRF_Lines[[#This Row],[Picked Qty]]=""),"",IPRF_Lines[[#This Row],[Requested Qty]]-IPRF_Lines[[#This Row],[Picked Qty]])</f>
        <v/>
      </c>
      <c r="M84" s="18" t="str" cm="1">
        <f t="array" ref="M84">IF(
    OR(IPRF_Lines[[#This Row],[Item Description]]="",IPRF_Lines[[#This Row],[Requested Qty]]="",IPRF_Lines[[#This Row],[Unit]]=""),
    "",UPPER(IPRF_Header[Request number] &amp; "-" &amp; IPRF_Lines[[#This Row],[Line num]]))</f>
        <v/>
      </c>
      <c r="N84" s="19" t="str" cm="1">
        <f t="array" ref="N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IF(OR(IPRF_Lines[[#This Row],[Requested Qty]]="",IPRF_Lines[[#This Row],[Picked Qty]]=""),"",IPRF_Lines[[#This Row],[Requested Qty]]-IPRF_Lines[[#This Row],[Picked Qty]])</f>
        <v/>
      </c>
      <c r="M85" s="18" t="str" cm="1">
        <f t="array" ref="M85">IF(
    OR(IPRF_Lines[[#This Row],[Item Description]]="",IPRF_Lines[[#This Row],[Requested Qty]]="",IPRF_Lines[[#This Row],[Unit]]=""),
    "",UPPER(IPRF_Header[Request number] &amp; "-" &amp; IPRF_Lines[[#This Row],[Line num]]))</f>
        <v/>
      </c>
      <c r="N85" s="19" t="str" cm="1">
        <f t="array" ref="N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IF(OR(IPRF_Lines[[#This Row],[Requested Qty]]="",IPRF_Lines[[#This Row],[Picked Qty]]=""),"",IPRF_Lines[[#This Row],[Requested Qty]]-IPRF_Lines[[#This Row],[Picked Qty]])</f>
        <v/>
      </c>
      <c r="M86" s="18" t="str" cm="1">
        <f t="array" ref="M86">IF(
    OR(IPRF_Lines[[#This Row],[Item Description]]="",IPRF_Lines[[#This Row],[Requested Qty]]="",IPRF_Lines[[#This Row],[Unit]]=""),
    "",UPPER(IPRF_Header[Request number] &amp; "-" &amp; IPRF_Lines[[#This Row],[Line num]]))</f>
        <v/>
      </c>
      <c r="N86" s="19" t="str" cm="1">
        <f t="array" ref="N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IF(OR(IPRF_Lines[[#This Row],[Requested Qty]]="",IPRF_Lines[[#This Row],[Picked Qty]]=""),"",IPRF_Lines[[#This Row],[Requested Qty]]-IPRF_Lines[[#This Row],[Picked Qty]])</f>
        <v/>
      </c>
      <c r="M87" s="18" t="str" cm="1">
        <f t="array" ref="M87">IF(
    OR(IPRF_Lines[[#This Row],[Item Description]]="",IPRF_Lines[[#This Row],[Requested Qty]]="",IPRF_Lines[[#This Row],[Unit]]=""),
    "",UPPER(IPRF_Header[Request number] &amp; "-" &amp; IPRF_Lines[[#This Row],[Line num]]))</f>
        <v/>
      </c>
      <c r="N87" s="19" t="str" cm="1">
        <f t="array" ref="N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IF(OR(IPRF_Lines[[#This Row],[Requested Qty]]="",IPRF_Lines[[#This Row],[Picked Qty]]=""),"",IPRF_Lines[[#This Row],[Requested Qty]]-IPRF_Lines[[#This Row],[Picked Qty]])</f>
        <v/>
      </c>
      <c r="M88" s="18" t="str" cm="1">
        <f t="array" ref="M88">IF(
    OR(IPRF_Lines[[#This Row],[Item Description]]="",IPRF_Lines[[#This Row],[Requested Qty]]="",IPRF_Lines[[#This Row],[Unit]]=""),
    "",UPPER(IPRF_Header[Request number] &amp; "-" &amp; IPRF_Lines[[#This Row],[Line num]]))</f>
        <v/>
      </c>
      <c r="N88" s="19" t="str" cm="1">
        <f t="array" ref="N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IF(OR(IPRF_Lines[[#This Row],[Requested Qty]]="",IPRF_Lines[[#This Row],[Picked Qty]]=""),"",IPRF_Lines[[#This Row],[Requested Qty]]-IPRF_Lines[[#This Row],[Picked Qty]])</f>
        <v/>
      </c>
      <c r="M89" s="18" t="str" cm="1">
        <f t="array" ref="M89">IF(
    OR(IPRF_Lines[[#This Row],[Item Description]]="",IPRF_Lines[[#This Row],[Requested Qty]]="",IPRF_Lines[[#This Row],[Unit]]=""),
    "",UPPER(IPRF_Header[Request number] &amp; "-" &amp; IPRF_Lines[[#This Row],[Line num]]))</f>
        <v/>
      </c>
      <c r="N89" s="19" t="str" cm="1">
        <f t="array" ref="N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IF(OR(IPRF_Lines[[#This Row],[Requested Qty]]="",IPRF_Lines[[#This Row],[Picked Qty]]=""),"",IPRF_Lines[[#This Row],[Requested Qty]]-IPRF_Lines[[#This Row],[Picked Qty]])</f>
        <v/>
      </c>
      <c r="M90" s="18" t="str" cm="1">
        <f t="array" ref="M90">IF(
    OR(IPRF_Lines[[#This Row],[Item Description]]="",IPRF_Lines[[#This Row],[Requested Qty]]="",IPRF_Lines[[#This Row],[Unit]]=""),
    "",UPPER(IPRF_Header[Request number] &amp; "-" &amp; IPRF_Lines[[#This Row],[Line num]]))</f>
        <v/>
      </c>
      <c r="N90" s="19" t="str" cm="1">
        <f t="array" ref="N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IF(OR(IPRF_Lines[[#This Row],[Requested Qty]]="",IPRF_Lines[[#This Row],[Picked Qty]]=""),"",IPRF_Lines[[#This Row],[Requested Qty]]-IPRF_Lines[[#This Row],[Picked Qty]])</f>
        <v/>
      </c>
      <c r="M91" s="18" t="str" cm="1">
        <f t="array" ref="M91">IF(
    OR(IPRF_Lines[[#This Row],[Item Description]]="",IPRF_Lines[[#This Row],[Requested Qty]]="",IPRF_Lines[[#This Row],[Unit]]=""),
    "",UPPER(IPRF_Header[Request number] &amp; "-" &amp; IPRF_Lines[[#This Row],[Line num]]))</f>
        <v/>
      </c>
      <c r="N91" s="19" t="str" cm="1">
        <f t="array" ref="N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IF(OR(IPRF_Lines[[#This Row],[Requested Qty]]="",IPRF_Lines[[#This Row],[Picked Qty]]=""),"",IPRF_Lines[[#This Row],[Requested Qty]]-IPRF_Lines[[#This Row],[Picked Qty]])</f>
        <v/>
      </c>
      <c r="M92" s="18" t="str" cm="1">
        <f t="array" ref="M92">IF(
    OR(IPRF_Lines[[#This Row],[Item Description]]="",IPRF_Lines[[#This Row],[Requested Qty]]="",IPRF_Lines[[#This Row],[Unit]]=""),
    "",UPPER(IPRF_Header[Request number] &amp; "-" &amp; IPRF_Lines[[#This Row],[Line num]]))</f>
        <v/>
      </c>
      <c r="N92" s="19" t="str" cm="1">
        <f t="array" ref="N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IF(OR(IPRF_Lines[[#This Row],[Requested Qty]]="",IPRF_Lines[[#This Row],[Picked Qty]]=""),"",IPRF_Lines[[#This Row],[Requested Qty]]-IPRF_Lines[[#This Row],[Picked Qty]])</f>
        <v/>
      </c>
      <c r="M93" s="18" t="str" cm="1">
        <f t="array" ref="M93">IF(
    OR(IPRF_Lines[[#This Row],[Item Description]]="",IPRF_Lines[[#This Row],[Requested Qty]]="",IPRF_Lines[[#This Row],[Unit]]=""),
    "",UPPER(IPRF_Header[Request number] &amp; "-" &amp; IPRF_Lines[[#This Row],[Line num]]))</f>
        <v/>
      </c>
      <c r="N93" s="19" t="str" cm="1">
        <f t="array" ref="N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IF(OR(IPRF_Lines[[#This Row],[Requested Qty]]="",IPRF_Lines[[#This Row],[Picked Qty]]=""),"",IPRF_Lines[[#This Row],[Requested Qty]]-IPRF_Lines[[#This Row],[Picked Qty]])</f>
        <v/>
      </c>
      <c r="M94" s="18" t="str" cm="1">
        <f t="array" ref="M94">IF(
    OR(IPRF_Lines[[#This Row],[Item Description]]="",IPRF_Lines[[#This Row],[Requested Qty]]="",IPRF_Lines[[#This Row],[Unit]]=""),
    "",UPPER(IPRF_Header[Request number] &amp; "-" &amp; IPRF_Lines[[#This Row],[Line num]]))</f>
        <v/>
      </c>
      <c r="N94" s="19" t="str" cm="1">
        <f t="array" ref="N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IF(OR(IPRF_Lines[[#This Row],[Requested Qty]]="",IPRF_Lines[[#This Row],[Picked Qty]]=""),"",IPRF_Lines[[#This Row],[Requested Qty]]-IPRF_Lines[[#This Row],[Picked Qty]])</f>
        <v/>
      </c>
      <c r="M95" s="18" t="str" cm="1">
        <f t="array" ref="M95">IF(
    OR(IPRF_Lines[[#This Row],[Item Description]]="",IPRF_Lines[[#This Row],[Requested Qty]]="",IPRF_Lines[[#This Row],[Unit]]=""),
    "",UPPER(IPRF_Header[Request number] &amp; "-" &amp; IPRF_Lines[[#This Row],[Line num]]))</f>
        <v/>
      </c>
      <c r="N95" s="19" t="str" cm="1">
        <f t="array" ref="N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IF(OR(IPRF_Lines[[#This Row],[Requested Qty]]="",IPRF_Lines[[#This Row],[Picked Qty]]=""),"",IPRF_Lines[[#This Row],[Requested Qty]]-IPRF_Lines[[#This Row],[Picked Qty]])</f>
        <v/>
      </c>
      <c r="M96" s="18" t="str" cm="1">
        <f t="array" ref="M96">IF(
    OR(IPRF_Lines[[#This Row],[Item Description]]="",IPRF_Lines[[#This Row],[Requested Qty]]="",IPRF_Lines[[#This Row],[Unit]]=""),
    "",UPPER(IPRF_Header[Request number] &amp; "-" &amp; IPRF_Lines[[#This Row],[Line num]]))</f>
        <v/>
      </c>
      <c r="N96" s="19" t="str" cm="1">
        <f t="array" ref="N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IF(OR(IPRF_Lines[[#This Row],[Requested Qty]]="",IPRF_Lines[[#This Row],[Picked Qty]]=""),"",IPRF_Lines[[#This Row],[Requested Qty]]-IPRF_Lines[[#This Row],[Picked Qty]])</f>
        <v/>
      </c>
      <c r="M97" s="18" t="str" cm="1">
        <f t="array" ref="M97">IF(
    OR(IPRF_Lines[[#This Row],[Item Description]]="",IPRF_Lines[[#This Row],[Requested Qty]]="",IPRF_Lines[[#This Row],[Unit]]=""),
    "",UPPER(IPRF_Header[Request number] &amp; "-" &amp; IPRF_Lines[[#This Row],[Line num]]))</f>
        <v/>
      </c>
      <c r="N97" s="19" t="str" cm="1">
        <f t="array" ref="N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IF(OR(IPRF_Lines[[#This Row],[Requested Qty]]="",IPRF_Lines[[#This Row],[Picked Qty]]=""),"",IPRF_Lines[[#This Row],[Requested Qty]]-IPRF_Lines[[#This Row],[Picked Qty]])</f>
        <v/>
      </c>
      <c r="M98" s="18" t="str" cm="1">
        <f t="array" ref="M98">IF(
    OR(IPRF_Lines[[#This Row],[Item Description]]="",IPRF_Lines[[#This Row],[Requested Qty]]="",IPRF_Lines[[#This Row],[Unit]]=""),
    "",UPPER(IPRF_Header[Request number] &amp; "-" &amp; IPRF_Lines[[#This Row],[Line num]]))</f>
        <v/>
      </c>
      <c r="N98" s="19" t="str" cm="1">
        <f t="array" ref="N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IF(OR(IPRF_Lines[[#This Row],[Requested Qty]]="",IPRF_Lines[[#This Row],[Picked Qty]]=""),"",IPRF_Lines[[#This Row],[Requested Qty]]-IPRF_Lines[[#This Row],[Picked Qty]])</f>
        <v/>
      </c>
      <c r="M99" s="18" t="str" cm="1">
        <f t="array" ref="M99">IF(
    OR(IPRF_Lines[[#This Row],[Item Description]]="",IPRF_Lines[[#This Row],[Requested Qty]]="",IPRF_Lines[[#This Row],[Unit]]=""),
    "",UPPER(IPRF_Header[Request number] &amp; "-" &amp; IPRF_Lines[[#This Row],[Line num]]))</f>
        <v/>
      </c>
      <c r="N99" s="19" t="str" cm="1">
        <f t="array" ref="N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IF(OR(IPRF_Lines[[#This Row],[Requested Qty]]="",IPRF_Lines[[#This Row],[Picked Qty]]=""),"",IPRF_Lines[[#This Row],[Requested Qty]]-IPRF_Lines[[#This Row],[Picked Qty]])</f>
        <v/>
      </c>
      <c r="M100" s="18" t="str" cm="1">
        <f t="array" ref="M100">IF(
    OR(IPRF_Lines[[#This Row],[Item Description]]="",IPRF_Lines[[#This Row],[Requested Qty]]="",IPRF_Lines[[#This Row],[Unit]]=""),
    "",UPPER(IPRF_Header[Request number] &amp; "-" &amp; IPRF_Lines[[#This Row],[Line num]]))</f>
        <v/>
      </c>
      <c r="N100" s="19" t="str" cm="1">
        <f t="array" ref="N1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IF(OR(IPRF_Lines[[#This Row],[Requested Qty]]="",IPRF_Lines[[#This Row],[Picked Qty]]=""),"",IPRF_Lines[[#This Row],[Requested Qty]]-IPRF_Lines[[#This Row],[Picked Qty]])</f>
        <v/>
      </c>
      <c r="M101" s="18" t="str" cm="1">
        <f t="array" ref="M101">IF(
    OR(IPRF_Lines[[#This Row],[Item Description]]="",IPRF_Lines[[#This Row],[Requested Qty]]="",IPRF_Lines[[#This Row],[Unit]]=""),
    "",UPPER(IPRF_Header[Request number] &amp; "-" &amp; IPRF_Lines[[#This Row],[Line num]]))</f>
        <v/>
      </c>
      <c r="N101" s="19" t="str" cm="1">
        <f t="array" ref="N1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IF(OR(IPRF_Lines[[#This Row],[Requested Qty]]="",IPRF_Lines[[#This Row],[Picked Qty]]=""),"",IPRF_Lines[[#This Row],[Requested Qty]]-IPRF_Lines[[#This Row],[Picked Qty]])</f>
        <v/>
      </c>
      <c r="M102" s="18" t="str" cm="1">
        <f t="array" ref="M102">IF(
    OR(IPRF_Lines[[#This Row],[Item Description]]="",IPRF_Lines[[#This Row],[Requested Qty]]="",IPRF_Lines[[#This Row],[Unit]]=""),
    "",UPPER(IPRF_Header[Request number] &amp; "-" &amp; IPRF_Lines[[#This Row],[Line num]]))</f>
        <v/>
      </c>
      <c r="N102" s="19" t="str" cm="1">
        <f t="array" ref="N1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IF(OR(IPRF_Lines[[#This Row],[Requested Qty]]="",IPRF_Lines[[#This Row],[Picked Qty]]=""),"",IPRF_Lines[[#This Row],[Requested Qty]]-IPRF_Lines[[#This Row],[Picked Qty]])</f>
        <v/>
      </c>
      <c r="M103" s="18" t="str" cm="1">
        <f t="array" ref="M103">IF(
    OR(IPRF_Lines[[#This Row],[Item Description]]="",IPRF_Lines[[#This Row],[Requested Qty]]="",IPRF_Lines[[#This Row],[Unit]]=""),
    "",UPPER(IPRF_Header[Request number] &amp; "-" &amp; IPRF_Lines[[#This Row],[Line num]]))</f>
        <v/>
      </c>
      <c r="N103" s="19" t="str" cm="1">
        <f t="array" ref="N1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IF(OR(IPRF_Lines[[#This Row],[Requested Qty]]="",IPRF_Lines[[#This Row],[Picked Qty]]=""),"",IPRF_Lines[[#This Row],[Requested Qty]]-IPRF_Lines[[#This Row],[Picked Qty]])</f>
        <v/>
      </c>
      <c r="M104" s="18" t="str" cm="1">
        <f t="array" ref="M104">IF(
    OR(IPRF_Lines[[#This Row],[Item Description]]="",IPRF_Lines[[#This Row],[Requested Qty]]="",IPRF_Lines[[#This Row],[Unit]]=""),
    "",UPPER(IPRF_Header[Request number] &amp; "-" &amp; IPRF_Lines[[#This Row],[Line num]]))</f>
        <v/>
      </c>
      <c r="N104" s="19" t="str" cm="1">
        <f t="array" ref="N1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IF(OR(IPRF_Lines[[#This Row],[Requested Qty]]="",IPRF_Lines[[#This Row],[Picked Qty]]=""),"",IPRF_Lines[[#This Row],[Requested Qty]]-IPRF_Lines[[#This Row],[Picked Qty]])</f>
        <v/>
      </c>
      <c r="M105" s="18" t="str" cm="1">
        <f t="array" ref="M105">IF(
    OR(IPRF_Lines[[#This Row],[Item Description]]="",IPRF_Lines[[#This Row],[Requested Qty]]="",IPRF_Lines[[#This Row],[Unit]]=""),
    "",UPPER(IPRF_Header[Request number] &amp; "-" &amp; IPRF_Lines[[#This Row],[Line num]]))</f>
        <v/>
      </c>
      <c r="N105" s="19" t="str" cm="1">
        <f t="array" ref="N1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IF(OR(IPRF_Lines[[#This Row],[Requested Qty]]="",IPRF_Lines[[#This Row],[Picked Qty]]=""),"",IPRF_Lines[[#This Row],[Requested Qty]]-IPRF_Lines[[#This Row],[Picked Qty]])</f>
        <v/>
      </c>
      <c r="M106" s="18" t="str" cm="1">
        <f t="array" ref="M106">IF(
    OR(IPRF_Lines[[#This Row],[Item Description]]="",IPRF_Lines[[#This Row],[Requested Qty]]="",IPRF_Lines[[#This Row],[Unit]]=""),
    "",UPPER(IPRF_Header[Request number] &amp; "-" &amp; IPRF_Lines[[#This Row],[Line num]]))</f>
        <v/>
      </c>
      <c r="N106" s="19" t="str" cm="1">
        <f t="array" ref="N1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IF(OR(IPRF_Lines[[#This Row],[Requested Qty]]="",IPRF_Lines[[#This Row],[Picked Qty]]=""),"",IPRF_Lines[[#This Row],[Requested Qty]]-IPRF_Lines[[#This Row],[Picked Qty]])</f>
        <v/>
      </c>
      <c r="M107" s="18" t="str" cm="1">
        <f t="array" ref="M107">IF(
    OR(IPRF_Lines[[#This Row],[Item Description]]="",IPRF_Lines[[#This Row],[Requested Qty]]="",IPRF_Lines[[#This Row],[Unit]]=""),
    "",UPPER(IPRF_Header[Request number] &amp; "-" &amp; IPRF_Lines[[#This Row],[Line num]]))</f>
        <v/>
      </c>
      <c r="N107" s="19" t="str" cm="1">
        <f t="array" ref="N1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IF(OR(IPRF_Lines[[#This Row],[Requested Qty]]="",IPRF_Lines[[#This Row],[Picked Qty]]=""),"",IPRF_Lines[[#This Row],[Requested Qty]]-IPRF_Lines[[#This Row],[Picked Qty]])</f>
        <v/>
      </c>
      <c r="M108" s="18" t="str" cm="1">
        <f t="array" ref="M108">IF(
    OR(IPRF_Lines[[#This Row],[Item Description]]="",IPRF_Lines[[#This Row],[Requested Qty]]="",IPRF_Lines[[#This Row],[Unit]]=""),
    "",UPPER(IPRF_Header[Request number] &amp; "-" &amp; IPRF_Lines[[#This Row],[Line num]]))</f>
        <v/>
      </c>
      <c r="N108" s="19" t="str" cm="1">
        <f t="array" ref="N1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IF(OR(IPRF_Lines[[#This Row],[Requested Qty]]="",IPRF_Lines[[#This Row],[Picked Qty]]=""),"",IPRF_Lines[[#This Row],[Requested Qty]]-IPRF_Lines[[#This Row],[Picked Qty]])</f>
        <v/>
      </c>
      <c r="M109" s="18" t="str" cm="1">
        <f t="array" ref="M109">IF(
    OR(IPRF_Lines[[#This Row],[Item Description]]="",IPRF_Lines[[#This Row],[Requested Qty]]="",IPRF_Lines[[#This Row],[Unit]]=""),
    "",UPPER(IPRF_Header[Request number] &amp; "-" &amp; IPRF_Lines[[#This Row],[Line num]]))</f>
        <v/>
      </c>
      <c r="N109" s="19" t="str" cm="1">
        <f t="array" ref="N1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IF(OR(IPRF_Lines[[#This Row],[Requested Qty]]="",IPRF_Lines[[#This Row],[Picked Qty]]=""),"",IPRF_Lines[[#This Row],[Requested Qty]]-IPRF_Lines[[#This Row],[Picked Qty]])</f>
        <v/>
      </c>
      <c r="M110" s="18" t="str" cm="1">
        <f t="array" ref="M110">IF(
    OR(IPRF_Lines[[#This Row],[Item Description]]="",IPRF_Lines[[#This Row],[Requested Qty]]="",IPRF_Lines[[#This Row],[Unit]]=""),
    "",UPPER(IPRF_Header[Request number] &amp; "-" &amp; IPRF_Lines[[#This Row],[Line num]]))</f>
        <v/>
      </c>
      <c r="N110" s="19" t="str" cm="1">
        <f t="array" ref="N1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IF(OR(IPRF_Lines[[#This Row],[Requested Qty]]="",IPRF_Lines[[#This Row],[Picked Qty]]=""),"",IPRF_Lines[[#This Row],[Requested Qty]]-IPRF_Lines[[#This Row],[Picked Qty]])</f>
        <v/>
      </c>
      <c r="M111" s="18" t="str" cm="1">
        <f t="array" ref="M111">IF(
    OR(IPRF_Lines[[#This Row],[Item Description]]="",IPRF_Lines[[#This Row],[Requested Qty]]="",IPRF_Lines[[#This Row],[Unit]]=""),
    "",UPPER(IPRF_Header[Request number] &amp; "-" &amp; IPRF_Lines[[#This Row],[Line num]]))</f>
        <v/>
      </c>
      <c r="N111" s="19" t="str" cm="1">
        <f t="array" ref="N1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IF(OR(IPRF_Lines[[#This Row],[Requested Qty]]="",IPRF_Lines[[#This Row],[Picked Qty]]=""),"",IPRF_Lines[[#This Row],[Requested Qty]]-IPRF_Lines[[#This Row],[Picked Qty]])</f>
        <v/>
      </c>
      <c r="M112" s="18" t="str" cm="1">
        <f t="array" ref="M112">IF(
    OR(IPRF_Lines[[#This Row],[Item Description]]="",IPRF_Lines[[#This Row],[Requested Qty]]="",IPRF_Lines[[#This Row],[Unit]]=""),
    "",UPPER(IPRF_Header[Request number] &amp; "-" &amp; IPRF_Lines[[#This Row],[Line num]]))</f>
        <v/>
      </c>
      <c r="N112" s="19" t="str" cm="1">
        <f t="array" ref="N1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IF(OR(IPRF_Lines[[#This Row],[Requested Qty]]="",IPRF_Lines[[#This Row],[Picked Qty]]=""),"",IPRF_Lines[[#This Row],[Requested Qty]]-IPRF_Lines[[#This Row],[Picked Qty]])</f>
        <v/>
      </c>
      <c r="M113" s="18" t="str" cm="1">
        <f t="array" ref="M113">IF(
    OR(IPRF_Lines[[#This Row],[Item Description]]="",IPRF_Lines[[#This Row],[Requested Qty]]="",IPRF_Lines[[#This Row],[Unit]]=""),
    "",UPPER(IPRF_Header[Request number] &amp; "-" &amp; IPRF_Lines[[#This Row],[Line num]]))</f>
        <v/>
      </c>
      <c r="N113" s="19" t="str" cm="1">
        <f t="array" ref="N1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IF(OR(IPRF_Lines[[#This Row],[Requested Qty]]="",IPRF_Lines[[#This Row],[Picked Qty]]=""),"",IPRF_Lines[[#This Row],[Requested Qty]]-IPRF_Lines[[#This Row],[Picked Qty]])</f>
        <v/>
      </c>
      <c r="M114" s="18" t="str" cm="1">
        <f t="array" ref="M114">IF(
    OR(IPRF_Lines[[#This Row],[Item Description]]="",IPRF_Lines[[#This Row],[Requested Qty]]="",IPRF_Lines[[#This Row],[Unit]]=""),
    "",UPPER(IPRF_Header[Request number] &amp; "-" &amp; IPRF_Lines[[#This Row],[Line num]]))</f>
        <v/>
      </c>
      <c r="N114" s="19" t="str" cm="1">
        <f t="array" ref="N1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IF(OR(IPRF_Lines[[#This Row],[Requested Qty]]="",IPRF_Lines[[#This Row],[Picked Qty]]=""),"",IPRF_Lines[[#This Row],[Requested Qty]]-IPRF_Lines[[#This Row],[Picked Qty]])</f>
        <v/>
      </c>
      <c r="M115" s="18" t="str" cm="1">
        <f t="array" ref="M115">IF(
    OR(IPRF_Lines[[#This Row],[Item Description]]="",IPRF_Lines[[#This Row],[Requested Qty]]="",IPRF_Lines[[#This Row],[Unit]]=""),
    "",UPPER(IPRF_Header[Request number] &amp; "-" &amp; IPRF_Lines[[#This Row],[Line num]]))</f>
        <v/>
      </c>
      <c r="N115" s="19" t="str" cm="1">
        <f t="array" ref="N1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IF(OR(IPRF_Lines[[#This Row],[Requested Qty]]="",IPRF_Lines[[#This Row],[Picked Qty]]=""),"",IPRF_Lines[[#This Row],[Requested Qty]]-IPRF_Lines[[#This Row],[Picked Qty]])</f>
        <v/>
      </c>
      <c r="M116" s="18" t="str" cm="1">
        <f t="array" ref="M116">IF(
    OR(IPRF_Lines[[#This Row],[Item Description]]="",IPRF_Lines[[#This Row],[Requested Qty]]="",IPRF_Lines[[#This Row],[Unit]]=""),
    "",UPPER(IPRF_Header[Request number] &amp; "-" &amp; IPRF_Lines[[#This Row],[Line num]]))</f>
        <v/>
      </c>
      <c r="N116" s="19" t="str" cm="1">
        <f t="array" ref="N1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IF(OR(IPRF_Lines[[#This Row],[Requested Qty]]="",IPRF_Lines[[#This Row],[Picked Qty]]=""),"",IPRF_Lines[[#This Row],[Requested Qty]]-IPRF_Lines[[#This Row],[Picked Qty]])</f>
        <v/>
      </c>
      <c r="M117" s="18" t="str" cm="1">
        <f t="array" ref="M117">IF(
    OR(IPRF_Lines[[#This Row],[Item Description]]="",IPRF_Lines[[#This Row],[Requested Qty]]="",IPRF_Lines[[#This Row],[Unit]]=""),
    "",UPPER(IPRF_Header[Request number] &amp; "-" &amp; IPRF_Lines[[#This Row],[Line num]]))</f>
        <v/>
      </c>
      <c r="N117" s="19" t="str" cm="1">
        <f t="array" ref="N1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IF(OR(IPRF_Lines[[#This Row],[Requested Qty]]="",IPRF_Lines[[#This Row],[Picked Qty]]=""),"",IPRF_Lines[[#This Row],[Requested Qty]]-IPRF_Lines[[#This Row],[Picked Qty]])</f>
        <v/>
      </c>
      <c r="M118" s="18" t="str" cm="1">
        <f t="array" ref="M118">IF(
    OR(IPRF_Lines[[#This Row],[Item Description]]="",IPRF_Lines[[#This Row],[Requested Qty]]="",IPRF_Lines[[#This Row],[Unit]]=""),
    "",UPPER(IPRF_Header[Request number] &amp; "-" &amp; IPRF_Lines[[#This Row],[Line num]]))</f>
        <v/>
      </c>
      <c r="N118" s="19" t="str" cm="1">
        <f t="array" ref="N1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IF(OR(IPRF_Lines[[#This Row],[Requested Qty]]="",IPRF_Lines[[#This Row],[Picked Qty]]=""),"",IPRF_Lines[[#This Row],[Requested Qty]]-IPRF_Lines[[#This Row],[Picked Qty]])</f>
        <v/>
      </c>
      <c r="M119" s="18" t="str" cm="1">
        <f t="array" ref="M119">IF(
    OR(IPRF_Lines[[#This Row],[Item Description]]="",IPRF_Lines[[#This Row],[Requested Qty]]="",IPRF_Lines[[#This Row],[Unit]]=""),
    "",UPPER(IPRF_Header[Request number] &amp; "-" &amp; IPRF_Lines[[#This Row],[Line num]]))</f>
        <v/>
      </c>
      <c r="N119" s="19" t="str" cm="1">
        <f t="array" ref="N1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IF(OR(IPRF_Lines[[#This Row],[Requested Qty]]="",IPRF_Lines[[#This Row],[Picked Qty]]=""),"",IPRF_Lines[[#This Row],[Requested Qty]]-IPRF_Lines[[#This Row],[Picked Qty]])</f>
        <v/>
      </c>
      <c r="M120" s="18" t="str" cm="1">
        <f t="array" ref="M120">IF(
    OR(IPRF_Lines[[#This Row],[Item Description]]="",IPRF_Lines[[#This Row],[Requested Qty]]="",IPRF_Lines[[#This Row],[Unit]]=""),
    "",UPPER(IPRF_Header[Request number] &amp; "-" &amp; IPRF_Lines[[#This Row],[Line num]]))</f>
        <v/>
      </c>
      <c r="N120" s="19" t="str" cm="1">
        <f t="array" ref="N1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IF(OR(IPRF_Lines[[#This Row],[Requested Qty]]="",IPRF_Lines[[#This Row],[Picked Qty]]=""),"",IPRF_Lines[[#This Row],[Requested Qty]]-IPRF_Lines[[#This Row],[Picked Qty]])</f>
        <v/>
      </c>
      <c r="M121" s="18" t="str" cm="1">
        <f t="array" ref="M121">IF(
    OR(IPRF_Lines[[#This Row],[Item Description]]="",IPRF_Lines[[#This Row],[Requested Qty]]="",IPRF_Lines[[#This Row],[Unit]]=""),
    "",UPPER(IPRF_Header[Request number] &amp; "-" &amp; IPRF_Lines[[#This Row],[Line num]]))</f>
        <v/>
      </c>
      <c r="N121" s="19" t="str" cm="1">
        <f t="array" ref="N1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IF(OR(IPRF_Lines[[#This Row],[Requested Qty]]="",IPRF_Lines[[#This Row],[Picked Qty]]=""),"",IPRF_Lines[[#This Row],[Requested Qty]]-IPRF_Lines[[#This Row],[Picked Qty]])</f>
        <v/>
      </c>
      <c r="M122" s="18" t="str" cm="1">
        <f t="array" ref="M122">IF(
    OR(IPRF_Lines[[#This Row],[Item Description]]="",IPRF_Lines[[#This Row],[Requested Qty]]="",IPRF_Lines[[#This Row],[Unit]]=""),
    "",UPPER(IPRF_Header[Request number] &amp; "-" &amp; IPRF_Lines[[#This Row],[Line num]]))</f>
        <v/>
      </c>
      <c r="N122" s="19" t="str" cm="1">
        <f t="array" ref="N1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IF(OR(IPRF_Lines[[#This Row],[Requested Qty]]="",IPRF_Lines[[#This Row],[Picked Qty]]=""),"",IPRF_Lines[[#This Row],[Requested Qty]]-IPRF_Lines[[#This Row],[Picked Qty]])</f>
        <v/>
      </c>
      <c r="M123" s="18" t="str" cm="1">
        <f t="array" ref="M123">IF(
    OR(IPRF_Lines[[#This Row],[Item Description]]="",IPRF_Lines[[#This Row],[Requested Qty]]="",IPRF_Lines[[#This Row],[Unit]]=""),
    "",UPPER(IPRF_Header[Request number] &amp; "-" &amp; IPRF_Lines[[#This Row],[Line num]]))</f>
        <v/>
      </c>
      <c r="N123" s="19" t="str" cm="1">
        <f t="array" ref="N1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IF(OR(IPRF_Lines[[#This Row],[Requested Qty]]="",IPRF_Lines[[#This Row],[Picked Qty]]=""),"",IPRF_Lines[[#This Row],[Requested Qty]]-IPRF_Lines[[#This Row],[Picked Qty]])</f>
        <v/>
      </c>
      <c r="M124" s="18" t="str" cm="1">
        <f t="array" ref="M124">IF(
    OR(IPRF_Lines[[#This Row],[Item Description]]="",IPRF_Lines[[#This Row],[Requested Qty]]="",IPRF_Lines[[#This Row],[Unit]]=""),
    "",UPPER(IPRF_Header[Request number] &amp; "-" &amp; IPRF_Lines[[#This Row],[Line num]]))</f>
        <v/>
      </c>
      <c r="N124" s="19" t="str" cm="1">
        <f t="array" ref="N1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IF(OR(IPRF_Lines[[#This Row],[Requested Qty]]="",IPRF_Lines[[#This Row],[Picked Qty]]=""),"",IPRF_Lines[[#This Row],[Requested Qty]]-IPRF_Lines[[#This Row],[Picked Qty]])</f>
        <v/>
      </c>
      <c r="M125" s="18" t="str" cm="1">
        <f t="array" ref="M125">IF(
    OR(IPRF_Lines[[#This Row],[Item Description]]="",IPRF_Lines[[#This Row],[Requested Qty]]="",IPRF_Lines[[#This Row],[Unit]]=""),
    "",UPPER(IPRF_Header[Request number] &amp; "-" &amp; IPRF_Lines[[#This Row],[Line num]]))</f>
        <v/>
      </c>
      <c r="N125" s="19" t="str" cm="1">
        <f t="array" ref="N1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IF(OR(IPRF_Lines[[#This Row],[Requested Qty]]="",IPRF_Lines[[#This Row],[Picked Qty]]=""),"",IPRF_Lines[[#This Row],[Requested Qty]]-IPRF_Lines[[#This Row],[Picked Qty]])</f>
        <v/>
      </c>
      <c r="M126" s="18" t="str" cm="1">
        <f t="array" ref="M126">IF(
    OR(IPRF_Lines[[#This Row],[Item Description]]="",IPRF_Lines[[#This Row],[Requested Qty]]="",IPRF_Lines[[#This Row],[Unit]]=""),
    "",UPPER(IPRF_Header[Request number] &amp; "-" &amp; IPRF_Lines[[#This Row],[Line num]]))</f>
        <v/>
      </c>
      <c r="N126" s="19" t="str" cm="1">
        <f t="array" ref="N1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IF(OR(IPRF_Lines[[#This Row],[Requested Qty]]="",IPRF_Lines[[#This Row],[Picked Qty]]=""),"",IPRF_Lines[[#This Row],[Requested Qty]]-IPRF_Lines[[#This Row],[Picked Qty]])</f>
        <v/>
      </c>
      <c r="M127" s="18" t="str" cm="1">
        <f t="array" ref="M127">IF(
    OR(IPRF_Lines[[#This Row],[Item Description]]="",IPRF_Lines[[#This Row],[Requested Qty]]="",IPRF_Lines[[#This Row],[Unit]]=""),
    "",UPPER(IPRF_Header[Request number] &amp; "-" &amp; IPRF_Lines[[#This Row],[Line num]]))</f>
        <v/>
      </c>
      <c r="N127" s="19" t="str" cm="1">
        <f t="array" ref="N1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IF(OR(IPRF_Lines[[#This Row],[Requested Qty]]="",IPRF_Lines[[#This Row],[Picked Qty]]=""),"",IPRF_Lines[[#This Row],[Requested Qty]]-IPRF_Lines[[#This Row],[Picked Qty]])</f>
        <v/>
      </c>
      <c r="M128" s="18" t="str" cm="1">
        <f t="array" ref="M128">IF(
    OR(IPRF_Lines[[#This Row],[Item Description]]="",IPRF_Lines[[#This Row],[Requested Qty]]="",IPRF_Lines[[#This Row],[Unit]]=""),
    "",UPPER(IPRF_Header[Request number] &amp; "-" &amp; IPRF_Lines[[#This Row],[Line num]]))</f>
        <v/>
      </c>
      <c r="N128" s="19" t="str" cm="1">
        <f t="array" ref="N1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IF(OR(IPRF_Lines[[#This Row],[Requested Qty]]="",IPRF_Lines[[#This Row],[Picked Qty]]=""),"",IPRF_Lines[[#This Row],[Requested Qty]]-IPRF_Lines[[#This Row],[Picked Qty]])</f>
        <v/>
      </c>
      <c r="M129" s="18" t="str" cm="1">
        <f t="array" ref="M129">IF(
    OR(IPRF_Lines[[#This Row],[Item Description]]="",IPRF_Lines[[#This Row],[Requested Qty]]="",IPRF_Lines[[#This Row],[Unit]]=""),
    "",UPPER(IPRF_Header[Request number] &amp; "-" &amp; IPRF_Lines[[#This Row],[Line num]]))</f>
        <v/>
      </c>
      <c r="N129" s="19" t="str" cm="1">
        <f t="array" ref="N1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IF(OR(IPRF_Lines[[#This Row],[Requested Qty]]="",IPRF_Lines[[#This Row],[Picked Qty]]=""),"",IPRF_Lines[[#This Row],[Requested Qty]]-IPRF_Lines[[#This Row],[Picked Qty]])</f>
        <v/>
      </c>
      <c r="M130" s="18" t="str" cm="1">
        <f t="array" ref="M130">IF(
    OR(IPRF_Lines[[#This Row],[Item Description]]="",IPRF_Lines[[#This Row],[Requested Qty]]="",IPRF_Lines[[#This Row],[Unit]]=""),
    "",UPPER(IPRF_Header[Request number] &amp; "-" &amp; IPRF_Lines[[#This Row],[Line num]]))</f>
        <v/>
      </c>
      <c r="N130" s="19" t="str" cm="1">
        <f t="array" ref="N1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IF(OR(IPRF_Lines[[#This Row],[Requested Qty]]="",IPRF_Lines[[#This Row],[Picked Qty]]=""),"",IPRF_Lines[[#This Row],[Requested Qty]]-IPRF_Lines[[#This Row],[Picked Qty]])</f>
        <v/>
      </c>
      <c r="M131" s="18" t="str" cm="1">
        <f t="array" ref="M131">IF(
    OR(IPRF_Lines[[#This Row],[Item Description]]="",IPRF_Lines[[#This Row],[Requested Qty]]="",IPRF_Lines[[#This Row],[Unit]]=""),
    "",UPPER(IPRF_Header[Request number] &amp; "-" &amp; IPRF_Lines[[#This Row],[Line num]]))</f>
        <v/>
      </c>
      <c r="N131" s="19" t="str" cm="1">
        <f t="array" ref="N1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IF(OR(IPRF_Lines[[#This Row],[Requested Qty]]="",IPRF_Lines[[#This Row],[Picked Qty]]=""),"",IPRF_Lines[[#This Row],[Requested Qty]]-IPRF_Lines[[#This Row],[Picked Qty]])</f>
        <v/>
      </c>
      <c r="M132" s="18" t="str" cm="1">
        <f t="array" ref="M132">IF(
    OR(IPRF_Lines[[#This Row],[Item Description]]="",IPRF_Lines[[#This Row],[Requested Qty]]="",IPRF_Lines[[#This Row],[Unit]]=""),
    "",UPPER(IPRF_Header[Request number] &amp; "-" &amp; IPRF_Lines[[#This Row],[Line num]]))</f>
        <v/>
      </c>
      <c r="N132" s="19" t="str" cm="1">
        <f t="array" ref="N1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IF(OR(IPRF_Lines[[#This Row],[Requested Qty]]="",IPRF_Lines[[#This Row],[Picked Qty]]=""),"",IPRF_Lines[[#This Row],[Requested Qty]]-IPRF_Lines[[#This Row],[Picked Qty]])</f>
        <v/>
      </c>
      <c r="M133" s="18" t="str" cm="1">
        <f t="array" ref="M133">IF(
    OR(IPRF_Lines[[#This Row],[Item Description]]="",IPRF_Lines[[#This Row],[Requested Qty]]="",IPRF_Lines[[#This Row],[Unit]]=""),
    "",UPPER(IPRF_Header[Request number] &amp; "-" &amp; IPRF_Lines[[#This Row],[Line num]]))</f>
        <v/>
      </c>
      <c r="N133" s="19" t="str" cm="1">
        <f t="array" ref="N1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IF(OR(IPRF_Lines[[#This Row],[Requested Qty]]="",IPRF_Lines[[#This Row],[Picked Qty]]=""),"",IPRF_Lines[[#This Row],[Requested Qty]]-IPRF_Lines[[#This Row],[Picked Qty]])</f>
        <v/>
      </c>
      <c r="M134" s="18" t="str" cm="1">
        <f t="array" ref="M134">IF(
    OR(IPRF_Lines[[#This Row],[Item Description]]="",IPRF_Lines[[#This Row],[Requested Qty]]="",IPRF_Lines[[#This Row],[Unit]]=""),
    "",UPPER(IPRF_Header[Request number] &amp; "-" &amp; IPRF_Lines[[#This Row],[Line num]]))</f>
        <v/>
      </c>
      <c r="N134" s="19" t="str" cm="1">
        <f t="array" ref="N1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IF(OR(IPRF_Lines[[#This Row],[Requested Qty]]="",IPRF_Lines[[#This Row],[Picked Qty]]=""),"",IPRF_Lines[[#This Row],[Requested Qty]]-IPRF_Lines[[#This Row],[Picked Qty]])</f>
        <v/>
      </c>
      <c r="M135" s="18" t="str" cm="1">
        <f t="array" ref="M135">IF(
    OR(IPRF_Lines[[#This Row],[Item Description]]="",IPRF_Lines[[#This Row],[Requested Qty]]="",IPRF_Lines[[#This Row],[Unit]]=""),
    "",UPPER(IPRF_Header[Request number] &amp; "-" &amp; IPRF_Lines[[#This Row],[Line num]]))</f>
        <v/>
      </c>
      <c r="N135" s="19" t="str" cm="1">
        <f t="array" ref="N1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IF(OR(IPRF_Lines[[#This Row],[Requested Qty]]="",IPRF_Lines[[#This Row],[Picked Qty]]=""),"",IPRF_Lines[[#This Row],[Requested Qty]]-IPRF_Lines[[#This Row],[Picked Qty]])</f>
        <v/>
      </c>
      <c r="M136" s="18" t="str" cm="1">
        <f t="array" ref="M136">IF(
    OR(IPRF_Lines[[#This Row],[Item Description]]="",IPRF_Lines[[#This Row],[Requested Qty]]="",IPRF_Lines[[#This Row],[Unit]]=""),
    "",UPPER(IPRF_Header[Request number] &amp; "-" &amp; IPRF_Lines[[#This Row],[Line num]]))</f>
        <v/>
      </c>
      <c r="N136" s="19" t="str" cm="1">
        <f t="array" ref="N1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IF(OR(IPRF_Lines[[#This Row],[Requested Qty]]="",IPRF_Lines[[#This Row],[Picked Qty]]=""),"",IPRF_Lines[[#This Row],[Requested Qty]]-IPRF_Lines[[#This Row],[Picked Qty]])</f>
        <v/>
      </c>
      <c r="M137" s="18" t="str" cm="1">
        <f t="array" ref="M137">IF(
    OR(IPRF_Lines[[#This Row],[Item Description]]="",IPRF_Lines[[#This Row],[Requested Qty]]="",IPRF_Lines[[#This Row],[Unit]]=""),
    "",UPPER(IPRF_Header[Request number] &amp; "-" &amp; IPRF_Lines[[#This Row],[Line num]]))</f>
        <v/>
      </c>
      <c r="N137" s="19" t="str" cm="1">
        <f t="array" ref="N1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IF(OR(IPRF_Lines[[#This Row],[Requested Qty]]="",IPRF_Lines[[#This Row],[Picked Qty]]=""),"",IPRF_Lines[[#This Row],[Requested Qty]]-IPRF_Lines[[#This Row],[Picked Qty]])</f>
        <v/>
      </c>
      <c r="M138" s="18" t="str" cm="1">
        <f t="array" ref="M138">IF(
    OR(IPRF_Lines[[#This Row],[Item Description]]="",IPRF_Lines[[#This Row],[Requested Qty]]="",IPRF_Lines[[#This Row],[Unit]]=""),
    "",UPPER(IPRF_Header[Request number] &amp; "-" &amp; IPRF_Lines[[#This Row],[Line num]]))</f>
        <v/>
      </c>
      <c r="N138" s="19" t="str" cm="1">
        <f t="array" ref="N1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IF(OR(IPRF_Lines[[#This Row],[Requested Qty]]="",IPRF_Lines[[#This Row],[Picked Qty]]=""),"",IPRF_Lines[[#This Row],[Requested Qty]]-IPRF_Lines[[#This Row],[Picked Qty]])</f>
        <v/>
      </c>
      <c r="M139" s="18" t="str" cm="1">
        <f t="array" ref="M139">IF(
    OR(IPRF_Lines[[#This Row],[Item Description]]="",IPRF_Lines[[#This Row],[Requested Qty]]="",IPRF_Lines[[#This Row],[Unit]]=""),
    "",UPPER(IPRF_Header[Request number] &amp; "-" &amp; IPRF_Lines[[#This Row],[Line num]]))</f>
        <v/>
      </c>
      <c r="N139" s="19" t="str" cm="1">
        <f t="array" ref="N1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IF(OR(IPRF_Lines[[#This Row],[Requested Qty]]="",IPRF_Lines[[#This Row],[Picked Qty]]=""),"",IPRF_Lines[[#This Row],[Requested Qty]]-IPRF_Lines[[#This Row],[Picked Qty]])</f>
        <v/>
      </c>
      <c r="M140" s="18" t="str" cm="1">
        <f t="array" ref="M140">IF(
    OR(IPRF_Lines[[#This Row],[Item Description]]="",IPRF_Lines[[#This Row],[Requested Qty]]="",IPRF_Lines[[#This Row],[Unit]]=""),
    "",UPPER(IPRF_Header[Request number] &amp; "-" &amp; IPRF_Lines[[#This Row],[Line num]]))</f>
        <v/>
      </c>
      <c r="N140" s="19" t="str" cm="1">
        <f t="array" ref="N1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IF(OR(IPRF_Lines[[#This Row],[Requested Qty]]="",IPRF_Lines[[#This Row],[Picked Qty]]=""),"",IPRF_Lines[[#This Row],[Requested Qty]]-IPRF_Lines[[#This Row],[Picked Qty]])</f>
        <v/>
      </c>
      <c r="M141" s="18" t="str" cm="1">
        <f t="array" ref="M141">IF(
    OR(IPRF_Lines[[#This Row],[Item Description]]="",IPRF_Lines[[#This Row],[Requested Qty]]="",IPRF_Lines[[#This Row],[Unit]]=""),
    "",UPPER(IPRF_Header[Request number] &amp; "-" &amp; IPRF_Lines[[#This Row],[Line num]]))</f>
        <v/>
      </c>
      <c r="N141" s="19" t="str" cm="1">
        <f t="array" ref="N1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IF(OR(IPRF_Lines[[#This Row],[Requested Qty]]="",IPRF_Lines[[#This Row],[Picked Qty]]=""),"",IPRF_Lines[[#This Row],[Requested Qty]]-IPRF_Lines[[#This Row],[Picked Qty]])</f>
        <v/>
      </c>
      <c r="M142" s="18" t="str" cm="1">
        <f t="array" ref="M142">IF(
    OR(IPRF_Lines[[#This Row],[Item Description]]="",IPRF_Lines[[#This Row],[Requested Qty]]="",IPRF_Lines[[#This Row],[Unit]]=""),
    "",UPPER(IPRF_Header[Request number] &amp; "-" &amp; IPRF_Lines[[#This Row],[Line num]]))</f>
        <v/>
      </c>
      <c r="N142" s="19" t="str" cm="1">
        <f t="array" ref="N1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IF(OR(IPRF_Lines[[#This Row],[Requested Qty]]="",IPRF_Lines[[#This Row],[Picked Qty]]=""),"",IPRF_Lines[[#This Row],[Requested Qty]]-IPRF_Lines[[#This Row],[Picked Qty]])</f>
        <v/>
      </c>
      <c r="M143" s="18" t="str" cm="1">
        <f t="array" ref="M143">IF(
    OR(IPRF_Lines[[#This Row],[Item Description]]="",IPRF_Lines[[#This Row],[Requested Qty]]="",IPRF_Lines[[#This Row],[Unit]]=""),
    "",UPPER(IPRF_Header[Request number] &amp; "-" &amp; IPRF_Lines[[#This Row],[Line num]]))</f>
        <v/>
      </c>
      <c r="N143" s="19" t="str" cm="1">
        <f t="array" ref="N1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IF(OR(IPRF_Lines[[#This Row],[Requested Qty]]="",IPRF_Lines[[#This Row],[Picked Qty]]=""),"",IPRF_Lines[[#This Row],[Requested Qty]]-IPRF_Lines[[#This Row],[Picked Qty]])</f>
        <v/>
      </c>
      <c r="M144" s="18" t="str" cm="1">
        <f t="array" ref="M144">IF(
    OR(IPRF_Lines[[#This Row],[Item Description]]="",IPRF_Lines[[#This Row],[Requested Qty]]="",IPRF_Lines[[#This Row],[Unit]]=""),
    "",UPPER(IPRF_Header[Request number] &amp; "-" &amp; IPRF_Lines[[#This Row],[Line num]]))</f>
        <v/>
      </c>
      <c r="N144" s="19" t="str" cm="1">
        <f t="array" ref="N1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IF(OR(IPRF_Lines[[#This Row],[Requested Qty]]="",IPRF_Lines[[#This Row],[Picked Qty]]=""),"",IPRF_Lines[[#This Row],[Requested Qty]]-IPRF_Lines[[#This Row],[Picked Qty]])</f>
        <v/>
      </c>
      <c r="M145" s="18" t="str" cm="1">
        <f t="array" ref="M145">IF(
    OR(IPRF_Lines[[#This Row],[Item Description]]="",IPRF_Lines[[#This Row],[Requested Qty]]="",IPRF_Lines[[#This Row],[Unit]]=""),
    "",UPPER(IPRF_Header[Request number] &amp; "-" &amp; IPRF_Lines[[#This Row],[Line num]]))</f>
        <v/>
      </c>
      <c r="N145" s="19" t="str" cm="1">
        <f t="array" ref="N1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IF(OR(IPRF_Lines[[#This Row],[Requested Qty]]="",IPRF_Lines[[#This Row],[Picked Qty]]=""),"",IPRF_Lines[[#This Row],[Requested Qty]]-IPRF_Lines[[#This Row],[Picked Qty]])</f>
        <v/>
      </c>
      <c r="M146" s="18" t="str" cm="1">
        <f t="array" ref="M146">IF(
    OR(IPRF_Lines[[#This Row],[Item Description]]="",IPRF_Lines[[#This Row],[Requested Qty]]="",IPRF_Lines[[#This Row],[Unit]]=""),
    "",UPPER(IPRF_Header[Request number] &amp; "-" &amp; IPRF_Lines[[#This Row],[Line num]]))</f>
        <v/>
      </c>
      <c r="N146" s="19" t="str" cm="1">
        <f t="array" ref="N1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IF(OR(IPRF_Lines[[#This Row],[Requested Qty]]="",IPRF_Lines[[#This Row],[Picked Qty]]=""),"",IPRF_Lines[[#This Row],[Requested Qty]]-IPRF_Lines[[#This Row],[Picked Qty]])</f>
        <v/>
      </c>
      <c r="M147" s="18" t="str" cm="1">
        <f t="array" ref="M147">IF(
    OR(IPRF_Lines[[#This Row],[Item Description]]="",IPRF_Lines[[#This Row],[Requested Qty]]="",IPRF_Lines[[#This Row],[Unit]]=""),
    "",UPPER(IPRF_Header[Request number] &amp; "-" &amp; IPRF_Lines[[#This Row],[Line num]]))</f>
        <v/>
      </c>
      <c r="N147" s="19" t="str" cm="1">
        <f t="array" ref="N1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IF(OR(IPRF_Lines[[#This Row],[Requested Qty]]="",IPRF_Lines[[#This Row],[Picked Qty]]=""),"",IPRF_Lines[[#This Row],[Requested Qty]]-IPRF_Lines[[#This Row],[Picked Qty]])</f>
        <v/>
      </c>
      <c r="M148" s="18" t="str" cm="1">
        <f t="array" ref="M148">IF(
    OR(IPRF_Lines[[#This Row],[Item Description]]="",IPRF_Lines[[#This Row],[Requested Qty]]="",IPRF_Lines[[#This Row],[Unit]]=""),
    "",UPPER(IPRF_Header[Request number] &amp; "-" &amp; IPRF_Lines[[#This Row],[Line num]]))</f>
        <v/>
      </c>
      <c r="N148" s="19" t="str" cm="1">
        <f t="array" ref="N1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IF(OR(IPRF_Lines[[#This Row],[Requested Qty]]="",IPRF_Lines[[#This Row],[Picked Qty]]=""),"",IPRF_Lines[[#This Row],[Requested Qty]]-IPRF_Lines[[#This Row],[Picked Qty]])</f>
        <v/>
      </c>
      <c r="M149" s="18" t="str" cm="1">
        <f t="array" ref="M149">IF(
    OR(IPRF_Lines[[#This Row],[Item Description]]="",IPRF_Lines[[#This Row],[Requested Qty]]="",IPRF_Lines[[#This Row],[Unit]]=""),
    "",UPPER(IPRF_Header[Request number] &amp; "-" &amp; IPRF_Lines[[#This Row],[Line num]]))</f>
        <v/>
      </c>
      <c r="N149" s="19" t="str" cm="1">
        <f t="array" ref="N1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IF(OR(IPRF_Lines[[#This Row],[Requested Qty]]="",IPRF_Lines[[#This Row],[Picked Qty]]=""),"",IPRF_Lines[[#This Row],[Requested Qty]]-IPRF_Lines[[#This Row],[Picked Qty]])</f>
        <v/>
      </c>
      <c r="M150" s="18" t="str" cm="1">
        <f t="array" ref="M150">IF(
    OR(IPRF_Lines[[#This Row],[Item Description]]="",IPRF_Lines[[#This Row],[Requested Qty]]="",IPRF_Lines[[#This Row],[Unit]]=""),
    "",UPPER(IPRF_Header[Request number] &amp; "-" &amp; IPRF_Lines[[#This Row],[Line num]]))</f>
        <v/>
      </c>
      <c r="N150" s="19" t="str" cm="1">
        <f t="array" ref="N1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IF(OR(IPRF_Lines[[#This Row],[Requested Qty]]="",IPRF_Lines[[#This Row],[Picked Qty]]=""),"",IPRF_Lines[[#This Row],[Requested Qty]]-IPRF_Lines[[#This Row],[Picked Qty]])</f>
        <v/>
      </c>
      <c r="M151" s="18" t="str" cm="1">
        <f t="array" ref="M151">IF(
    OR(IPRF_Lines[[#This Row],[Item Description]]="",IPRF_Lines[[#This Row],[Requested Qty]]="",IPRF_Lines[[#This Row],[Unit]]=""),
    "",UPPER(IPRF_Header[Request number] &amp; "-" &amp; IPRF_Lines[[#This Row],[Line num]]))</f>
        <v/>
      </c>
      <c r="N151" s="19" t="str" cm="1">
        <f t="array" ref="N1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IF(OR(IPRF_Lines[[#This Row],[Requested Qty]]="",IPRF_Lines[[#This Row],[Picked Qty]]=""),"",IPRF_Lines[[#This Row],[Requested Qty]]-IPRF_Lines[[#This Row],[Picked Qty]])</f>
        <v/>
      </c>
      <c r="M152" s="18" t="str" cm="1">
        <f t="array" ref="M152">IF(
    OR(IPRF_Lines[[#This Row],[Item Description]]="",IPRF_Lines[[#This Row],[Requested Qty]]="",IPRF_Lines[[#This Row],[Unit]]=""),
    "",UPPER(IPRF_Header[Request number] &amp; "-" &amp; IPRF_Lines[[#This Row],[Line num]]))</f>
        <v/>
      </c>
      <c r="N152" s="19" t="str" cm="1">
        <f t="array" ref="N1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IF(OR(IPRF_Lines[[#This Row],[Requested Qty]]="",IPRF_Lines[[#This Row],[Picked Qty]]=""),"",IPRF_Lines[[#This Row],[Requested Qty]]-IPRF_Lines[[#This Row],[Picked Qty]])</f>
        <v/>
      </c>
      <c r="M153" s="18" t="str" cm="1">
        <f t="array" ref="M153">IF(
    OR(IPRF_Lines[[#This Row],[Item Description]]="",IPRF_Lines[[#This Row],[Requested Qty]]="",IPRF_Lines[[#This Row],[Unit]]=""),
    "",UPPER(IPRF_Header[Request number] &amp; "-" &amp; IPRF_Lines[[#This Row],[Line num]]))</f>
        <v/>
      </c>
      <c r="N153" s="19" t="str" cm="1">
        <f t="array" ref="N1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IF(OR(IPRF_Lines[[#This Row],[Requested Qty]]="",IPRF_Lines[[#This Row],[Picked Qty]]=""),"",IPRF_Lines[[#This Row],[Requested Qty]]-IPRF_Lines[[#This Row],[Picked Qty]])</f>
        <v/>
      </c>
      <c r="M154" s="18" t="str" cm="1">
        <f t="array" ref="M154">IF(
    OR(IPRF_Lines[[#This Row],[Item Description]]="",IPRF_Lines[[#This Row],[Requested Qty]]="",IPRF_Lines[[#This Row],[Unit]]=""),
    "",UPPER(IPRF_Header[Request number] &amp; "-" &amp; IPRF_Lines[[#This Row],[Line num]]))</f>
        <v/>
      </c>
      <c r="N154" s="19" t="str" cm="1">
        <f t="array" ref="N1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IF(OR(IPRF_Lines[[#This Row],[Requested Qty]]="",IPRF_Lines[[#This Row],[Picked Qty]]=""),"",IPRF_Lines[[#This Row],[Requested Qty]]-IPRF_Lines[[#This Row],[Picked Qty]])</f>
        <v/>
      </c>
      <c r="M155" s="18" t="str" cm="1">
        <f t="array" ref="M155">IF(
    OR(IPRF_Lines[[#This Row],[Item Description]]="",IPRF_Lines[[#This Row],[Requested Qty]]="",IPRF_Lines[[#This Row],[Unit]]=""),
    "",UPPER(IPRF_Header[Request number] &amp; "-" &amp; IPRF_Lines[[#This Row],[Line num]]))</f>
        <v/>
      </c>
      <c r="N155" s="19" t="str" cm="1">
        <f t="array" ref="N1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IF(OR(IPRF_Lines[[#This Row],[Requested Qty]]="",IPRF_Lines[[#This Row],[Picked Qty]]=""),"",IPRF_Lines[[#This Row],[Requested Qty]]-IPRF_Lines[[#This Row],[Picked Qty]])</f>
        <v/>
      </c>
      <c r="M156" s="18" t="str" cm="1">
        <f t="array" ref="M156">IF(
    OR(IPRF_Lines[[#This Row],[Item Description]]="",IPRF_Lines[[#This Row],[Requested Qty]]="",IPRF_Lines[[#This Row],[Unit]]=""),
    "",UPPER(IPRF_Header[Request number] &amp; "-" &amp; IPRF_Lines[[#This Row],[Line num]]))</f>
        <v/>
      </c>
      <c r="N156" s="19" t="str" cm="1">
        <f t="array" ref="N1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IF(OR(IPRF_Lines[[#This Row],[Requested Qty]]="",IPRF_Lines[[#This Row],[Picked Qty]]=""),"",IPRF_Lines[[#This Row],[Requested Qty]]-IPRF_Lines[[#This Row],[Picked Qty]])</f>
        <v/>
      </c>
      <c r="M157" s="18" t="str" cm="1">
        <f t="array" ref="M157">IF(
    OR(IPRF_Lines[[#This Row],[Item Description]]="",IPRF_Lines[[#This Row],[Requested Qty]]="",IPRF_Lines[[#This Row],[Unit]]=""),
    "",UPPER(IPRF_Header[Request number] &amp; "-" &amp; IPRF_Lines[[#This Row],[Line num]]))</f>
        <v/>
      </c>
      <c r="N157" s="19" t="str" cm="1">
        <f t="array" ref="N1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IF(OR(IPRF_Lines[[#This Row],[Requested Qty]]="",IPRF_Lines[[#This Row],[Picked Qty]]=""),"",IPRF_Lines[[#This Row],[Requested Qty]]-IPRF_Lines[[#This Row],[Picked Qty]])</f>
        <v/>
      </c>
      <c r="M158" s="18" t="str" cm="1">
        <f t="array" ref="M158">IF(
    OR(IPRF_Lines[[#This Row],[Item Description]]="",IPRF_Lines[[#This Row],[Requested Qty]]="",IPRF_Lines[[#This Row],[Unit]]=""),
    "",UPPER(IPRF_Header[Request number] &amp; "-" &amp; IPRF_Lines[[#This Row],[Line num]]))</f>
        <v/>
      </c>
      <c r="N158" s="19" t="str" cm="1">
        <f t="array" ref="N1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IF(OR(IPRF_Lines[[#This Row],[Requested Qty]]="",IPRF_Lines[[#This Row],[Picked Qty]]=""),"",IPRF_Lines[[#This Row],[Requested Qty]]-IPRF_Lines[[#This Row],[Picked Qty]])</f>
        <v/>
      </c>
      <c r="M159" s="18" t="str" cm="1">
        <f t="array" ref="M159">IF(
    OR(IPRF_Lines[[#This Row],[Item Description]]="",IPRF_Lines[[#This Row],[Requested Qty]]="",IPRF_Lines[[#This Row],[Unit]]=""),
    "",UPPER(IPRF_Header[Request number] &amp; "-" &amp; IPRF_Lines[[#This Row],[Line num]]))</f>
        <v/>
      </c>
      <c r="N159" s="19" t="str" cm="1">
        <f t="array" ref="N1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IF(OR(IPRF_Lines[[#This Row],[Requested Qty]]="",IPRF_Lines[[#This Row],[Picked Qty]]=""),"",IPRF_Lines[[#This Row],[Requested Qty]]-IPRF_Lines[[#This Row],[Picked Qty]])</f>
        <v/>
      </c>
      <c r="M160" s="18" t="str" cm="1">
        <f t="array" ref="M160">IF(
    OR(IPRF_Lines[[#This Row],[Item Description]]="",IPRF_Lines[[#This Row],[Requested Qty]]="",IPRF_Lines[[#This Row],[Unit]]=""),
    "",UPPER(IPRF_Header[Request number] &amp; "-" &amp; IPRF_Lines[[#This Row],[Line num]]))</f>
        <v/>
      </c>
      <c r="N160" s="19" t="str" cm="1">
        <f t="array" ref="N1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IF(OR(IPRF_Lines[[#This Row],[Requested Qty]]="",IPRF_Lines[[#This Row],[Picked Qty]]=""),"",IPRF_Lines[[#This Row],[Requested Qty]]-IPRF_Lines[[#This Row],[Picked Qty]])</f>
        <v/>
      </c>
      <c r="M161" s="18" t="str" cm="1">
        <f t="array" ref="M161">IF(
    OR(IPRF_Lines[[#This Row],[Item Description]]="",IPRF_Lines[[#This Row],[Requested Qty]]="",IPRF_Lines[[#This Row],[Unit]]=""),
    "",UPPER(IPRF_Header[Request number] &amp; "-" &amp; IPRF_Lines[[#This Row],[Line num]]))</f>
        <v/>
      </c>
      <c r="N161" s="19" t="str" cm="1">
        <f t="array" ref="N1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IF(OR(IPRF_Lines[[#This Row],[Requested Qty]]="",IPRF_Lines[[#This Row],[Picked Qty]]=""),"",IPRF_Lines[[#This Row],[Requested Qty]]-IPRF_Lines[[#This Row],[Picked Qty]])</f>
        <v/>
      </c>
      <c r="M162" s="18" t="str" cm="1">
        <f t="array" ref="M162">IF(
    OR(IPRF_Lines[[#This Row],[Item Description]]="",IPRF_Lines[[#This Row],[Requested Qty]]="",IPRF_Lines[[#This Row],[Unit]]=""),
    "",UPPER(IPRF_Header[Request number] &amp; "-" &amp; IPRF_Lines[[#This Row],[Line num]]))</f>
        <v/>
      </c>
      <c r="N162" s="19" t="str" cm="1">
        <f t="array" ref="N1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IF(OR(IPRF_Lines[[#This Row],[Requested Qty]]="",IPRF_Lines[[#This Row],[Picked Qty]]=""),"",IPRF_Lines[[#This Row],[Requested Qty]]-IPRF_Lines[[#This Row],[Picked Qty]])</f>
        <v/>
      </c>
      <c r="M163" s="18" t="str" cm="1">
        <f t="array" ref="M163">IF(
    OR(IPRF_Lines[[#This Row],[Item Description]]="",IPRF_Lines[[#This Row],[Requested Qty]]="",IPRF_Lines[[#This Row],[Unit]]=""),
    "",UPPER(IPRF_Header[Request number] &amp; "-" &amp; IPRF_Lines[[#This Row],[Line num]]))</f>
        <v/>
      </c>
      <c r="N163" s="19" t="str" cm="1">
        <f t="array" ref="N1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IF(OR(IPRF_Lines[[#This Row],[Requested Qty]]="",IPRF_Lines[[#This Row],[Picked Qty]]=""),"",IPRF_Lines[[#This Row],[Requested Qty]]-IPRF_Lines[[#This Row],[Picked Qty]])</f>
        <v/>
      </c>
      <c r="M164" s="18" t="str" cm="1">
        <f t="array" ref="M164">IF(
    OR(IPRF_Lines[[#This Row],[Item Description]]="",IPRF_Lines[[#This Row],[Requested Qty]]="",IPRF_Lines[[#This Row],[Unit]]=""),
    "",UPPER(IPRF_Header[Request number] &amp; "-" &amp; IPRF_Lines[[#This Row],[Line num]]))</f>
        <v/>
      </c>
      <c r="N164" s="19" t="str" cm="1">
        <f t="array" ref="N1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IF(OR(IPRF_Lines[[#This Row],[Requested Qty]]="",IPRF_Lines[[#This Row],[Picked Qty]]=""),"",IPRF_Lines[[#This Row],[Requested Qty]]-IPRF_Lines[[#This Row],[Picked Qty]])</f>
        <v/>
      </c>
      <c r="M165" s="18" t="str" cm="1">
        <f t="array" ref="M165">IF(
    OR(IPRF_Lines[[#This Row],[Item Description]]="",IPRF_Lines[[#This Row],[Requested Qty]]="",IPRF_Lines[[#This Row],[Unit]]=""),
    "",UPPER(IPRF_Header[Request number] &amp; "-" &amp; IPRF_Lines[[#This Row],[Line num]]))</f>
        <v/>
      </c>
      <c r="N165" s="19" t="str" cm="1">
        <f t="array" ref="N1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IF(OR(IPRF_Lines[[#This Row],[Requested Qty]]="",IPRF_Lines[[#This Row],[Picked Qty]]=""),"",IPRF_Lines[[#This Row],[Requested Qty]]-IPRF_Lines[[#This Row],[Picked Qty]])</f>
        <v/>
      </c>
      <c r="M166" s="18" t="str" cm="1">
        <f t="array" ref="M166">IF(
    OR(IPRF_Lines[[#This Row],[Item Description]]="",IPRF_Lines[[#This Row],[Requested Qty]]="",IPRF_Lines[[#This Row],[Unit]]=""),
    "",UPPER(IPRF_Header[Request number] &amp; "-" &amp; IPRF_Lines[[#This Row],[Line num]]))</f>
        <v/>
      </c>
      <c r="N166" s="19" t="str" cm="1">
        <f t="array" ref="N1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IF(OR(IPRF_Lines[[#This Row],[Requested Qty]]="",IPRF_Lines[[#This Row],[Picked Qty]]=""),"",IPRF_Lines[[#This Row],[Requested Qty]]-IPRF_Lines[[#This Row],[Picked Qty]])</f>
        <v/>
      </c>
      <c r="M167" s="18" t="str" cm="1">
        <f t="array" ref="M167">IF(
    OR(IPRF_Lines[[#This Row],[Item Description]]="",IPRF_Lines[[#This Row],[Requested Qty]]="",IPRF_Lines[[#This Row],[Unit]]=""),
    "",UPPER(IPRF_Header[Request number] &amp; "-" &amp; IPRF_Lines[[#This Row],[Line num]]))</f>
        <v/>
      </c>
      <c r="N167" s="19" t="str" cm="1">
        <f t="array" ref="N1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IF(OR(IPRF_Lines[[#This Row],[Requested Qty]]="",IPRF_Lines[[#This Row],[Picked Qty]]=""),"",IPRF_Lines[[#This Row],[Requested Qty]]-IPRF_Lines[[#This Row],[Picked Qty]])</f>
        <v/>
      </c>
      <c r="M168" s="18" t="str" cm="1">
        <f t="array" ref="M168">IF(
    OR(IPRF_Lines[[#This Row],[Item Description]]="",IPRF_Lines[[#This Row],[Requested Qty]]="",IPRF_Lines[[#This Row],[Unit]]=""),
    "",UPPER(IPRF_Header[Request number] &amp; "-" &amp; IPRF_Lines[[#This Row],[Line num]]))</f>
        <v/>
      </c>
      <c r="N168" s="19" t="str" cm="1">
        <f t="array" ref="N1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IF(OR(IPRF_Lines[[#This Row],[Requested Qty]]="",IPRF_Lines[[#This Row],[Picked Qty]]=""),"",IPRF_Lines[[#This Row],[Requested Qty]]-IPRF_Lines[[#This Row],[Picked Qty]])</f>
        <v/>
      </c>
      <c r="M169" s="18" t="str" cm="1">
        <f t="array" ref="M169">IF(
    OR(IPRF_Lines[[#This Row],[Item Description]]="",IPRF_Lines[[#This Row],[Requested Qty]]="",IPRF_Lines[[#This Row],[Unit]]=""),
    "",UPPER(IPRF_Header[Request number] &amp; "-" &amp; IPRF_Lines[[#This Row],[Line num]]))</f>
        <v/>
      </c>
      <c r="N169" s="19" t="str" cm="1">
        <f t="array" ref="N1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IF(OR(IPRF_Lines[[#This Row],[Requested Qty]]="",IPRF_Lines[[#This Row],[Picked Qty]]=""),"",IPRF_Lines[[#This Row],[Requested Qty]]-IPRF_Lines[[#This Row],[Picked Qty]])</f>
        <v/>
      </c>
      <c r="M170" s="18" t="str" cm="1">
        <f t="array" ref="M170">IF(
    OR(IPRF_Lines[[#This Row],[Item Description]]="",IPRF_Lines[[#This Row],[Requested Qty]]="",IPRF_Lines[[#This Row],[Unit]]=""),
    "",UPPER(IPRF_Header[Request number] &amp; "-" &amp; IPRF_Lines[[#This Row],[Line num]]))</f>
        <v/>
      </c>
      <c r="N170" s="19" t="str" cm="1">
        <f t="array" ref="N1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IF(OR(IPRF_Lines[[#This Row],[Requested Qty]]="",IPRF_Lines[[#This Row],[Picked Qty]]=""),"",IPRF_Lines[[#This Row],[Requested Qty]]-IPRF_Lines[[#This Row],[Picked Qty]])</f>
        <v/>
      </c>
      <c r="M171" s="18" t="str" cm="1">
        <f t="array" ref="M171">IF(
    OR(IPRF_Lines[[#This Row],[Item Description]]="",IPRF_Lines[[#This Row],[Requested Qty]]="",IPRF_Lines[[#This Row],[Unit]]=""),
    "",UPPER(IPRF_Header[Request number] &amp; "-" &amp; IPRF_Lines[[#This Row],[Line num]]))</f>
        <v/>
      </c>
      <c r="N171" s="19" t="str" cm="1">
        <f t="array" ref="N1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IF(OR(IPRF_Lines[[#This Row],[Requested Qty]]="",IPRF_Lines[[#This Row],[Picked Qty]]=""),"",IPRF_Lines[[#This Row],[Requested Qty]]-IPRF_Lines[[#This Row],[Picked Qty]])</f>
        <v/>
      </c>
      <c r="M172" s="18" t="str" cm="1">
        <f t="array" ref="M172">IF(
    OR(IPRF_Lines[[#This Row],[Item Description]]="",IPRF_Lines[[#This Row],[Requested Qty]]="",IPRF_Lines[[#This Row],[Unit]]=""),
    "",UPPER(IPRF_Header[Request number] &amp; "-" &amp; IPRF_Lines[[#This Row],[Line num]]))</f>
        <v/>
      </c>
      <c r="N172" s="19" t="str" cm="1">
        <f t="array" ref="N1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IF(OR(IPRF_Lines[[#This Row],[Requested Qty]]="",IPRF_Lines[[#This Row],[Picked Qty]]=""),"",IPRF_Lines[[#This Row],[Requested Qty]]-IPRF_Lines[[#This Row],[Picked Qty]])</f>
        <v/>
      </c>
      <c r="M173" s="18" t="str" cm="1">
        <f t="array" ref="M173">IF(
    OR(IPRF_Lines[[#This Row],[Item Description]]="",IPRF_Lines[[#This Row],[Requested Qty]]="",IPRF_Lines[[#This Row],[Unit]]=""),
    "",UPPER(IPRF_Header[Request number] &amp; "-" &amp; IPRF_Lines[[#This Row],[Line num]]))</f>
        <v/>
      </c>
      <c r="N173" s="19" t="str" cm="1">
        <f t="array" ref="N1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IF(OR(IPRF_Lines[[#This Row],[Requested Qty]]="",IPRF_Lines[[#This Row],[Picked Qty]]=""),"",IPRF_Lines[[#This Row],[Requested Qty]]-IPRF_Lines[[#This Row],[Picked Qty]])</f>
        <v/>
      </c>
      <c r="M174" s="18" t="str" cm="1">
        <f t="array" ref="M174">IF(
    OR(IPRF_Lines[[#This Row],[Item Description]]="",IPRF_Lines[[#This Row],[Requested Qty]]="",IPRF_Lines[[#This Row],[Unit]]=""),
    "",UPPER(IPRF_Header[Request number] &amp; "-" &amp; IPRF_Lines[[#This Row],[Line num]]))</f>
        <v/>
      </c>
      <c r="N174" s="19" t="str" cm="1">
        <f t="array" ref="N1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IF(OR(IPRF_Lines[[#This Row],[Requested Qty]]="",IPRF_Lines[[#This Row],[Picked Qty]]=""),"",IPRF_Lines[[#This Row],[Requested Qty]]-IPRF_Lines[[#This Row],[Picked Qty]])</f>
        <v/>
      </c>
      <c r="M175" s="18" t="str" cm="1">
        <f t="array" ref="M175">IF(
    OR(IPRF_Lines[[#This Row],[Item Description]]="",IPRF_Lines[[#This Row],[Requested Qty]]="",IPRF_Lines[[#This Row],[Unit]]=""),
    "",UPPER(IPRF_Header[Request number] &amp; "-" &amp; IPRF_Lines[[#This Row],[Line num]]))</f>
        <v/>
      </c>
      <c r="N175" s="19" t="str" cm="1">
        <f t="array" ref="N1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IF(OR(IPRF_Lines[[#This Row],[Requested Qty]]="",IPRF_Lines[[#This Row],[Picked Qty]]=""),"",IPRF_Lines[[#This Row],[Requested Qty]]-IPRF_Lines[[#This Row],[Picked Qty]])</f>
        <v/>
      </c>
      <c r="M176" s="18" t="str" cm="1">
        <f t="array" ref="M176">IF(
    OR(IPRF_Lines[[#This Row],[Item Description]]="",IPRF_Lines[[#This Row],[Requested Qty]]="",IPRF_Lines[[#This Row],[Unit]]=""),
    "",UPPER(IPRF_Header[Request number] &amp; "-" &amp; IPRF_Lines[[#This Row],[Line num]]))</f>
        <v/>
      </c>
      <c r="N176" s="19" t="str" cm="1">
        <f t="array" ref="N1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IF(OR(IPRF_Lines[[#This Row],[Requested Qty]]="",IPRF_Lines[[#This Row],[Picked Qty]]=""),"",IPRF_Lines[[#This Row],[Requested Qty]]-IPRF_Lines[[#This Row],[Picked Qty]])</f>
        <v/>
      </c>
      <c r="M177" s="18" t="str" cm="1">
        <f t="array" ref="M177">IF(
    OR(IPRF_Lines[[#This Row],[Item Description]]="",IPRF_Lines[[#This Row],[Requested Qty]]="",IPRF_Lines[[#This Row],[Unit]]=""),
    "",UPPER(IPRF_Header[Request number] &amp; "-" &amp; IPRF_Lines[[#This Row],[Line num]]))</f>
        <v/>
      </c>
      <c r="N177" s="19" t="str" cm="1">
        <f t="array" ref="N1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IF(OR(IPRF_Lines[[#This Row],[Requested Qty]]="",IPRF_Lines[[#This Row],[Picked Qty]]=""),"",IPRF_Lines[[#This Row],[Requested Qty]]-IPRF_Lines[[#This Row],[Picked Qty]])</f>
        <v/>
      </c>
      <c r="M178" s="18" t="str" cm="1">
        <f t="array" ref="M178">IF(
    OR(IPRF_Lines[[#This Row],[Item Description]]="",IPRF_Lines[[#This Row],[Requested Qty]]="",IPRF_Lines[[#This Row],[Unit]]=""),
    "",UPPER(IPRF_Header[Request number] &amp; "-" &amp; IPRF_Lines[[#This Row],[Line num]]))</f>
        <v/>
      </c>
      <c r="N178" s="19" t="str" cm="1">
        <f t="array" ref="N1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IF(OR(IPRF_Lines[[#This Row],[Requested Qty]]="",IPRF_Lines[[#This Row],[Picked Qty]]=""),"",IPRF_Lines[[#This Row],[Requested Qty]]-IPRF_Lines[[#This Row],[Picked Qty]])</f>
        <v/>
      </c>
      <c r="M179" s="18" t="str" cm="1">
        <f t="array" ref="M179">IF(
    OR(IPRF_Lines[[#This Row],[Item Description]]="",IPRF_Lines[[#This Row],[Requested Qty]]="",IPRF_Lines[[#This Row],[Unit]]=""),
    "",UPPER(IPRF_Header[Request number] &amp; "-" &amp; IPRF_Lines[[#This Row],[Line num]]))</f>
        <v/>
      </c>
      <c r="N179" s="19" t="str" cm="1">
        <f t="array" ref="N1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IF(OR(IPRF_Lines[[#This Row],[Requested Qty]]="",IPRF_Lines[[#This Row],[Picked Qty]]=""),"",IPRF_Lines[[#This Row],[Requested Qty]]-IPRF_Lines[[#This Row],[Picked Qty]])</f>
        <v/>
      </c>
      <c r="M180" s="18" t="str" cm="1">
        <f t="array" ref="M180">IF(
    OR(IPRF_Lines[[#This Row],[Item Description]]="",IPRF_Lines[[#This Row],[Requested Qty]]="",IPRF_Lines[[#This Row],[Unit]]=""),
    "",UPPER(IPRF_Header[Request number] &amp; "-" &amp; IPRF_Lines[[#This Row],[Line num]]))</f>
        <v/>
      </c>
      <c r="N180" s="19" t="str" cm="1">
        <f t="array" ref="N1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IF(OR(IPRF_Lines[[#This Row],[Requested Qty]]="",IPRF_Lines[[#This Row],[Picked Qty]]=""),"",IPRF_Lines[[#This Row],[Requested Qty]]-IPRF_Lines[[#This Row],[Picked Qty]])</f>
        <v/>
      </c>
      <c r="M181" s="18" t="str" cm="1">
        <f t="array" ref="M181">IF(
    OR(IPRF_Lines[[#This Row],[Item Description]]="",IPRF_Lines[[#This Row],[Requested Qty]]="",IPRF_Lines[[#This Row],[Unit]]=""),
    "",UPPER(IPRF_Header[Request number] &amp; "-" &amp; IPRF_Lines[[#This Row],[Line num]]))</f>
        <v/>
      </c>
      <c r="N181" s="19" t="str" cm="1">
        <f t="array" ref="N1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IF(OR(IPRF_Lines[[#This Row],[Requested Qty]]="",IPRF_Lines[[#This Row],[Picked Qty]]=""),"",IPRF_Lines[[#This Row],[Requested Qty]]-IPRF_Lines[[#This Row],[Picked Qty]])</f>
        <v/>
      </c>
      <c r="M182" s="18" t="str" cm="1">
        <f t="array" ref="M182">IF(
    OR(IPRF_Lines[[#This Row],[Item Description]]="",IPRF_Lines[[#This Row],[Requested Qty]]="",IPRF_Lines[[#This Row],[Unit]]=""),
    "",UPPER(IPRF_Header[Request number] &amp; "-" &amp; IPRF_Lines[[#This Row],[Line num]]))</f>
        <v/>
      </c>
      <c r="N182" s="19" t="str" cm="1">
        <f t="array" ref="N1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IF(OR(IPRF_Lines[[#This Row],[Requested Qty]]="",IPRF_Lines[[#This Row],[Picked Qty]]=""),"",IPRF_Lines[[#This Row],[Requested Qty]]-IPRF_Lines[[#This Row],[Picked Qty]])</f>
        <v/>
      </c>
      <c r="M183" s="18" t="str" cm="1">
        <f t="array" ref="M183">IF(
    OR(IPRF_Lines[[#This Row],[Item Description]]="",IPRF_Lines[[#This Row],[Requested Qty]]="",IPRF_Lines[[#This Row],[Unit]]=""),
    "",UPPER(IPRF_Header[Request number] &amp; "-" &amp; IPRF_Lines[[#This Row],[Line num]]))</f>
        <v/>
      </c>
      <c r="N183" s="19" t="str" cm="1">
        <f t="array" ref="N1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IF(OR(IPRF_Lines[[#This Row],[Requested Qty]]="",IPRF_Lines[[#This Row],[Picked Qty]]=""),"",IPRF_Lines[[#This Row],[Requested Qty]]-IPRF_Lines[[#This Row],[Picked Qty]])</f>
        <v/>
      </c>
      <c r="M184" s="18" t="str" cm="1">
        <f t="array" ref="M184">IF(
    OR(IPRF_Lines[[#This Row],[Item Description]]="",IPRF_Lines[[#This Row],[Requested Qty]]="",IPRF_Lines[[#This Row],[Unit]]=""),
    "",UPPER(IPRF_Header[Request number] &amp; "-" &amp; IPRF_Lines[[#This Row],[Line num]]))</f>
        <v/>
      </c>
      <c r="N184" s="19" t="str" cm="1">
        <f t="array" ref="N1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IF(OR(IPRF_Lines[[#This Row],[Requested Qty]]="",IPRF_Lines[[#This Row],[Picked Qty]]=""),"",IPRF_Lines[[#This Row],[Requested Qty]]-IPRF_Lines[[#This Row],[Picked Qty]])</f>
        <v/>
      </c>
      <c r="M185" s="18" t="str" cm="1">
        <f t="array" ref="M185">IF(
    OR(IPRF_Lines[[#This Row],[Item Description]]="",IPRF_Lines[[#This Row],[Requested Qty]]="",IPRF_Lines[[#This Row],[Unit]]=""),
    "",UPPER(IPRF_Header[Request number] &amp; "-" &amp; IPRF_Lines[[#This Row],[Line num]]))</f>
        <v/>
      </c>
      <c r="N185" s="19" t="str" cm="1">
        <f t="array" ref="N1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IF(OR(IPRF_Lines[[#This Row],[Requested Qty]]="",IPRF_Lines[[#This Row],[Picked Qty]]=""),"",IPRF_Lines[[#This Row],[Requested Qty]]-IPRF_Lines[[#This Row],[Picked Qty]])</f>
        <v/>
      </c>
      <c r="M186" s="18" t="str" cm="1">
        <f t="array" ref="M186">IF(
    OR(IPRF_Lines[[#This Row],[Item Description]]="",IPRF_Lines[[#This Row],[Requested Qty]]="",IPRF_Lines[[#This Row],[Unit]]=""),
    "",UPPER(IPRF_Header[Request number] &amp; "-" &amp; IPRF_Lines[[#This Row],[Line num]]))</f>
        <v/>
      </c>
      <c r="N186" s="19" t="str" cm="1">
        <f t="array" ref="N1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IF(OR(IPRF_Lines[[#This Row],[Requested Qty]]="",IPRF_Lines[[#This Row],[Picked Qty]]=""),"",IPRF_Lines[[#This Row],[Requested Qty]]-IPRF_Lines[[#This Row],[Picked Qty]])</f>
        <v/>
      </c>
      <c r="M187" s="18" t="str" cm="1">
        <f t="array" ref="M187">IF(
    OR(IPRF_Lines[[#This Row],[Item Description]]="",IPRF_Lines[[#This Row],[Requested Qty]]="",IPRF_Lines[[#This Row],[Unit]]=""),
    "",UPPER(IPRF_Header[Request number] &amp; "-" &amp; IPRF_Lines[[#This Row],[Line num]]))</f>
        <v/>
      </c>
      <c r="N187" s="19" t="str" cm="1">
        <f t="array" ref="N1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IF(OR(IPRF_Lines[[#This Row],[Requested Qty]]="",IPRF_Lines[[#This Row],[Picked Qty]]=""),"",IPRF_Lines[[#This Row],[Requested Qty]]-IPRF_Lines[[#This Row],[Picked Qty]])</f>
        <v/>
      </c>
      <c r="M188" s="18" t="str" cm="1">
        <f t="array" ref="M188">IF(
    OR(IPRF_Lines[[#This Row],[Item Description]]="",IPRF_Lines[[#This Row],[Requested Qty]]="",IPRF_Lines[[#This Row],[Unit]]=""),
    "",UPPER(IPRF_Header[Request number] &amp; "-" &amp; IPRF_Lines[[#This Row],[Line num]]))</f>
        <v/>
      </c>
      <c r="N188" s="19" t="str" cm="1">
        <f t="array" ref="N1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IF(OR(IPRF_Lines[[#This Row],[Requested Qty]]="",IPRF_Lines[[#This Row],[Picked Qty]]=""),"",IPRF_Lines[[#This Row],[Requested Qty]]-IPRF_Lines[[#This Row],[Picked Qty]])</f>
        <v/>
      </c>
      <c r="M189" s="18" t="str" cm="1">
        <f t="array" ref="M189">IF(
    OR(IPRF_Lines[[#This Row],[Item Description]]="",IPRF_Lines[[#This Row],[Requested Qty]]="",IPRF_Lines[[#This Row],[Unit]]=""),
    "",UPPER(IPRF_Header[Request number] &amp; "-" &amp; IPRF_Lines[[#This Row],[Line num]]))</f>
        <v/>
      </c>
      <c r="N189" s="19" t="str" cm="1">
        <f t="array" ref="N1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IF(OR(IPRF_Lines[[#This Row],[Requested Qty]]="",IPRF_Lines[[#This Row],[Picked Qty]]=""),"",IPRF_Lines[[#This Row],[Requested Qty]]-IPRF_Lines[[#This Row],[Picked Qty]])</f>
        <v/>
      </c>
      <c r="M190" s="18" t="str" cm="1">
        <f t="array" ref="M190">IF(
    OR(IPRF_Lines[[#This Row],[Item Description]]="",IPRF_Lines[[#This Row],[Requested Qty]]="",IPRF_Lines[[#This Row],[Unit]]=""),
    "",UPPER(IPRF_Header[Request number] &amp; "-" &amp; IPRF_Lines[[#This Row],[Line num]]))</f>
        <v/>
      </c>
      <c r="N190" s="19" t="str" cm="1">
        <f t="array" ref="N1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IF(OR(IPRF_Lines[[#This Row],[Requested Qty]]="",IPRF_Lines[[#This Row],[Picked Qty]]=""),"",IPRF_Lines[[#This Row],[Requested Qty]]-IPRF_Lines[[#This Row],[Picked Qty]])</f>
        <v/>
      </c>
      <c r="M191" s="18" t="str" cm="1">
        <f t="array" ref="M191">IF(
    OR(IPRF_Lines[[#This Row],[Item Description]]="",IPRF_Lines[[#This Row],[Requested Qty]]="",IPRF_Lines[[#This Row],[Unit]]=""),
    "",UPPER(IPRF_Header[Request number] &amp; "-" &amp; IPRF_Lines[[#This Row],[Line num]]))</f>
        <v/>
      </c>
      <c r="N191" s="19" t="str" cm="1">
        <f t="array" ref="N1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IF(OR(IPRF_Lines[[#This Row],[Requested Qty]]="",IPRF_Lines[[#This Row],[Picked Qty]]=""),"",IPRF_Lines[[#This Row],[Requested Qty]]-IPRF_Lines[[#This Row],[Picked Qty]])</f>
        <v/>
      </c>
      <c r="M192" s="18" t="str" cm="1">
        <f t="array" ref="M192">IF(
    OR(IPRF_Lines[[#This Row],[Item Description]]="",IPRF_Lines[[#This Row],[Requested Qty]]="",IPRF_Lines[[#This Row],[Unit]]=""),
    "",UPPER(IPRF_Header[Request number] &amp; "-" &amp; IPRF_Lines[[#This Row],[Line num]]))</f>
        <v/>
      </c>
      <c r="N192" s="19" t="str" cm="1">
        <f t="array" ref="N1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IF(OR(IPRF_Lines[[#This Row],[Requested Qty]]="",IPRF_Lines[[#This Row],[Picked Qty]]=""),"",IPRF_Lines[[#This Row],[Requested Qty]]-IPRF_Lines[[#This Row],[Picked Qty]])</f>
        <v/>
      </c>
      <c r="M193" s="18" t="str" cm="1">
        <f t="array" ref="M193">IF(
    OR(IPRF_Lines[[#This Row],[Item Description]]="",IPRF_Lines[[#This Row],[Requested Qty]]="",IPRF_Lines[[#This Row],[Unit]]=""),
    "",UPPER(IPRF_Header[Request number] &amp; "-" &amp; IPRF_Lines[[#This Row],[Line num]]))</f>
        <v/>
      </c>
      <c r="N193" s="19" t="str" cm="1">
        <f t="array" ref="N1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IF(OR(IPRF_Lines[[#This Row],[Requested Qty]]="",IPRF_Lines[[#This Row],[Picked Qty]]=""),"",IPRF_Lines[[#This Row],[Requested Qty]]-IPRF_Lines[[#This Row],[Picked Qty]])</f>
        <v/>
      </c>
      <c r="M194" s="18" t="str" cm="1">
        <f t="array" ref="M194">IF(
    OR(IPRF_Lines[[#This Row],[Item Description]]="",IPRF_Lines[[#This Row],[Requested Qty]]="",IPRF_Lines[[#This Row],[Unit]]=""),
    "",UPPER(IPRF_Header[Request number] &amp; "-" &amp; IPRF_Lines[[#This Row],[Line num]]))</f>
        <v/>
      </c>
      <c r="N194" s="19" t="str" cm="1">
        <f t="array" ref="N1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IF(OR(IPRF_Lines[[#This Row],[Requested Qty]]="",IPRF_Lines[[#This Row],[Picked Qty]]=""),"",IPRF_Lines[[#This Row],[Requested Qty]]-IPRF_Lines[[#This Row],[Picked Qty]])</f>
        <v/>
      </c>
      <c r="M195" s="18" t="str" cm="1">
        <f t="array" ref="M195">IF(
    OR(IPRF_Lines[[#This Row],[Item Description]]="",IPRF_Lines[[#This Row],[Requested Qty]]="",IPRF_Lines[[#This Row],[Unit]]=""),
    "",UPPER(IPRF_Header[Request number] &amp; "-" &amp; IPRF_Lines[[#This Row],[Line num]]))</f>
        <v/>
      </c>
      <c r="N195" s="19" t="str" cm="1">
        <f t="array" ref="N1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IF(OR(IPRF_Lines[[#This Row],[Requested Qty]]="",IPRF_Lines[[#This Row],[Picked Qty]]=""),"",IPRF_Lines[[#This Row],[Requested Qty]]-IPRF_Lines[[#This Row],[Picked Qty]])</f>
        <v/>
      </c>
      <c r="M196" s="18" t="str" cm="1">
        <f t="array" ref="M196">IF(
    OR(IPRF_Lines[[#This Row],[Item Description]]="",IPRF_Lines[[#This Row],[Requested Qty]]="",IPRF_Lines[[#This Row],[Unit]]=""),
    "",UPPER(IPRF_Header[Request number] &amp; "-" &amp; IPRF_Lines[[#This Row],[Line num]]))</f>
        <v/>
      </c>
      <c r="N196" s="19" t="str" cm="1">
        <f t="array" ref="N1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IF(OR(IPRF_Lines[[#This Row],[Requested Qty]]="",IPRF_Lines[[#This Row],[Picked Qty]]=""),"",IPRF_Lines[[#This Row],[Requested Qty]]-IPRF_Lines[[#This Row],[Picked Qty]])</f>
        <v/>
      </c>
      <c r="M197" s="18" t="str" cm="1">
        <f t="array" ref="M197">IF(
    OR(IPRF_Lines[[#This Row],[Item Description]]="",IPRF_Lines[[#This Row],[Requested Qty]]="",IPRF_Lines[[#This Row],[Unit]]=""),
    "",UPPER(IPRF_Header[Request number] &amp; "-" &amp; IPRF_Lines[[#This Row],[Line num]]))</f>
        <v/>
      </c>
      <c r="N197" s="19" t="str" cm="1">
        <f t="array" ref="N1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IF(OR(IPRF_Lines[[#This Row],[Requested Qty]]="",IPRF_Lines[[#This Row],[Picked Qty]]=""),"",IPRF_Lines[[#This Row],[Requested Qty]]-IPRF_Lines[[#This Row],[Picked Qty]])</f>
        <v/>
      </c>
      <c r="M198" s="18" t="str" cm="1">
        <f t="array" ref="M198">IF(
    OR(IPRF_Lines[[#This Row],[Item Description]]="",IPRF_Lines[[#This Row],[Requested Qty]]="",IPRF_Lines[[#This Row],[Unit]]=""),
    "",UPPER(IPRF_Header[Request number] &amp; "-" &amp; IPRF_Lines[[#This Row],[Line num]]))</f>
        <v/>
      </c>
      <c r="N198" s="19" t="str" cm="1">
        <f t="array" ref="N1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IF(OR(IPRF_Lines[[#This Row],[Requested Qty]]="",IPRF_Lines[[#This Row],[Picked Qty]]=""),"",IPRF_Lines[[#This Row],[Requested Qty]]-IPRF_Lines[[#This Row],[Picked Qty]])</f>
        <v/>
      </c>
      <c r="M199" s="18" t="str" cm="1">
        <f t="array" ref="M199">IF(
    OR(IPRF_Lines[[#This Row],[Item Description]]="",IPRF_Lines[[#This Row],[Requested Qty]]="",IPRF_Lines[[#This Row],[Unit]]=""),
    "",UPPER(IPRF_Header[Request number] &amp; "-" &amp; IPRF_Lines[[#This Row],[Line num]]))</f>
        <v/>
      </c>
      <c r="N199" s="19" t="str" cm="1">
        <f t="array" ref="N1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IF(OR(IPRF_Lines[[#This Row],[Requested Qty]]="",IPRF_Lines[[#This Row],[Picked Qty]]=""),"",IPRF_Lines[[#This Row],[Requested Qty]]-IPRF_Lines[[#This Row],[Picked Qty]])</f>
        <v/>
      </c>
      <c r="M200" s="18" t="str" cm="1">
        <f t="array" ref="M200">IF(
    OR(IPRF_Lines[[#This Row],[Item Description]]="",IPRF_Lines[[#This Row],[Requested Qty]]="",IPRF_Lines[[#This Row],[Unit]]=""),
    "",UPPER(IPRF_Header[Request number] &amp; "-" &amp; IPRF_Lines[[#This Row],[Line num]]))</f>
        <v/>
      </c>
      <c r="N200" s="19" t="str" cm="1">
        <f t="array" ref="N2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IF(OR(IPRF_Lines[[#This Row],[Requested Qty]]="",IPRF_Lines[[#This Row],[Picked Qty]]=""),"",IPRF_Lines[[#This Row],[Requested Qty]]-IPRF_Lines[[#This Row],[Picked Qty]])</f>
        <v/>
      </c>
      <c r="M201" s="18" t="str" cm="1">
        <f t="array" ref="M201">IF(
    OR(IPRF_Lines[[#This Row],[Item Description]]="",IPRF_Lines[[#This Row],[Requested Qty]]="",IPRF_Lines[[#This Row],[Unit]]=""),
    "",UPPER(IPRF_Header[Request number] &amp; "-" &amp; IPRF_Lines[[#This Row],[Line num]]))</f>
        <v/>
      </c>
      <c r="N201" s="19" t="str" cm="1">
        <f t="array" ref="N2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IF(OR(IPRF_Lines[[#This Row],[Requested Qty]]="",IPRF_Lines[[#This Row],[Picked Qty]]=""),"",IPRF_Lines[[#This Row],[Requested Qty]]-IPRF_Lines[[#This Row],[Picked Qty]])</f>
        <v/>
      </c>
      <c r="M202" s="18" t="str" cm="1">
        <f t="array" ref="M202">IF(
    OR(IPRF_Lines[[#This Row],[Item Description]]="",IPRF_Lines[[#This Row],[Requested Qty]]="",IPRF_Lines[[#This Row],[Unit]]=""),
    "",UPPER(IPRF_Header[Request number] &amp; "-" &amp; IPRF_Lines[[#This Row],[Line num]]))</f>
        <v/>
      </c>
      <c r="N202" s="19" t="str" cm="1">
        <f t="array" ref="N2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IF(OR(IPRF_Lines[[#This Row],[Requested Qty]]="",IPRF_Lines[[#This Row],[Picked Qty]]=""),"",IPRF_Lines[[#This Row],[Requested Qty]]-IPRF_Lines[[#This Row],[Picked Qty]])</f>
        <v/>
      </c>
      <c r="M203" s="18" t="str" cm="1">
        <f t="array" ref="M203">IF(
    OR(IPRF_Lines[[#This Row],[Item Description]]="",IPRF_Lines[[#This Row],[Requested Qty]]="",IPRF_Lines[[#This Row],[Unit]]=""),
    "",UPPER(IPRF_Header[Request number] &amp; "-" &amp; IPRF_Lines[[#This Row],[Line num]]))</f>
        <v/>
      </c>
      <c r="N203" s="19" t="str" cm="1">
        <f t="array" ref="N2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IF(OR(IPRF_Lines[[#This Row],[Requested Qty]]="",IPRF_Lines[[#This Row],[Picked Qty]]=""),"",IPRF_Lines[[#This Row],[Requested Qty]]-IPRF_Lines[[#This Row],[Picked Qty]])</f>
        <v/>
      </c>
      <c r="M204" s="18" t="str" cm="1">
        <f t="array" ref="M204">IF(
    OR(IPRF_Lines[[#This Row],[Item Description]]="",IPRF_Lines[[#This Row],[Requested Qty]]="",IPRF_Lines[[#This Row],[Unit]]=""),
    "",UPPER(IPRF_Header[Request number] &amp; "-" &amp; IPRF_Lines[[#This Row],[Line num]]))</f>
        <v/>
      </c>
      <c r="N204" s="19" t="str" cm="1">
        <f t="array" ref="N2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IF(OR(IPRF_Lines[[#This Row],[Requested Qty]]="",IPRF_Lines[[#This Row],[Picked Qty]]=""),"",IPRF_Lines[[#This Row],[Requested Qty]]-IPRF_Lines[[#This Row],[Picked Qty]])</f>
        <v/>
      </c>
      <c r="M205" s="18" t="str" cm="1">
        <f t="array" ref="M205">IF(
    OR(IPRF_Lines[[#This Row],[Item Description]]="",IPRF_Lines[[#This Row],[Requested Qty]]="",IPRF_Lines[[#This Row],[Unit]]=""),
    "",UPPER(IPRF_Header[Request number] &amp; "-" &amp; IPRF_Lines[[#This Row],[Line num]]))</f>
        <v/>
      </c>
      <c r="N205" s="19" t="str" cm="1">
        <f t="array" ref="N2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IF(OR(IPRF_Lines[[#This Row],[Requested Qty]]="",IPRF_Lines[[#This Row],[Picked Qty]]=""),"",IPRF_Lines[[#This Row],[Requested Qty]]-IPRF_Lines[[#This Row],[Picked Qty]])</f>
        <v/>
      </c>
      <c r="M206" s="18" t="str" cm="1">
        <f t="array" ref="M206">IF(
    OR(IPRF_Lines[[#This Row],[Item Description]]="",IPRF_Lines[[#This Row],[Requested Qty]]="",IPRF_Lines[[#This Row],[Unit]]=""),
    "",UPPER(IPRF_Header[Request number] &amp; "-" &amp; IPRF_Lines[[#This Row],[Line num]]))</f>
        <v/>
      </c>
      <c r="N206" s="19" t="str" cm="1">
        <f t="array" ref="N2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IF(OR(IPRF_Lines[[#This Row],[Requested Qty]]="",IPRF_Lines[[#This Row],[Picked Qty]]=""),"",IPRF_Lines[[#This Row],[Requested Qty]]-IPRF_Lines[[#This Row],[Picked Qty]])</f>
        <v/>
      </c>
      <c r="M207" s="18" t="str" cm="1">
        <f t="array" ref="M207">IF(
    OR(IPRF_Lines[[#This Row],[Item Description]]="",IPRF_Lines[[#This Row],[Requested Qty]]="",IPRF_Lines[[#This Row],[Unit]]=""),
    "",UPPER(IPRF_Header[Request number] &amp; "-" &amp; IPRF_Lines[[#This Row],[Line num]]))</f>
        <v/>
      </c>
      <c r="N207" s="19" t="str" cm="1">
        <f t="array" ref="N2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IF(OR(IPRF_Lines[[#This Row],[Requested Qty]]="",IPRF_Lines[[#This Row],[Picked Qty]]=""),"",IPRF_Lines[[#This Row],[Requested Qty]]-IPRF_Lines[[#This Row],[Picked Qty]])</f>
        <v/>
      </c>
      <c r="M208" s="18" t="str" cm="1">
        <f t="array" ref="M208">IF(
    OR(IPRF_Lines[[#This Row],[Item Description]]="",IPRF_Lines[[#This Row],[Requested Qty]]="",IPRF_Lines[[#This Row],[Unit]]=""),
    "",UPPER(IPRF_Header[Request number] &amp; "-" &amp; IPRF_Lines[[#This Row],[Line num]]))</f>
        <v/>
      </c>
      <c r="N208" s="19" t="str" cm="1">
        <f t="array" ref="N2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IF(OR(IPRF_Lines[[#This Row],[Requested Qty]]="",IPRF_Lines[[#This Row],[Picked Qty]]=""),"",IPRF_Lines[[#This Row],[Requested Qty]]-IPRF_Lines[[#This Row],[Picked Qty]])</f>
        <v/>
      </c>
      <c r="M209" s="18" t="str" cm="1">
        <f t="array" ref="M209">IF(
    OR(IPRF_Lines[[#This Row],[Item Description]]="",IPRF_Lines[[#This Row],[Requested Qty]]="",IPRF_Lines[[#This Row],[Unit]]=""),
    "",UPPER(IPRF_Header[Request number] &amp; "-" &amp; IPRF_Lines[[#This Row],[Line num]]))</f>
        <v/>
      </c>
      <c r="N209" s="19" t="str" cm="1">
        <f t="array" ref="N2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IF(OR(IPRF_Lines[[#This Row],[Requested Qty]]="",IPRF_Lines[[#This Row],[Picked Qty]]=""),"",IPRF_Lines[[#This Row],[Requested Qty]]-IPRF_Lines[[#This Row],[Picked Qty]])</f>
        <v/>
      </c>
      <c r="M210" s="18" t="str" cm="1">
        <f t="array" ref="M210">IF(
    OR(IPRF_Lines[[#This Row],[Item Description]]="",IPRF_Lines[[#This Row],[Requested Qty]]="",IPRF_Lines[[#This Row],[Unit]]=""),
    "",UPPER(IPRF_Header[Request number] &amp; "-" &amp; IPRF_Lines[[#This Row],[Line num]]))</f>
        <v/>
      </c>
      <c r="N210" s="19" t="str" cm="1">
        <f t="array" ref="N2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IF(OR(IPRF_Lines[[#This Row],[Requested Qty]]="",IPRF_Lines[[#This Row],[Picked Qty]]=""),"",IPRF_Lines[[#This Row],[Requested Qty]]-IPRF_Lines[[#This Row],[Picked Qty]])</f>
        <v/>
      </c>
      <c r="M211" s="18" t="str" cm="1">
        <f t="array" ref="M211">IF(
    OR(IPRF_Lines[[#This Row],[Item Description]]="",IPRF_Lines[[#This Row],[Requested Qty]]="",IPRF_Lines[[#This Row],[Unit]]=""),
    "",UPPER(IPRF_Header[Request number] &amp; "-" &amp; IPRF_Lines[[#This Row],[Line num]]))</f>
        <v/>
      </c>
      <c r="N211" s="19" t="str" cm="1">
        <f t="array" ref="N2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IF(OR(IPRF_Lines[[#This Row],[Requested Qty]]="",IPRF_Lines[[#This Row],[Picked Qty]]=""),"",IPRF_Lines[[#This Row],[Requested Qty]]-IPRF_Lines[[#This Row],[Picked Qty]])</f>
        <v/>
      </c>
      <c r="M212" s="18" t="str" cm="1">
        <f t="array" ref="M212">IF(
    OR(IPRF_Lines[[#This Row],[Item Description]]="",IPRF_Lines[[#This Row],[Requested Qty]]="",IPRF_Lines[[#This Row],[Unit]]=""),
    "",UPPER(IPRF_Header[Request number] &amp; "-" &amp; IPRF_Lines[[#This Row],[Line num]]))</f>
        <v/>
      </c>
      <c r="N212" s="19" t="str" cm="1">
        <f t="array" ref="N2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IF(OR(IPRF_Lines[[#This Row],[Requested Qty]]="",IPRF_Lines[[#This Row],[Picked Qty]]=""),"",IPRF_Lines[[#This Row],[Requested Qty]]-IPRF_Lines[[#This Row],[Picked Qty]])</f>
        <v/>
      </c>
      <c r="M213" s="18" t="str" cm="1">
        <f t="array" ref="M213">IF(
    OR(IPRF_Lines[[#This Row],[Item Description]]="",IPRF_Lines[[#This Row],[Requested Qty]]="",IPRF_Lines[[#This Row],[Unit]]=""),
    "",UPPER(IPRF_Header[Request number] &amp; "-" &amp; IPRF_Lines[[#This Row],[Line num]]))</f>
        <v/>
      </c>
      <c r="N213" s="19" t="str" cm="1">
        <f t="array" ref="N2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IF(OR(IPRF_Lines[[#This Row],[Requested Qty]]="",IPRF_Lines[[#This Row],[Picked Qty]]=""),"",IPRF_Lines[[#This Row],[Requested Qty]]-IPRF_Lines[[#This Row],[Picked Qty]])</f>
        <v/>
      </c>
      <c r="M214" s="18" t="str" cm="1">
        <f t="array" ref="M214">IF(
    OR(IPRF_Lines[[#This Row],[Item Description]]="",IPRF_Lines[[#This Row],[Requested Qty]]="",IPRF_Lines[[#This Row],[Unit]]=""),
    "",UPPER(IPRF_Header[Request number] &amp; "-" &amp; IPRF_Lines[[#This Row],[Line num]]))</f>
        <v/>
      </c>
      <c r="N214" s="19" t="str" cm="1">
        <f t="array" ref="N2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IF(OR(IPRF_Lines[[#This Row],[Requested Qty]]="",IPRF_Lines[[#This Row],[Picked Qty]]=""),"",IPRF_Lines[[#This Row],[Requested Qty]]-IPRF_Lines[[#This Row],[Picked Qty]])</f>
        <v/>
      </c>
      <c r="M215" s="18" t="str" cm="1">
        <f t="array" ref="M215">IF(
    OR(IPRF_Lines[[#This Row],[Item Description]]="",IPRF_Lines[[#This Row],[Requested Qty]]="",IPRF_Lines[[#This Row],[Unit]]=""),
    "",UPPER(IPRF_Header[Request number] &amp; "-" &amp; IPRF_Lines[[#This Row],[Line num]]))</f>
        <v/>
      </c>
      <c r="N215" s="19" t="str" cm="1">
        <f t="array" ref="N2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IF(OR(IPRF_Lines[[#This Row],[Requested Qty]]="",IPRF_Lines[[#This Row],[Picked Qty]]=""),"",IPRF_Lines[[#This Row],[Requested Qty]]-IPRF_Lines[[#This Row],[Picked Qty]])</f>
        <v/>
      </c>
      <c r="M216" s="18" t="str" cm="1">
        <f t="array" ref="M216">IF(
    OR(IPRF_Lines[[#This Row],[Item Description]]="",IPRF_Lines[[#This Row],[Requested Qty]]="",IPRF_Lines[[#This Row],[Unit]]=""),
    "",UPPER(IPRF_Header[Request number] &amp; "-" &amp; IPRF_Lines[[#This Row],[Line num]]))</f>
        <v/>
      </c>
      <c r="N216" s="19" t="str" cm="1">
        <f t="array" ref="N2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IF(OR(IPRF_Lines[[#This Row],[Requested Qty]]="",IPRF_Lines[[#This Row],[Picked Qty]]=""),"",IPRF_Lines[[#This Row],[Requested Qty]]-IPRF_Lines[[#This Row],[Picked Qty]])</f>
        <v/>
      </c>
      <c r="M217" s="18" t="str" cm="1">
        <f t="array" ref="M217">IF(
    OR(IPRF_Lines[[#This Row],[Item Description]]="",IPRF_Lines[[#This Row],[Requested Qty]]="",IPRF_Lines[[#This Row],[Unit]]=""),
    "",UPPER(IPRF_Header[Request number] &amp; "-" &amp; IPRF_Lines[[#This Row],[Line num]]))</f>
        <v/>
      </c>
      <c r="N217" s="19" t="str" cm="1">
        <f t="array" ref="N2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IF(OR(IPRF_Lines[[#This Row],[Requested Qty]]="",IPRF_Lines[[#This Row],[Picked Qty]]=""),"",IPRF_Lines[[#This Row],[Requested Qty]]-IPRF_Lines[[#This Row],[Picked Qty]])</f>
        <v/>
      </c>
      <c r="M218" s="18" t="str" cm="1">
        <f t="array" ref="M218">IF(
    OR(IPRF_Lines[[#This Row],[Item Description]]="",IPRF_Lines[[#This Row],[Requested Qty]]="",IPRF_Lines[[#This Row],[Unit]]=""),
    "",UPPER(IPRF_Header[Request number] &amp; "-" &amp; IPRF_Lines[[#This Row],[Line num]]))</f>
        <v/>
      </c>
      <c r="N218" s="19" t="str" cm="1">
        <f t="array" ref="N2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IF(OR(IPRF_Lines[[#This Row],[Requested Qty]]="",IPRF_Lines[[#This Row],[Picked Qty]]=""),"",IPRF_Lines[[#This Row],[Requested Qty]]-IPRF_Lines[[#This Row],[Picked Qty]])</f>
        <v/>
      </c>
      <c r="M219" s="18" t="str" cm="1">
        <f t="array" ref="M219">IF(
    OR(IPRF_Lines[[#This Row],[Item Description]]="",IPRF_Lines[[#This Row],[Requested Qty]]="",IPRF_Lines[[#This Row],[Unit]]=""),
    "",UPPER(IPRF_Header[Request number] &amp; "-" &amp; IPRF_Lines[[#This Row],[Line num]]))</f>
        <v/>
      </c>
      <c r="N219" s="19" t="str" cm="1">
        <f t="array" ref="N2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IF(OR(IPRF_Lines[[#This Row],[Requested Qty]]="",IPRF_Lines[[#This Row],[Picked Qty]]=""),"",IPRF_Lines[[#This Row],[Requested Qty]]-IPRF_Lines[[#This Row],[Picked Qty]])</f>
        <v/>
      </c>
      <c r="M220" s="18" t="str" cm="1">
        <f t="array" ref="M220">IF(
    OR(IPRF_Lines[[#This Row],[Item Description]]="",IPRF_Lines[[#This Row],[Requested Qty]]="",IPRF_Lines[[#This Row],[Unit]]=""),
    "",UPPER(IPRF_Header[Request number] &amp; "-" &amp; IPRF_Lines[[#This Row],[Line num]]))</f>
        <v/>
      </c>
      <c r="N220" s="19" t="str" cm="1">
        <f t="array" ref="N2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IF(OR(IPRF_Lines[[#This Row],[Requested Qty]]="",IPRF_Lines[[#This Row],[Picked Qty]]=""),"",IPRF_Lines[[#This Row],[Requested Qty]]-IPRF_Lines[[#This Row],[Picked Qty]])</f>
        <v/>
      </c>
      <c r="M221" s="18" t="str" cm="1">
        <f t="array" ref="M221">IF(
    OR(IPRF_Lines[[#This Row],[Item Description]]="",IPRF_Lines[[#This Row],[Requested Qty]]="",IPRF_Lines[[#This Row],[Unit]]=""),
    "",UPPER(IPRF_Header[Request number] &amp; "-" &amp; IPRF_Lines[[#This Row],[Line num]]))</f>
        <v/>
      </c>
      <c r="N221" s="19" t="str" cm="1">
        <f t="array" ref="N2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IF(OR(IPRF_Lines[[#This Row],[Requested Qty]]="",IPRF_Lines[[#This Row],[Picked Qty]]=""),"",IPRF_Lines[[#This Row],[Requested Qty]]-IPRF_Lines[[#This Row],[Picked Qty]])</f>
        <v/>
      </c>
      <c r="M222" s="18" t="str" cm="1">
        <f t="array" ref="M222">IF(
    OR(IPRF_Lines[[#This Row],[Item Description]]="",IPRF_Lines[[#This Row],[Requested Qty]]="",IPRF_Lines[[#This Row],[Unit]]=""),
    "",UPPER(IPRF_Header[Request number] &amp; "-" &amp; IPRF_Lines[[#This Row],[Line num]]))</f>
        <v/>
      </c>
      <c r="N222" s="19" t="str" cm="1">
        <f t="array" ref="N2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IF(OR(IPRF_Lines[[#This Row],[Requested Qty]]="",IPRF_Lines[[#This Row],[Picked Qty]]=""),"",IPRF_Lines[[#This Row],[Requested Qty]]-IPRF_Lines[[#This Row],[Picked Qty]])</f>
        <v/>
      </c>
      <c r="M223" s="18" t="str" cm="1">
        <f t="array" ref="M223">IF(
    OR(IPRF_Lines[[#This Row],[Item Description]]="",IPRF_Lines[[#This Row],[Requested Qty]]="",IPRF_Lines[[#This Row],[Unit]]=""),
    "",UPPER(IPRF_Header[Request number] &amp; "-" &amp; IPRF_Lines[[#This Row],[Line num]]))</f>
        <v/>
      </c>
      <c r="N223" s="19" t="str" cm="1">
        <f t="array" ref="N2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IF(OR(IPRF_Lines[[#This Row],[Requested Qty]]="",IPRF_Lines[[#This Row],[Picked Qty]]=""),"",IPRF_Lines[[#This Row],[Requested Qty]]-IPRF_Lines[[#This Row],[Picked Qty]])</f>
        <v/>
      </c>
      <c r="M224" s="18" t="str" cm="1">
        <f t="array" ref="M224">IF(
    OR(IPRF_Lines[[#This Row],[Item Description]]="",IPRF_Lines[[#This Row],[Requested Qty]]="",IPRF_Lines[[#This Row],[Unit]]=""),
    "",UPPER(IPRF_Header[Request number] &amp; "-" &amp; IPRF_Lines[[#This Row],[Line num]]))</f>
        <v/>
      </c>
      <c r="N224" s="19" t="str" cm="1">
        <f t="array" ref="N2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IF(OR(IPRF_Lines[[#This Row],[Requested Qty]]="",IPRF_Lines[[#This Row],[Picked Qty]]=""),"",IPRF_Lines[[#This Row],[Requested Qty]]-IPRF_Lines[[#This Row],[Picked Qty]])</f>
        <v/>
      </c>
      <c r="M225" s="18" t="str" cm="1">
        <f t="array" ref="M225">IF(
    OR(IPRF_Lines[[#This Row],[Item Description]]="",IPRF_Lines[[#This Row],[Requested Qty]]="",IPRF_Lines[[#This Row],[Unit]]=""),
    "",UPPER(IPRF_Header[Request number] &amp; "-" &amp; IPRF_Lines[[#This Row],[Line num]]))</f>
        <v/>
      </c>
      <c r="N225" s="19" t="str" cm="1">
        <f t="array" ref="N2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IF(OR(IPRF_Lines[[#This Row],[Requested Qty]]="",IPRF_Lines[[#This Row],[Picked Qty]]=""),"",IPRF_Lines[[#This Row],[Requested Qty]]-IPRF_Lines[[#This Row],[Picked Qty]])</f>
        <v/>
      </c>
      <c r="M226" s="18" t="str" cm="1">
        <f t="array" ref="M226">IF(
    OR(IPRF_Lines[[#This Row],[Item Description]]="",IPRF_Lines[[#This Row],[Requested Qty]]="",IPRF_Lines[[#This Row],[Unit]]=""),
    "",UPPER(IPRF_Header[Request number] &amp; "-" &amp; IPRF_Lines[[#This Row],[Line num]]))</f>
        <v/>
      </c>
      <c r="N226" s="19" t="str" cm="1">
        <f t="array" ref="N2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IF(OR(IPRF_Lines[[#This Row],[Requested Qty]]="",IPRF_Lines[[#This Row],[Picked Qty]]=""),"",IPRF_Lines[[#This Row],[Requested Qty]]-IPRF_Lines[[#This Row],[Picked Qty]])</f>
        <v/>
      </c>
      <c r="M227" s="18" t="str" cm="1">
        <f t="array" ref="M227">IF(
    OR(IPRF_Lines[[#This Row],[Item Description]]="",IPRF_Lines[[#This Row],[Requested Qty]]="",IPRF_Lines[[#This Row],[Unit]]=""),
    "",UPPER(IPRF_Header[Request number] &amp; "-" &amp; IPRF_Lines[[#This Row],[Line num]]))</f>
        <v/>
      </c>
      <c r="N227" s="19" t="str" cm="1">
        <f t="array" ref="N2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IF(OR(IPRF_Lines[[#This Row],[Requested Qty]]="",IPRF_Lines[[#This Row],[Picked Qty]]=""),"",IPRF_Lines[[#This Row],[Requested Qty]]-IPRF_Lines[[#This Row],[Picked Qty]])</f>
        <v/>
      </c>
      <c r="M228" s="18" t="str" cm="1">
        <f t="array" ref="M228">IF(
    OR(IPRF_Lines[[#This Row],[Item Description]]="",IPRF_Lines[[#This Row],[Requested Qty]]="",IPRF_Lines[[#This Row],[Unit]]=""),
    "",UPPER(IPRF_Header[Request number] &amp; "-" &amp; IPRF_Lines[[#This Row],[Line num]]))</f>
        <v/>
      </c>
      <c r="N228" s="19" t="str" cm="1">
        <f t="array" ref="N2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IF(OR(IPRF_Lines[[#This Row],[Requested Qty]]="",IPRF_Lines[[#This Row],[Picked Qty]]=""),"",IPRF_Lines[[#This Row],[Requested Qty]]-IPRF_Lines[[#This Row],[Picked Qty]])</f>
        <v/>
      </c>
      <c r="M229" s="18" t="str" cm="1">
        <f t="array" ref="M229">IF(
    OR(IPRF_Lines[[#This Row],[Item Description]]="",IPRF_Lines[[#This Row],[Requested Qty]]="",IPRF_Lines[[#This Row],[Unit]]=""),
    "",UPPER(IPRF_Header[Request number] &amp; "-" &amp; IPRF_Lines[[#This Row],[Line num]]))</f>
        <v/>
      </c>
      <c r="N229" s="19" t="str" cm="1">
        <f t="array" ref="N2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IF(OR(IPRF_Lines[[#This Row],[Requested Qty]]="",IPRF_Lines[[#This Row],[Picked Qty]]=""),"",IPRF_Lines[[#This Row],[Requested Qty]]-IPRF_Lines[[#This Row],[Picked Qty]])</f>
        <v/>
      </c>
      <c r="M230" s="18" t="str" cm="1">
        <f t="array" ref="M230">IF(
    OR(IPRF_Lines[[#This Row],[Item Description]]="",IPRF_Lines[[#This Row],[Requested Qty]]="",IPRF_Lines[[#This Row],[Unit]]=""),
    "",UPPER(IPRF_Header[Request number] &amp; "-" &amp; IPRF_Lines[[#This Row],[Line num]]))</f>
        <v/>
      </c>
      <c r="N230" s="19" t="str" cm="1">
        <f t="array" ref="N2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IF(OR(IPRF_Lines[[#This Row],[Requested Qty]]="",IPRF_Lines[[#This Row],[Picked Qty]]=""),"",IPRF_Lines[[#This Row],[Requested Qty]]-IPRF_Lines[[#This Row],[Picked Qty]])</f>
        <v/>
      </c>
      <c r="M231" s="18" t="str" cm="1">
        <f t="array" ref="M231">IF(
    OR(IPRF_Lines[[#This Row],[Item Description]]="",IPRF_Lines[[#This Row],[Requested Qty]]="",IPRF_Lines[[#This Row],[Unit]]=""),
    "",UPPER(IPRF_Header[Request number] &amp; "-" &amp; IPRF_Lines[[#This Row],[Line num]]))</f>
        <v/>
      </c>
      <c r="N231" s="19" t="str" cm="1">
        <f t="array" ref="N2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IF(OR(IPRF_Lines[[#This Row],[Requested Qty]]="",IPRF_Lines[[#This Row],[Picked Qty]]=""),"",IPRF_Lines[[#This Row],[Requested Qty]]-IPRF_Lines[[#This Row],[Picked Qty]])</f>
        <v/>
      </c>
      <c r="M232" s="18" t="str" cm="1">
        <f t="array" ref="M232">IF(
    OR(IPRF_Lines[[#This Row],[Item Description]]="",IPRF_Lines[[#This Row],[Requested Qty]]="",IPRF_Lines[[#This Row],[Unit]]=""),
    "",UPPER(IPRF_Header[Request number] &amp; "-" &amp; IPRF_Lines[[#This Row],[Line num]]))</f>
        <v/>
      </c>
      <c r="N232" s="19" t="str" cm="1">
        <f t="array" ref="N2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IF(OR(IPRF_Lines[[#This Row],[Requested Qty]]="",IPRF_Lines[[#This Row],[Picked Qty]]=""),"",IPRF_Lines[[#This Row],[Requested Qty]]-IPRF_Lines[[#This Row],[Picked Qty]])</f>
        <v/>
      </c>
      <c r="M233" s="18" t="str" cm="1">
        <f t="array" ref="M233">IF(
    OR(IPRF_Lines[[#This Row],[Item Description]]="",IPRF_Lines[[#This Row],[Requested Qty]]="",IPRF_Lines[[#This Row],[Unit]]=""),
    "",UPPER(IPRF_Header[Request number] &amp; "-" &amp; IPRF_Lines[[#This Row],[Line num]]))</f>
        <v/>
      </c>
      <c r="N233" s="19" t="str" cm="1">
        <f t="array" ref="N2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IF(OR(IPRF_Lines[[#This Row],[Requested Qty]]="",IPRF_Lines[[#This Row],[Picked Qty]]=""),"",IPRF_Lines[[#This Row],[Requested Qty]]-IPRF_Lines[[#This Row],[Picked Qty]])</f>
        <v/>
      </c>
      <c r="M234" s="18" t="str" cm="1">
        <f t="array" ref="M234">IF(
    OR(IPRF_Lines[[#This Row],[Item Description]]="",IPRF_Lines[[#This Row],[Requested Qty]]="",IPRF_Lines[[#This Row],[Unit]]=""),
    "",UPPER(IPRF_Header[Request number] &amp; "-" &amp; IPRF_Lines[[#This Row],[Line num]]))</f>
        <v/>
      </c>
      <c r="N234" s="19" t="str" cm="1">
        <f t="array" ref="N2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IF(OR(IPRF_Lines[[#This Row],[Requested Qty]]="",IPRF_Lines[[#This Row],[Picked Qty]]=""),"",IPRF_Lines[[#This Row],[Requested Qty]]-IPRF_Lines[[#This Row],[Picked Qty]])</f>
        <v/>
      </c>
      <c r="M235" s="18" t="str" cm="1">
        <f t="array" ref="M235">IF(
    OR(IPRF_Lines[[#This Row],[Item Description]]="",IPRF_Lines[[#This Row],[Requested Qty]]="",IPRF_Lines[[#This Row],[Unit]]=""),
    "",UPPER(IPRF_Header[Request number] &amp; "-" &amp; IPRF_Lines[[#This Row],[Line num]]))</f>
        <v/>
      </c>
      <c r="N235" s="19" t="str" cm="1">
        <f t="array" ref="N2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IF(OR(IPRF_Lines[[#This Row],[Requested Qty]]="",IPRF_Lines[[#This Row],[Picked Qty]]=""),"",IPRF_Lines[[#This Row],[Requested Qty]]-IPRF_Lines[[#This Row],[Picked Qty]])</f>
        <v/>
      </c>
      <c r="M236" s="18" t="str" cm="1">
        <f t="array" ref="M236">IF(
    OR(IPRF_Lines[[#This Row],[Item Description]]="",IPRF_Lines[[#This Row],[Requested Qty]]="",IPRF_Lines[[#This Row],[Unit]]=""),
    "",UPPER(IPRF_Header[Request number] &amp; "-" &amp; IPRF_Lines[[#This Row],[Line num]]))</f>
        <v/>
      </c>
      <c r="N236" s="19" t="str" cm="1">
        <f t="array" ref="N2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IF(OR(IPRF_Lines[[#This Row],[Requested Qty]]="",IPRF_Lines[[#This Row],[Picked Qty]]=""),"",IPRF_Lines[[#This Row],[Requested Qty]]-IPRF_Lines[[#This Row],[Picked Qty]])</f>
        <v/>
      </c>
      <c r="M237" s="18" t="str" cm="1">
        <f t="array" ref="M237">IF(
    OR(IPRF_Lines[[#This Row],[Item Description]]="",IPRF_Lines[[#This Row],[Requested Qty]]="",IPRF_Lines[[#This Row],[Unit]]=""),
    "",UPPER(IPRF_Header[Request number] &amp; "-" &amp; IPRF_Lines[[#This Row],[Line num]]))</f>
        <v/>
      </c>
      <c r="N237" s="19" t="str" cm="1">
        <f t="array" ref="N2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IF(OR(IPRF_Lines[[#This Row],[Requested Qty]]="",IPRF_Lines[[#This Row],[Picked Qty]]=""),"",IPRF_Lines[[#This Row],[Requested Qty]]-IPRF_Lines[[#This Row],[Picked Qty]])</f>
        <v/>
      </c>
      <c r="M238" s="18" t="str" cm="1">
        <f t="array" ref="M238">IF(
    OR(IPRF_Lines[[#This Row],[Item Description]]="",IPRF_Lines[[#This Row],[Requested Qty]]="",IPRF_Lines[[#This Row],[Unit]]=""),
    "",UPPER(IPRF_Header[Request number] &amp; "-" &amp; IPRF_Lines[[#This Row],[Line num]]))</f>
        <v/>
      </c>
      <c r="N238" s="19" t="str" cm="1">
        <f t="array" ref="N2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IF(OR(IPRF_Lines[[#This Row],[Requested Qty]]="",IPRF_Lines[[#This Row],[Picked Qty]]=""),"",IPRF_Lines[[#This Row],[Requested Qty]]-IPRF_Lines[[#This Row],[Picked Qty]])</f>
        <v/>
      </c>
      <c r="M239" s="18" t="str" cm="1">
        <f t="array" ref="M239">IF(
    OR(IPRF_Lines[[#This Row],[Item Description]]="",IPRF_Lines[[#This Row],[Requested Qty]]="",IPRF_Lines[[#This Row],[Unit]]=""),
    "",UPPER(IPRF_Header[Request number] &amp; "-" &amp; IPRF_Lines[[#This Row],[Line num]]))</f>
        <v/>
      </c>
      <c r="N239" s="19" t="str" cm="1">
        <f t="array" ref="N2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IF(OR(IPRF_Lines[[#This Row],[Requested Qty]]="",IPRF_Lines[[#This Row],[Picked Qty]]=""),"",IPRF_Lines[[#This Row],[Requested Qty]]-IPRF_Lines[[#This Row],[Picked Qty]])</f>
        <v/>
      </c>
      <c r="M240" s="18" t="str" cm="1">
        <f t="array" ref="M240">IF(
    OR(IPRF_Lines[[#This Row],[Item Description]]="",IPRF_Lines[[#This Row],[Requested Qty]]="",IPRF_Lines[[#This Row],[Unit]]=""),
    "",UPPER(IPRF_Header[Request number] &amp; "-" &amp; IPRF_Lines[[#This Row],[Line num]]))</f>
        <v/>
      </c>
      <c r="N240" s="19" t="str" cm="1">
        <f t="array" ref="N2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IF(OR(IPRF_Lines[[#This Row],[Requested Qty]]="",IPRF_Lines[[#This Row],[Picked Qty]]=""),"",IPRF_Lines[[#This Row],[Requested Qty]]-IPRF_Lines[[#This Row],[Picked Qty]])</f>
        <v/>
      </c>
      <c r="M241" s="18" t="str" cm="1">
        <f t="array" ref="M241">IF(
    OR(IPRF_Lines[[#This Row],[Item Description]]="",IPRF_Lines[[#This Row],[Requested Qty]]="",IPRF_Lines[[#This Row],[Unit]]=""),
    "",UPPER(IPRF_Header[Request number] &amp; "-" &amp; IPRF_Lines[[#This Row],[Line num]]))</f>
        <v/>
      </c>
      <c r="N241" s="19" t="str" cm="1">
        <f t="array" ref="N2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IF(OR(IPRF_Lines[[#This Row],[Requested Qty]]="",IPRF_Lines[[#This Row],[Picked Qty]]=""),"",IPRF_Lines[[#This Row],[Requested Qty]]-IPRF_Lines[[#This Row],[Picked Qty]])</f>
        <v/>
      </c>
      <c r="M242" s="18" t="str" cm="1">
        <f t="array" ref="M242">IF(
    OR(IPRF_Lines[[#This Row],[Item Description]]="",IPRF_Lines[[#This Row],[Requested Qty]]="",IPRF_Lines[[#This Row],[Unit]]=""),
    "",UPPER(IPRF_Header[Request number] &amp; "-" &amp; IPRF_Lines[[#This Row],[Line num]]))</f>
        <v/>
      </c>
      <c r="N242" s="19" t="str" cm="1">
        <f t="array" ref="N2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IF(OR(IPRF_Lines[[#This Row],[Requested Qty]]="",IPRF_Lines[[#This Row],[Picked Qty]]=""),"",IPRF_Lines[[#This Row],[Requested Qty]]-IPRF_Lines[[#This Row],[Picked Qty]])</f>
        <v/>
      </c>
      <c r="M243" s="18" t="str" cm="1">
        <f t="array" ref="M243">IF(
    OR(IPRF_Lines[[#This Row],[Item Description]]="",IPRF_Lines[[#This Row],[Requested Qty]]="",IPRF_Lines[[#This Row],[Unit]]=""),
    "",UPPER(IPRF_Header[Request number] &amp; "-" &amp; IPRF_Lines[[#This Row],[Line num]]))</f>
        <v/>
      </c>
      <c r="N243" s="19" t="str" cm="1">
        <f t="array" ref="N2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IF(OR(IPRF_Lines[[#This Row],[Requested Qty]]="",IPRF_Lines[[#This Row],[Picked Qty]]=""),"",IPRF_Lines[[#This Row],[Requested Qty]]-IPRF_Lines[[#This Row],[Picked Qty]])</f>
        <v/>
      </c>
      <c r="M244" s="18" t="str" cm="1">
        <f t="array" ref="M244">IF(
    OR(IPRF_Lines[[#This Row],[Item Description]]="",IPRF_Lines[[#This Row],[Requested Qty]]="",IPRF_Lines[[#This Row],[Unit]]=""),
    "",UPPER(IPRF_Header[Request number] &amp; "-" &amp; IPRF_Lines[[#This Row],[Line num]]))</f>
        <v/>
      </c>
      <c r="N244" s="19" t="str" cm="1">
        <f t="array" ref="N2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IF(OR(IPRF_Lines[[#This Row],[Requested Qty]]="",IPRF_Lines[[#This Row],[Picked Qty]]=""),"",IPRF_Lines[[#This Row],[Requested Qty]]-IPRF_Lines[[#This Row],[Picked Qty]])</f>
        <v/>
      </c>
      <c r="M245" s="18" t="str" cm="1">
        <f t="array" ref="M245">IF(
    OR(IPRF_Lines[[#This Row],[Item Description]]="",IPRF_Lines[[#This Row],[Requested Qty]]="",IPRF_Lines[[#This Row],[Unit]]=""),
    "",UPPER(IPRF_Header[Request number] &amp; "-" &amp; IPRF_Lines[[#This Row],[Line num]]))</f>
        <v/>
      </c>
      <c r="N245" s="19" t="str" cm="1">
        <f t="array" ref="N2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IF(OR(IPRF_Lines[[#This Row],[Requested Qty]]="",IPRF_Lines[[#This Row],[Picked Qty]]=""),"",IPRF_Lines[[#This Row],[Requested Qty]]-IPRF_Lines[[#This Row],[Picked Qty]])</f>
        <v/>
      </c>
      <c r="M246" s="18" t="str" cm="1">
        <f t="array" ref="M246">IF(
    OR(IPRF_Lines[[#This Row],[Item Description]]="",IPRF_Lines[[#This Row],[Requested Qty]]="",IPRF_Lines[[#This Row],[Unit]]=""),
    "",UPPER(IPRF_Header[Request number] &amp; "-" &amp; IPRF_Lines[[#This Row],[Line num]]))</f>
        <v/>
      </c>
      <c r="N246" s="19" t="str" cm="1">
        <f t="array" ref="N2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IF(OR(IPRF_Lines[[#This Row],[Requested Qty]]="",IPRF_Lines[[#This Row],[Picked Qty]]=""),"",IPRF_Lines[[#This Row],[Requested Qty]]-IPRF_Lines[[#This Row],[Picked Qty]])</f>
        <v/>
      </c>
      <c r="M247" s="18" t="str" cm="1">
        <f t="array" ref="M247">IF(
    OR(IPRF_Lines[[#This Row],[Item Description]]="",IPRF_Lines[[#This Row],[Requested Qty]]="",IPRF_Lines[[#This Row],[Unit]]=""),
    "",UPPER(IPRF_Header[Request number] &amp; "-" &amp; IPRF_Lines[[#This Row],[Line num]]))</f>
        <v/>
      </c>
      <c r="N247" s="19" t="str" cm="1">
        <f t="array" ref="N2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IF(OR(IPRF_Lines[[#This Row],[Requested Qty]]="",IPRF_Lines[[#This Row],[Picked Qty]]=""),"",IPRF_Lines[[#This Row],[Requested Qty]]-IPRF_Lines[[#This Row],[Picked Qty]])</f>
        <v/>
      </c>
      <c r="M248" s="18" t="str" cm="1">
        <f t="array" ref="M248">IF(
    OR(IPRF_Lines[[#This Row],[Item Description]]="",IPRF_Lines[[#This Row],[Requested Qty]]="",IPRF_Lines[[#This Row],[Unit]]=""),
    "",UPPER(IPRF_Header[Request number] &amp; "-" &amp; IPRF_Lines[[#This Row],[Line num]]))</f>
        <v/>
      </c>
      <c r="N248" s="19" t="str" cm="1">
        <f t="array" ref="N2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IF(OR(IPRF_Lines[[#This Row],[Requested Qty]]="",IPRF_Lines[[#This Row],[Picked Qty]]=""),"",IPRF_Lines[[#This Row],[Requested Qty]]-IPRF_Lines[[#This Row],[Picked Qty]])</f>
        <v/>
      </c>
      <c r="M249" s="18" t="str" cm="1">
        <f t="array" ref="M249">IF(
    OR(IPRF_Lines[[#This Row],[Item Description]]="",IPRF_Lines[[#This Row],[Requested Qty]]="",IPRF_Lines[[#This Row],[Unit]]=""),
    "",UPPER(IPRF_Header[Request number] &amp; "-" &amp; IPRF_Lines[[#This Row],[Line num]]))</f>
        <v/>
      </c>
      <c r="N249" s="19" t="str" cm="1">
        <f t="array" ref="N2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IF(OR(IPRF_Lines[[#This Row],[Requested Qty]]="",IPRF_Lines[[#This Row],[Picked Qty]]=""),"",IPRF_Lines[[#This Row],[Requested Qty]]-IPRF_Lines[[#This Row],[Picked Qty]])</f>
        <v/>
      </c>
      <c r="M250" s="18" t="str" cm="1">
        <f t="array" ref="M250">IF(
    OR(IPRF_Lines[[#This Row],[Item Description]]="",IPRF_Lines[[#This Row],[Requested Qty]]="",IPRF_Lines[[#This Row],[Unit]]=""),
    "",UPPER(IPRF_Header[Request number] &amp; "-" &amp; IPRF_Lines[[#This Row],[Line num]]))</f>
        <v/>
      </c>
      <c r="N250" s="19" t="str" cm="1">
        <f t="array" ref="N2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IF(OR(IPRF_Lines[[#This Row],[Requested Qty]]="",IPRF_Lines[[#This Row],[Picked Qty]]=""),"",IPRF_Lines[[#This Row],[Requested Qty]]-IPRF_Lines[[#This Row],[Picked Qty]])</f>
        <v/>
      </c>
      <c r="M251" s="18" t="str" cm="1">
        <f t="array" ref="M251">IF(
    OR(IPRF_Lines[[#This Row],[Item Description]]="",IPRF_Lines[[#This Row],[Requested Qty]]="",IPRF_Lines[[#This Row],[Unit]]=""),
    "",UPPER(IPRF_Header[Request number] &amp; "-" &amp; IPRF_Lines[[#This Row],[Line num]]))</f>
        <v/>
      </c>
      <c r="N251" s="19" t="str" cm="1">
        <f t="array" ref="N2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IF(OR(IPRF_Lines[[#This Row],[Requested Qty]]="",IPRF_Lines[[#This Row],[Picked Qty]]=""),"",IPRF_Lines[[#This Row],[Requested Qty]]-IPRF_Lines[[#This Row],[Picked Qty]])</f>
        <v/>
      </c>
      <c r="M252" s="18" t="str" cm="1">
        <f t="array" ref="M252">IF(
    OR(IPRF_Lines[[#This Row],[Item Description]]="",IPRF_Lines[[#This Row],[Requested Qty]]="",IPRF_Lines[[#This Row],[Unit]]=""),
    "",UPPER(IPRF_Header[Request number] &amp; "-" &amp; IPRF_Lines[[#This Row],[Line num]]))</f>
        <v/>
      </c>
      <c r="N252" s="19" t="str" cm="1">
        <f t="array" ref="N2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IF(OR(IPRF_Lines[[#This Row],[Requested Qty]]="",IPRF_Lines[[#This Row],[Picked Qty]]=""),"",IPRF_Lines[[#This Row],[Requested Qty]]-IPRF_Lines[[#This Row],[Picked Qty]])</f>
        <v/>
      </c>
      <c r="M253" s="18" t="str" cm="1">
        <f t="array" ref="M253">IF(
    OR(IPRF_Lines[[#This Row],[Item Description]]="",IPRF_Lines[[#This Row],[Requested Qty]]="",IPRF_Lines[[#This Row],[Unit]]=""),
    "",UPPER(IPRF_Header[Request number] &amp; "-" &amp; IPRF_Lines[[#This Row],[Line num]]))</f>
        <v/>
      </c>
      <c r="N253" s="19" t="str" cm="1">
        <f t="array" ref="N2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IF(OR(IPRF_Lines[[#This Row],[Requested Qty]]="",IPRF_Lines[[#This Row],[Picked Qty]]=""),"",IPRF_Lines[[#This Row],[Requested Qty]]-IPRF_Lines[[#This Row],[Picked Qty]])</f>
        <v/>
      </c>
      <c r="M254" s="18" t="str" cm="1">
        <f t="array" ref="M254">IF(
    OR(IPRF_Lines[[#This Row],[Item Description]]="",IPRF_Lines[[#This Row],[Requested Qty]]="",IPRF_Lines[[#This Row],[Unit]]=""),
    "",UPPER(IPRF_Header[Request number] &amp; "-" &amp; IPRF_Lines[[#This Row],[Line num]]))</f>
        <v/>
      </c>
      <c r="N254" s="19" t="str" cm="1">
        <f t="array" ref="N2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IF(OR(IPRF_Lines[[#This Row],[Requested Qty]]="",IPRF_Lines[[#This Row],[Picked Qty]]=""),"",IPRF_Lines[[#This Row],[Requested Qty]]-IPRF_Lines[[#This Row],[Picked Qty]])</f>
        <v/>
      </c>
      <c r="M255" s="18" t="str" cm="1">
        <f t="array" ref="M255">IF(
    OR(IPRF_Lines[[#This Row],[Item Description]]="",IPRF_Lines[[#This Row],[Requested Qty]]="",IPRF_Lines[[#This Row],[Unit]]=""),
    "",UPPER(IPRF_Header[Request number] &amp; "-" &amp; IPRF_Lines[[#This Row],[Line num]]))</f>
        <v/>
      </c>
      <c r="N255" s="19" t="str" cm="1">
        <f t="array" ref="N2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IF(OR(IPRF_Lines[[#This Row],[Requested Qty]]="",IPRF_Lines[[#This Row],[Picked Qty]]=""),"",IPRF_Lines[[#This Row],[Requested Qty]]-IPRF_Lines[[#This Row],[Picked Qty]])</f>
        <v/>
      </c>
      <c r="M256" s="18" t="str" cm="1">
        <f t="array" ref="M256">IF(
    OR(IPRF_Lines[[#This Row],[Item Description]]="",IPRF_Lines[[#This Row],[Requested Qty]]="",IPRF_Lines[[#This Row],[Unit]]=""),
    "",UPPER(IPRF_Header[Request number] &amp; "-" &amp; IPRF_Lines[[#This Row],[Line num]]))</f>
        <v/>
      </c>
      <c r="N256" s="19" t="str" cm="1">
        <f t="array" ref="N2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IF(OR(IPRF_Lines[[#This Row],[Requested Qty]]="",IPRF_Lines[[#This Row],[Picked Qty]]=""),"",IPRF_Lines[[#This Row],[Requested Qty]]-IPRF_Lines[[#This Row],[Picked Qty]])</f>
        <v/>
      </c>
      <c r="M257" s="18" t="str" cm="1">
        <f t="array" ref="M257">IF(
    OR(IPRF_Lines[[#This Row],[Item Description]]="",IPRF_Lines[[#This Row],[Requested Qty]]="",IPRF_Lines[[#This Row],[Unit]]=""),
    "",UPPER(IPRF_Header[Request number] &amp; "-" &amp; IPRF_Lines[[#This Row],[Line num]]))</f>
        <v/>
      </c>
      <c r="N257" s="19" t="str" cm="1">
        <f t="array" ref="N2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IF(OR(IPRF_Lines[[#This Row],[Requested Qty]]="",IPRF_Lines[[#This Row],[Picked Qty]]=""),"",IPRF_Lines[[#This Row],[Requested Qty]]-IPRF_Lines[[#This Row],[Picked Qty]])</f>
        <v/>
      </c>
      <c r="M258" s="18" t="str" cm="1">
        <f t="array" ref="M258">IF(
    OR(IPRF_Lines[[#This Row],[Item Description]]="",IPRF_Lines[[#This Row],[Requested Qty]]="",IPRF_Lines[[#This Row],[Unit]]=""),
    "",UPPER(IPRF_Header[Request number] &amp; "-" &amp; IPRF_Lines[[#This Row],[Line num]]))</f>
        <v/>
      </c>
      <c r="N258" s="19" t="str" cm="1">
        <f t="array" ref="N2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IF(OR(IPRF_Lines[[#This Row],[Requested Qty]]="",IPRF_Lines[[#This Row],[Picked Qty]]=""),"",IPRF_Lines[[#This Row],[Requested Qty]]-IPRF_Lines[[#This Row],[Picked Qty]])</f>
        <v/>
      </c>
      <c r="M259" s="18" t="str" cm="1">
        <f t="array" ref="M259">IF(
    OR(IPRF_Lines[[#This Row],[Item Description]]="",IPRF_Lines[[#This Row],[Requested Qty]]="",IPRF_Lines[[#This Row],[Unit]]=""),
    "",UPPER(IPRF_Header[Request number] &amp; "-" &amp; IPRF_Lines[[#This Row],[Line num]]))</f>
        <v/>
      </c>
      <c r="N259" s="19" t="str" cm="1">
        <f t="array" ref="N2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IF(OR(IPRF_Lines[[#This Row],[Requested Qty]]="",IPRF_Lines[[#This Row],[Picked Qty]]=""),"",IPRF_Lines[[#This Row],[Requested Qty]]-IPRF_Lines[[#This Row],[Picked Qty]])</f>
        <v/>
      </c>
      <c r="M260" s="18" t="str" cm="1">
        <f t="array" ref="M260">IF(
    OR(IPRF_Lines[[#This Row],[Item Description]]="",IPRF_Lines[[#This Row],[Requested Qty]]="",IPRF_Lines[[#This Row],[Unit]]=""),
    "",UPPER(IPRF_Header[Request number] &amp; "-" &amp; IPRF_Lines[[#This Row],[Line num]]))</f>
        <v/>
      </c>
      <c r="N260" s="19" t="str" cm="1">
        <f t="array" ref="N2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IF(OR(IPRF_Lines[[#This Row],[Requested Qty]]="",IPRF_Lines[[#This Row],[Picked Qty]]=""),"",IPRF_Lines[[#This Row],[Requested Qty]]-IPRF_Lines[[#This Row],[Picked Qty]])</f>
        <v/>
      </c>
      <c r="M261" s="18" t="str" cm="1">
        <f t="array" ref="M261">IF(
    OR(IPRF_Lines[[#This Row],[Item Description]]="",IPRF_Lines[[#This Row],[Requested Qty]]="",IPRF_Lines[[#This Row],[Unit]]=""),
    "",UPPER(IPRF_Header[Request number] &amp; "-" &amp; IPRF_Lines[[#This Row],[Line num]]))</f>
        <v/>
      </c>
      <c r="N261" s="19" t="str" cm="1">
        <f t="array" ref="N2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IF(OR(IPRF_Lines[[#This Row],[Requested Qty]]="",IPRF_Lines[[#This Row],[Picked Qty]]=""),"",IPRF_Lines[[#This Row],[Requested Qty]]-IPRF_Lines[[#This Row],[Picked Qty]])</f>
        <v/>
      </c>
      <c r="M262" s="18" t="str" cm="1">
        <f t="array" ref="M262">IF(
    OR(IPRF_Lines[[#This Row],[Item Description]]="",IPRF_Lines[[#This Row],[Requested Qty]]="",IPRF_Lines[[#This Row],[Unit]]=""),
    "",UPPER(IPRF_Header[Request number] &amp; "-" &amp; IPRF_Lines[[#This Row],[Line num]]))</f>
        <v/>
      </c>
      <c r="N262" s="19" t="str" cm="1">
        <f t="array" ref="N2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IF(OR(IPRF_Lines[[#This Row],[Requested Qty]]="",IPRF_Lines[[#This Row],[Picked Qty]]=""),"",IPRF_Lines[[#This Row],[Requested Qty]]-IPRF_Lines[[#This Row],[Picked Qty]])</f>
        <v/>
      </c>
      <c r="M263" s="18" t="str" cm="1">
        <f t="array" ref="M263">IF(
    OR(IPRF_Lines[[#This Row],[Item Description]]="",IPRF_Lines[[#This Row],[Requested Qty]]="",IPRF_Lines[[#This Row],[Unit]]=""),
    "",UPPER(IPRF_Header[Request number] &amp; "-" &amp; IPRF_Lines[[#This Row],[Line num]]))</f>
        <v/>
      </c>
      <c r="N263" s="19" t="str" cm="1">
        <f t="array" ref="N2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IF(OR(IPRF_Lines[[#This Row],[Requested Qty]]="",IPRF_Lines[[#This Row],[Picked Qty]]=""),"",IPRF_Lines[[#This Row],[Requested Qty]]-IPRF_Lines[[#This Row],[Picked Qty]])</f>
        <v/>
      </c>
      <c r="M264" s="18" t="str" cm="1">
        <f t="array" ref="M264">IF(
    OR(IPRF_Lines[[#This Row],[Item Description]]="",IPRF_Lines[[#This Row],[Requested Qty]]="",IPRF_Lines[[#This Row],[Unit]]=""),
    "",UPPER(IPRF_Header[Request number] &amp; "-" &amp; IPRF_Lines[[#This Row],[Line num]]))</f>
        <v/>
      </c>
      <c r="N264" s="19" t="str" cm="1">
        <f t="array" ref="N2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IF(OR(IPRF_Lines[[#This Row],[Requested Qty]]="",IPRF_Lines[[#This Row],[Picked Qty]]=""),"",IPRF_Lines[[#This Row],[Requested Qty]]-IPRF_Lines[[#This Row],[Picked Qty]])</f>
        <v/>
      </c>
      <c r="M265" s="18" t="str" cm="1">
        <f t="array" ref="M265">IF(
    OR(IPRF_Lines[[#This Row],[Item Description]]="",IPRF_Lines[[#This Row],[Requested Qty]]="",IPRF_Lines[[#This Row],[Unit]]=""),
    "",UPPER(IPRF_Header[Request number] &amp; "-" &amp; IPRF_Lines[[#This Row],[Line num]]))</f>
        <v/>
      </c>
      <c r="N265" s="19" t="str" cm="1">
        <f t="array" ref="N2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IF(OR(IPRF_Lines[[#This Row],[Requested Qty]]="",IPRF_Lines[[#This Row],[Picked Qty]]=""),"",IPRF_Lines[[#This Row],[Requested Qty]]-IPRF_Lines[[#This Row],[Picked Qty]])</f>
        <v/>
      </c>
      <c r="M266" s="18" t="str" cm="1">
        <f t="array" ref="M266">IF(
    OR(IPRF_Lines[[#This Row],[Item Description]]="",IPRF_Lines[[#This Row],[Requested Qty]]="",IPRF_Lines[[#This Row],[Unit]]=""),
    "",UPPER(IPRF_Header[Request number] &amp; "-" &amp; IPRF_Lines[[#This Row],[Line num]]))</f>
        <v/>
      </c>
      <c r="N266" s="19" t="str" cm="1">
        <f t="array" ref="N2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IF(OR(IPRF_Lines[[#This Row],[Requested Qty]]="",IPRF_Lines[[#This Row],[Picked Qty]]=""),"",IPRF_Lines[[#This Row],[Requested Qty]]-IPRF_Lines[[#This Row],[Picked Qty]])</f>
        <v/>
      </c>
      <c r="M267" s="18" t="str" cm="1">
        <f t="array" ref="M267">IF(
    OR(IPRF_Lines[[#This Row],[Item Description]]="",IPRF_Lines[[#This Row],[Requested Qty]]="",IPRF_Lines[[#This Row],[Unit]]=""),
    "",UPPER(IPRF_Header[Request number] &amp; "-" &amp; IPRF_Lines[[#This Row],[Line num]]))</f>
        <v/>
      </c>
      <c r="N267" s="19" t="str" cm="1">
        <f t="array" ref="N2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IF(OR(IPRF_Lines[[#This Row],[Requested Qty]]="",IPRF_Lines[[#This Row],[Picked Qty]]=""),"",IPRF_Lines[[#This Row],[Requested Qty]]-IPRF_Lines[[#This Row],[Picked Qty]])</f>
        <v/>
      </c>
      <c r="M268" s="18" t="str" cm="1">
        <f t="array" ref="M268">IF(
    OR(IPRF_Lines[[#This Row],[Item Description]]="",IPRF_Lines[[#This Row],[Requested Qty]]="",IPRF_Lines[[#This Row],[Unit]]=""),
    "",UPPER(IPRF_Header[Request number] &amp; "-" &amp; IPRF_Lines[[#This Row],[Line num]]))</f>
        <v/>
      </c>
      <c r="N268" s="19" t="str" cm="1">
        <f t="array" ref="N2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IF(OR(IPRF_Lines[[#This Row],[Requested Qty]]="",IPRF_Lines[[#This Row],[Picked Qty]]=""),"",IPRF_Lines[[#This Row],[Requested Qty]]-IPRF_Lines[[#This Row],[Picked Qty]])</f>
        <v/>
      </c>
      <c r="M269" s="18" t="str" cm="1">
        <f t="array" ref="M269">IF(
    OR(IPRF_Lines[[#This Row],[Item Description]]="",IPRF_Lines[[#This Row],[Requested Qty]]="",IPRF_Lines[[#This Row],[Unit]]=""),
    "",UPPER(IPRF_Header[Request number] &amp; "-" &amp; IPRF_Lines[[#This Row],[Line num]]))</f>
        <v/>
      </c>
      <c r="N269" s="19" t="str" cm="1">
        <f t="array" ref="N2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IF(OR(IPRF_Lines[[#This Row],[Requested Qty]]="",IPRF_Lines[[#This Row],[Picked Qty]]=""),"",IPRF_Lines[[#This Row],[Requested Qty]]-IPRF_Lines[[#This Row],[Picked Qty]])</f>
        <v/>
      </c>
      <c r="M270" s="18" t="str" cm="1">
        <f t="array" ref="M270">IF(
    OR(IPRF_Lines[[#This Row],[Item Description]]="",IPRF_Lines[[#This Row],[Requested Qty]]="",IPRF_Lines[[#This Row],[Unit]]=""),
    "",UPPER(IPRF_Header[Request number] &amp; "-" &amp; IPRF_Lines[[#This Row],[Line num]]))</f>
        <v/>
      </c>
      <c r="N270" s="19" t="str" cm="1">
        <f t="array" ref="N2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IF(OR(IPRF_Lines[[#This Row],[Requested Qty]]="",IPRF_Lines[[#This Row],[Picked Qty]]=""),"",IPRF_Lines[[#This Row],[Requested Qty]]-IPRF_Lines[[#This Row],[Picked Qty]])</f>
        <v/>
      </c>
      <c r="M271" s="18" t="str" cm="1">
        <f t="array" ref="M271">IF(
    OR(IPRF_Lines[[#This Row],[Item Description]]="",IPRF_Lines[[#This Row],[Requested Qty]]="",IPRF_Lines[[#This Row],[Unit]]=""),
    "",UPPER(IPRF_Header[Request number] &amp; "-" &amp; IPRF_Lines[[#This Row],[Line num]]))</f>
        <v/>
      </c>
      <c r="N271" s="19" t="str" cm="1">
        <f t="array" ref="N2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IF(OR(IPRF_Lines[[#This Row],[Requested Qty]]="",IPRF_Lines[[#This Row],[Picked Qty]]=""),"",IPRF_Lines[[#This Row],[Requested Qty]]-IPRF_Lines[[#This Row],[Picked Qty]])</f>
        <v/>
      </c>
      <c r="M272" s="18" t="str" cm="1">
        <f t="array" ref="M272">IF(
    OR(IPRF_Lines[[#This Row],[Item Description]]="",IPRF_Lines[[#This Row],[Requested Qty]]="",IPRF_Lines[[#This Row],[Unit]]=""),
    "",UPPER(IPRF_Header[Request number] &amp; "-" &amp; IPRF_Lines[[#This Row],[Line num]]))</f>
        <v/>
      </c>
      <c r="N272" s="19" t="str" cm="1">
        <f t="array" ref="N2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IF(OR(IPRF_Lines[[#This Row],[Requested Qty]]="",IPRF_Lines[[#This Row],[Picked Qty]]=""),"",IPRF_Lines[[#This Row],[Requested Qty]]-IPRF_Lines[[#This Row],[Picked Qty]])</f>
        <v/>
      </c>
      <c r="M273" s="18" t="str" cm="1">
        <f t="array" ref="M273">IF(
    OR(IPRF_Lines[[#This Row],[Item Description]]="",IPRF_Lines[[#This Row],[Requested Qty]]="",IPRF_Lines[[#This Row],[Unit]]=""),
    "",UPPER(IPRF_Header[Request number] &amp; "-" &amp; IPRF_Lines[[#This Row],[Line num]]))</f>
        <v/>
      </c>
      <c r="N273" s="19" t="str" cm="1">
        <f t="array" ref="N2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IF(OR(IPRF_Lines[[#This Row],[Requested Qty]]="",IPRF_Lines[[#This Row],[Picked Qty]]=""),"",IPRF_Lines[[#This Row],[Requested Qty]]-IPRF_Lines[[#This Row],[Picked Qty]])</f>
        <v/>
      </c>
      <c r="M274" s="18" t="str" cm="1">
        <f t="array" ref="M274">IF(
    OR(IPRF_Lines[[#This Row],[Item Description]]="",IPRF_Lines[[#This Row],[Requested Qty]]="",IPRF_Lines[[#This Row],[Unit]]=""),
    "",UPPER(IPRF_Header[Request number] &amp; "-" &amp; IPRF_Lines[[#This Row],[Line num]]))</f>
        <v/>
      </c>
      <c r="N274" s="19" t="str" cm="1">
        <f t="array" ref="N2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IF(OR(IPRF_Lines[[#This Row],[Requested Qty]]="",IPRF_Lines[[#This Row],[Picked Qty]]=""),"",IPRF_Lines[[#This Row],[Requested Qty]]-IPRF_Lines[[#This Row],[Picked Qty]])</f>
        <v/>
      </c>
      <c r="M275" s="18" t="str" cm="1">
        <f t="array" ref="M275">IF(
    OR(IPRF_Lines[[#This Row],[Item Description]]="",IPRF_Lines[[#This Row],[Requested Qty]]="",IPRF_Lines[[#This Row],[Unit]]=""),
    "",UPPER(IPRF_Header[Request number] &amp; "-" &amp; IPRF_Lines[[#This Row],[Line num]]))</f>
        <v/>
      </c>
      <c r="N275" s="19" t="str" cm="1">
        <f t="array" ref="N2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IF(OR(IPRF_Lines[[#This Row],[Requested Qty]]="",IPRF_Lines[[#This Row],[Picked Qty]]=""),"",IPRF_Lines[[#This Row],[Requested Qty]]-IPRF_Lines[[#This Row],[Picked Qty]])</f>
        <v/>
      </c>
      <c r="M276" s="18" t="str" cm="1">
        <f t="array" ref="M276">IF(
    OR(IPRF_Lines[[#This Row],[Item Description]]="",IPRF_Lines[[#This Row],[Requested Qty]]="",IPRF_Lines[[#This Row],[Unit]]=""),
    "",UPPER(IPRF_Header[Request number] &amp; "-" &amp; IPRF_Lines[[#This Row],[Line num]]))</f>
        <v/>
      </c>
      <c r="N276" s="19" t="str" cm="1">
        <f t="array" ref="N2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IF(OR(IPRF_Lines[[#This Row],[Requested Qty]]="",IPRF_Lines[[#This Row],[Picked Qty]]=""),"",IPRF_Lines[[#This Row],[Requested Qty]]-IPRF_Lines[[#This Row],[Picked Qty]])</f>
        <v/>
      </c>
      <c r="M277" s="18" t="str" cm="1">
        <f t="array" ref="M277">IF(
    OR(IPRF_Lines[[#This Row],[Item Description]]="",IPRF_Lines[[#This Row],[Requested Qty]]="",IPRF_Lines[[#This Row],[Unit]]=""),
    "",UPPER(IPRF_Header[Request number] &amp; "-" &amp; IPRF_Lines[[#This Row],[Line num]]))</f>
        <v/>
      </c>
      <c r="N277" s="19" t="str" cm="1">
        <f t="array" ref="N2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IF(OR(IPRF_Lines[[#This Row],[Requested Qty]]="",IPRF_Lines[[#This Row],[Picked Qty]]=""),"",IPRF_Lines[[#This Row],[Requested Qty]]-IPRF_Lines[[#This Row],[Picked Qty]])</f>
        <v/>
      </c>
      <c r="M278" s="18" t="str" cm="1">
        <f t="array" ref="M278">IF(
    OR(IPRF_Lines[[#This Row],[Item Description]]="",IPRF_Lines[[#This Row],[Requested Qty]]="",IPRF_Lines[[#This Row],[Unit]]=""),
    "",UPPER(IPRF_Header[Request number] &amp; "-" &amp; IPRF_Lines[[#This Row],[Line num]]))</f>
        <v/>
      </c>
      <c r="N278" s="19" t="str" cm="1">
        <f t="array" ref="N2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IF(OR(IPRF_Lines[[#This Row],[Requested Qty]]="",IPRF_Lines[[#This Row],[Picked Qty]]=""),"",IPRF_Lines[[#This Row],[Requested Qty]]-IPRF_Lines[[#This Row],[Picked Qty]])</f>
        <v/>
      </c>
      <c r="M279" s="18" t="str" cm="1">
        <f t="array" ref="M279">IF(
    OR(IPRF_Lines[[#This Row],[Item Description]]="",IPRF_Lines[[#This Row],[Requested Qty]]="",IPRF_Lines[[#This Row],[Unit]]=""),
    "",UPPER(IPRF_Header[Request number] &amp; "-" &amp; IPRF_Lines[[#This Row],[Line num]]))</f>
        <v/>
      </c>
      <c r="N279" s="19" t="str" cm="1">
        <f t="array" ref="N2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IF(OR(IPRF_Lines[[#This Row],[Requested Qty]]="",IPRF_Lines[[#This Row],[Picked Qty]]=""),"",IPRF_Lines[[#This Row],[Requested Qty]]-IPRF_Lines[[#This Row],[Picked Qty]])</f>
        <v/>
      </c>
      <c r="M280" s="18" t="str" cm="1">
        <f t="array" ref="M280">IF(
    OR(IPRF_Lines[[#This Row],[Item Description]]="",IPRF_Lines[[#This Row],[Requested Qty]]="",IPRF_Lines[[#This Row],[Unit]]=""),
    "",UPPER(IPRF_Header[Request number] &amp; "-" &amp; IPRF_Lines[[#This Row],[Line num]]))</f>
        <v/>
      </c>
      <c r="N280" s="19" t="str" cm="1">
        <f t="array" ref="N2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IF(OR(IPRF_Lines[[#This Row],[Requested Qty]]="",IPRF_Lines[[#This Row],[Picked Qty]]=""),"",IPRF_Lines[[#This Row],[Requested Qty]]-IPRF_Lines[[#This Row],[Picked Qty]])</f>
        <v/>
      </c>
      <c r="M281" s="18" t="str" cm="1">
        <f t="array" ref="M281">IF(
    OR(IPRF_Lines[[#This Row],[Item Description]]="",IPRF_Lines[[#This Row],[Requested Qty]]="",IPRF_Lines[[#This Row],[Unit]]=""),
    "",UPPER(IPRF_Header[Request number] &amp; "-" &amp; IPRF_Lines[[#This Row],[Line num]]))</f>
        <v/>
      </c>
      <c r="N281" s="19" t="str" cm="1">
        <f t="array" ref="N2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IF(OR(IPRF_Lines[[#This Row],[Requested Qty]]="",IPRF_Lines[[#This Row],[Picked Qty]]=""),"",IPRF_Lines[[#This Row],[Requested Qty]]-IPRF_Lines[[#This Row],[Picked Qty]])</f>
        <v/>
      </c>
      <c r="M282" s="18" t="str" cm="1">
        <f t="array" ref="M282">IF(
    OR(IPRF_Lines[[#This Row],[Item Description]]="",IPRF_Lines[[#This Row],[Requested Qty]]="",IPRF_Lines[[#This Row],[Unit]]=""),
    "",UPPER(IPRF_Header[Request number] &amp; "-" &amp; IPRF_Lines[[#This Row],[Line num]]))</f>
        <v/>
      </c>
      <c r="N282" s="19" t="str" cm="1">
        <f t="array" ref="N2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IF(OR(IPRF_Lines[[#This Row],[Requested Qty]]="",IPRF_Lines[[#This Row],[Picked Qty]]=""),"",IPRF_Lines[[#This Row],[Requested Qty]]-IPRF_Lines[[#This Row],[Picked Qty]])</f>
        <v/>
      </c>
      <c r="M283" s="18" t="str" cm="1">
        <f t="array" ref="M283">IF(
    OR(IPRF_Lines[[#This Row],[Item Description]]="",IPRF_Lines[[#This Row],[Requested Qty]]="",IPRF_Lines[[#This Row],[Unit]]=""),
    "",UPPER(IPRF_Header[Request number] &amp; "-" &amp; IPRF_Lines[[#This Row],[Line num]]))</f>
        <v/>
      </c>
      <c r="N283" s="19" t="str" cm="1">
        <f t="array" ref="N2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IF(OR(IPRF_Lines[[#This Row],[Requested Qty]]="",IPRF_Lines[[#This Row],[Picked Qty]]=""),"",IPRF_Lines[[#This Row],[Requested Qty]]-IPRF_Lines[[#This Row],[Picked Qty]])</f>
        <v/>
      </c>
      <c r="M284" s="18" t="str" cm="1">
        <f t="array" ref="M284">IF(
    OR(IPRF_Lines[[#This Row],[Item Description]]="",IPRF_Lines[[#This Row],[Requested Qty]]="",IPRF_Lines[[#This Row],[Unit]]=""),
    "",UPPER(IPRF_Header[Request number] &amp; "-" &amp; IPRF_Lines[[#This Row],[Line num]]))</f>
        <v/>
      </c>
      <c r="N284" s="19" t="str" cm="1">
        <f t="array" ref="N2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IF(OR(IPRF_Lines[[#This Row],[Requested Qty]]="",IPRF_Lines[[#This Row],[Picked Qty]]=""),"",IPRF_Lines[[#This Row],[Requested Qty]]-IPRF_Lines[[#This Row],[Picked Qty]])</f>
        <v/>
      </c>
      <c r="M285" s="18" t="str" cm="1">
        <f t="array" ref="M285">IF(
    OR(IPRF_Lines[[#This Row],[Item Description]]="",IPRF_Lines[[#This Row],[Requested Qty]]="",IPRF_Lines[[#This Row],[Unit]]=""),
    "",UPPER(IPRF_Header[Request number] &amp; "-" &amp; IPRF_Lines[[#This Row],[Line num]]))</f>
        <v/>
      </c>
      <c r="N285" s="19" t="str" cm="1">
        <f t="array" ref="N2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IF(OR(IPRF_Lines[[#This Row],[Requested Qty]]="",IPRF_Lines[[#This Row],[Picked Qty]]=""),"",IPRF_Lines[[#This Row],[Requested Qty]]-IPRF_Lines[[#This Row],[Picked Qty]])</f>
        <v/>
      </c>
      <c r="M286" s="18" t="str" cm="1">
        <f t="array" ref="M286">IF(
    OR(IPRF_Lines[[#This Row],[Item Description]]="",IPRF_Lines[[#This Row],[Requested Qty]]="",IPRF_Lines[[#This Row],[Unit]]=""),
    "",UPPER(IPRF_Header[Request number] &amp; "-" &amp; IPRF_Lines[[#This Row],[Line num]]))</f>
        <v/>
      </c>
      <c r="N286" s="19" t="str" cm="1">
        <f t="array" ref="N2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IF(OR(IPRF_Lines[[#This Row],[Requested Qty]]="",IPRF_Lines[[#This Row],[Picked Qty]]=""),"",IPRF_Lines[[#This Row],[Requested Qty]]-IPRF_Lines[[#This Row],[Picked Qty]])</f>
        <v/>
      </c>
      <c r="M287" s="18" t="str" cm="1">
        <f t="array" ref="M287">IF(
    OR(IPRF_Lines[[#This Row],[Item Description]]="",IPRF_Lines[[#This Row],[Requested Qty]]="",IPRF_Lines[[#This Row],[Unit]]=""),
    "",UPPER(IPRF_Header[Request number] &amp; "-" &amp; IPRF_Lines[[#This Row],[Line num]]))</f>
        <v/>
      </c>
      <c r="N287" s="19" t="str" cm="1">
        <f t="array" ref="N2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IF(OR(IPRF_Lines[[#This Row],[Requested Qty]]="",IPRF_Lines[[#This Row],[Picked Qty]]=""),"",IPRF_Lines[[#This Row],[Requested Qty]]-IPRF_Lines[[#This Row],[Picked Qty]])</f>
        <v/>
      </c>
      <c r="M288" s="18" t="str" cm="1">
        <f t="array" ref="M288">IF(
    OR(IPRF_Lines[[#This Row],[Item Description]]="",IPRF_Lines[[#This Row],[Requested Qty]]="",IPRF_Lines[[#This Row],[Unit]]=""),
    "",UPPER(IPRF_Header[Request number] &amp; "-" &amp; IPRF_Lines[[#This Row],[Line num]]))</f>
        <v/>
      </c>
      <c r="N288" s="19" t="str" cm="1">
        <f t="array" ref="N2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IF(OR(IPRF_Lines[[#This Row],[Requested Qty]]="",IPRF_Lines[[#This Row],[Picked Qty]]=""),"",IPRF_Lines[[#This Row],[Requested Qty]]-IPRF_Lines[[#This Row],[Picked Qty]])</f>
        <v/>
      </c>
      <c r="M289" s="18" t="str" cm="1">
        <f t="array" ref="M289">IF(
    OR(IPRF_Lines[[#This Row],[Item Description]]="",IPRF_Lines[[#This Row],[Requested Qty]]="",IPRF_Lines[[#This Row],[Unit]]=""),
    "",UPPER(IPRF_Header[Request number] &amp; "-" &amp; IPRF_Lines[[#This Row],[Line num]]))</f>
        <v/>
      </c>
      <c r="N289" s="19" t="str" cm="1">
        <f t="array" ref="N2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IF(OR(IPRF_Lines[[#This Row],[Requested Qty]]="",IPRF_Lines[[#This Row],[Picked Qty]]=""),"",IPRF_Lines[[#This Row],[Requested Qty]]-IPRF_Lines[[#This Row],[Picked Qty]])</f>
        <v/>
      </c>
      <c r="M290" s="18" t="str" cm="1">
        <f t="array" ref="M290">IF(
    OR(IPRF_Lines[[#This Row],[Item Description]]="",IPRF_Lines[[#This Row],[Requested Qty]]="",IPRF_Lines[[#This Row],[Unit]]=""),
    "",UPPER(IPRF_Header[Request number] &amp; "-" &amp; IPRF_Lines[[#This Row],[Line num]]))</f>
        <v/>
      </c>
      <c r="N290" s="19" t="str" cm="1">
        <f t="array" ref="N2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IF(OR(IPRF_Lines[[#This Row],[Requested Qty]]="",IPRF_Lines[[#This Row],[Picked Qty]]=""),"",IPRF_Lines[[#This Row],[Requested Qty]]-IPRF_Lines[[#This Row],[Picked Qty]])</f>
        <v/>
      </c>
      <c r="M291" s="18" t="str" cm="1">
        <f t="array" ref="M291">IF(
    OR(IPRF_Lines[[#This Row],[Item Description]]="",IPRF_Lines[[#This Row],[Requested Qty]]="",IPRF_Lines[[#This Row],[Unit]]=""),
    "",UPPER(IPRF_Header[Request number] &amp; "-" &amp; IPRF_Lines[[#This Row],[Line num]]))</f>
        <v/>
      </c>
      <c r="N291" s="19" t="str" cm="1">
        <f t="array" ref="N2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IF(OR(IPRF_Lines[[#This Row],[Requested Qty]]="",IPRF_Lines[[#This Row],[Picked Qty]]=""),"",IPRF_Lines[[#This Row],[Requested Qty]]-IPRF_Lines[[#This Row],[Picked Qty]])</f>
        <v/>
      </c>
      <c r="M292" s="18" t="str" cm="1">
        <f t="array" ref="M292">IF(
    OR(IPRF_Lines[[#This Row],[Item Description]]="",IPRF_Lines[[#This Row],[Requested Qty]]="",IPRF_Lines[[#This Row],[Unit]]=""),
    "",UPPER(IPRF_Header[Request number] &amp; "-" &amp; IPRF_Lines[[#This Row],[Line num]]))</f>
        <v/>
      </c>
      <c r="N292" s="19" t="str" cm="1">
        <f t="array" ref="N2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IF(OR(IPRF_Lines[[#This Row],[Requested Qty]]="",IPRF_Lines[[#This Row],[Picked Qty]]=""),"",IPRF_Lines[[#This Row],[Requested Qty]]-IPRF_Lines[[#This Row],[Picked Qty]])</f>
        <v/>
      </c>
      <c r="M293" s="18" t="str" cm="1">
        <f t="array" ref="M293">IF(
    OR(IPRF_Lines[[#This Row],[Item Description]]="",IPRF_Lines[[#This Row],[Requested Qty]]="",IPRF_Lines[[#This Row],[Unit]]=""),
    "",UPPER(IPRF_Header[Request number] &amp; "-" &amp; IPRF_Lines[[#This Row],[Line num]]))</f>
        <v/>
      </c>
      <c r="N293" s="19" t="str" cm="1">
        <f t="array" ref="N2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IF(OR(IPRF_Lines[[#This Row],[Requested Qty]]="",IPRF_Lines[[#This Row],[Picked Qty]]=""),"",IPRF_Lines[[#This Row],[Requested Qty]]-IPRF_Lines[[#This Row],[Picked Qty]])</f>
        <v/>
      </c>
      <c r="M294" s="18" t="str" cm="1">
        <f t="array" ref="M294">IF(
    OR(IPRF_Lines[[#This Row],[Item Description]]="",IPRF_Lines[[#This Row],[Requested Qty]]="",IPRF_Lines[[#This Row],[Unit]]=""),
    "",UPPER(IPRF_Header[Request number] &amp; "-" &amp; IPRF_Lines[[#This Row],[Line num]]))</f>
        <v/>
      </c>
      <c r="N294" s="19" t="str" cm="1">
        <f t="array" ref="N2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IF(OR(IPRF_Lines[[#This Row],[Requested Qty]]="",IPRF_Lines[[#This Row],[Picked Qty]]=""),"",IPRF_Lines[[#This Row],[Requested Qty]]-IPRF_Lines[[#This Row],[Picked Qty]])</f>
        <v/>
      </c>
      <c r="M295" s="18" t="str" cm="1">
        <f t="array" ref="M295">IF(
    OR(IPRF_Lines[[#This Row],[Item Description]]="",IPRF_Lines[[#This Row],[Requested Qty]]="",IPRF_Lines[[#This Row],[Unit]]=""),
    "",UPPER(IPRF_Header[Request number] &amp; "-" &amp; IPRF_Lines[[#This Row],[Line num]]))</f>
        <v/>
      </c>
      <c r="N295" s="19" t="str" cm="1">
        <f t="array" ref="N2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IF(OR(IPRF_Lines[[#This Row],[Requested Qty]]="",IPRF_Lines[[#This Row],[Picked Qty]]=""),"",IPRF_Lines[[#This Row],[Requested Qty]]-IPRF_Lines[[#This Row],[Picked Qty]])</f>
        <v/>
      </c>
      <c r="M296" s="18" t="str" cm="1">
        <f t="array" ref="M296">IF(
    OR(IPRF_Lines[[#This Row],[Item Description]]="",IPRF_Lines[[#This Row],[Requested Qty]]="",IPRF_Lines[[#This Row],[Unit]]=""),
    "",UPPER(IPRF_Header[Request number] &amp; "-" &amp; IPRF_Lines[[#This Row],[Line num]]))</f>
        <v/>
      </c>
      <c r="N296" s="19" t="str" cm="1">
        <f t="array" ref="N2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IF(OR(IPRF_Lines[[#This Row],[Requested Qty]]="",IPRF_Lines[[#This Row],[Picked Qty]]=""),"",IPRF_Lines[[#This Row],[Requested Qty]]-IPRF_Lines[[#This Row],[Picked Qty]])</f>
        <v/>
      </c>
      <c r="M297" s="18" t="str" cm="1">
        <f t="array" ref="M297">IF(
    OR(IPRF_Lines[[#This Row],[Item Description]]="",IPRF_Lines[[#This Row],[Requested Qty]]="",IPRF_Lines[[#This Row],[Unit]]=""),
    "",UPPER(IPRF_Header[Request number] &amp; "-" &amp; IPRF_Lines[[#This Row],[Line num]]))</f>
        <v/>
      </c>
      <c r="N297" s="19" t="str" cm="1">
        <f t="array" ref="N2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IF(OR(IPRF_Lines[[#This Row],[Requested Qty]]="",IPRF_Lines[[#This Row],[Picked Qty]]=""),"",IPRF_Lines[[#This Row],[Requested Qty]]-IPRF_Lines[[#This Row],[Picked Qty]])</f>
        <v/>
      </c>
      <c r="M298" s="18" t="str" cm="1">
        <f t="array" ref="M298">IF(
    OR(IPRF_Lines[[#This Row],[Item Description]]="",IPRF_Lines[[#This Row],[Requested Qty]]="",IPRF_Lines[[#This Row],[Unit]]=""),
    "",UPPER(IPRF_Header[Request number] &amp; "-" &amp; IPRF_Lines[[#This Row],[Line num]]))</f>
        <v/>
      </c>
      <c r="N298" s="19" t="str" cm="1">
        <f t="array" ref="N2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IF(OR(IPRF_Lines[[#This Row],[Requested Qty]]="",IPRF_Lines[[#This Row],[Picked Qty]]=""),"",IPRF_Lines[[#This Row],[Requested Qty]]-IPRF_Lines[[#This Row],[Picked Qty]])</f>
        <v/>
      </c>
      <c r="M299" s="18" t="str" cm="1">
        <f t="array" ref="M299">IF(
    OR(IPRF_Lines[[#This Row],[Item Description]]="",IPRF_Lines[[#This Row],[Requested Qty]]="",IPRF_Lines[[#This Row],[Unit]]=""),
    "",UPPER(IPRF_Header[Request number] &amp; "-" &amp; IPRF_Lines[[#This Row],[Line num]]))</f>
        <v/>
      </c>
      <c r="N299" s="19" t="str" cm="1">
        <f t="array" ref="N2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IF(OR(IPRF_Lines[[#This Row],[Requested Qty]]="",IPRF_Lines[[#This Row],[Picked Qty]]=""),"",IPRF_Lines[[#This Row],[Requested Qty]]-IPRF_Lines[[#This Row],[Picked Qty]])</f>
        <v/>
      </c>
      <c r="M300" s="18" t="str" cm="1">
        <f t="array" ref="M300">IF(
    OR(IPRF_Lines[[#This Row],[Item Description]]="",IPRF_Lines[[#This Row],[Requested Qty]]="",IPRF_Lines[[#This Row],[Unit]]=""),
    "",UPPER(IPRF_Header[Request number] &amp; "-" &amp; IPRF_Lines[[#This Row],[Line num]]))</f>
        <v/>
      </c>
      <c r="N300" s="19" t="str" cm="1">
        <f t="array" ref="N3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IF(OR(IPRF_Lines[[#This Row],[Requested Qty]]="",IPRF_Lines[[#This Row],[Picked Qty]]=""),"",IPRF_Lines[[#This Row],[Requested Qty]]-IPRF_Lines[[#This Row],[Picked Qty]])</f>
        <v/>
      </c>
      <c r="M301" s="18" t="str" cm="1">
        <f t="array" ref="M301">IF(
    OR(IPRF_Lines[[#This Row],[Item Description]]="",IPRF_Lines[[#This Row],[Requested Qty]]="",IPRF_Lines[[#This Row],[Unit]]=""),
    "",UPPER(IPRF_Header[Request number] &amp; "-" &amp; IPRF_Lines[[#This Row],[Line num]]))</f>
        <v/>
      </c>
      <c r="N301" s="19" t="str" cm="1">
        <f t="array" ref="N3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IF(OR(IPRF_Lines[[#This Row],[Requested Qty]]="",IPRF_Lines[[#This Row],[Picked Qty]]=""),"",IPRF_Lines[[#This Row],[Requested Qty]]-IPRF_Lines[[#This Row],[Picked Qty]])</f>
        <v/>
      </c>
      <c r="M302" s="18" t="str" cm="1">
        <f t="array" ref="M302">IF(
    OR(IPRF_Lines[[#This Row],[Item Description]]="",IPRF_Lines[[#This Row],[Requested Qty]]="",IPRF_Lines[[#This Row],[Unit]]=""),
    "",UPPER(IPRF_Header[Request number] &amp; "-" &amp; IPRF_Lines[[#This Row],[Line num]]))</f>
        <v/>
      </c>
      <c r="N302" s="19" t="str" cm="1">
        <f t="array" ref="N3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IF(OR(IPRF_Lines[[#This Row],[Requested Qty]]="",IPRF_Lines[[#This Row],[Picked Qty]]=""),"",IPRF_Lines[[#This Row],[Requested Qty]]-IPRF_Lines[[#This Row],[Picked Qty]])</f>
        <v/>
      </c>
      <c r="M303" s="18" t="str" cm="1">
        <f t="array" ref="M303">IF(
    OR(IPRF_Lines[[#This Row],[Item Description]]="",IPRF_Lines[[#This Row],[Requested Qty]]="",IPRF_Lines[[#This Row],[Unit]]=""),
    "",UPPER(IPRF_Header[Request number] &amp; "-" &amp; IPRF_Lines[[#This Row],[Line num]]))</f>
        <v/>
      </c>
      <c r="N303" s="19" t="str" cm="1">
        <f t="array" ref="N3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IF(OR(IPRF_Lines[[#This Row],[Requested Qty]]="",IPRF_Lines[[#This Row],[Picked Qty]]=""),"",IPRF_Lines[[#This Row],[Requested Qty]]-IPRF_Lines[[#This Row],[Picked Qty]])</f>
        <v/>
      </c>
      <c r="M304" s="18" t="str" cm="1">
        <f t="array" ref="M304">IF(
    OR(IPRF_Lines[[#This Row],[Item Description]]="",IPRF_Lines[[#This Row],[Requested Qty]]="",IPRF_Lines[[#This Row],[Unit]]=""),
    "",UPPER(IPRF_Header[Request number] &amp; "-" &amp; IPRF_Lines[[#This Row],[Line num]]))</f>
        <v/>
      </c>
      <c r="N304" s="19" t="str" cm="1">
        <f t="array" ref="N3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IF(OR(IPRF_Lines[[#This Row],[Requested Qty]]="",IPRF_Lines[[#This Row],[Picked Qty]]=""),"",IPRF_Lines[[#This Row],[Requested Qty]]-IPRF_Lines[[#This Row],[Picked Qty]])</f>
        <v/>
      </c>
      <c r="M305" s="18" t="str" cm="1">
        <f t="array" ref="M305">IF(
    OR(IPRF_Lines[[#This Row],[Item Description]]="",IPRF_Lines[[#This Row],[Requested Qty]]="",IPRF_Lines[[#This Row],[Unit]]=""),
    "",UPPER(IPRF_Header[Request number] &amp; "-" &amp; IPRF_Lines[[#This Row],[Line num]]))</f>
        <v/>
      </c>
      <c r="N305" s="19" t="str" cm="1">
        <f t="array" ref="N3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IF(OR(IPRF_Lines[[#This Row],[Requested Qty]]="",IPRF_Lines[[#This Row],[Picked Qty]]=""),"",IPRF_Lines[[#This Row],[Requested Qty]]-IPRF_Lines[[#This Row],[Picked Qty]])</f>
        <v/>
      </c>
      <c r="M306" s="18" t="str" cm="1">
        <f t="array" ref="M306">IF(
    OR(IPRF_Lines[[#This Row],[Item Description]]="",IPRF_Lines[[#This Row],[Requested Qty]]="",IPRF_Lines[[#This Row],[Unit]]=""),
    "",UPPER(IPRF_Header[Request number] &amp; "-" &amp; IPRF_Lines[[#This Row],[Line num]]))</f>
        <v/>
      </c>
      <c r="N306" s="19" t="str" cm="1">
        <f t="array" ref="N3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IF(OR(IPRF_Lines[[#This Row],[Requested Qty]]="",IPRF_Lines[[#This Row],[Picked Qty]]=""),"",IPRF_Lines[[#This Row],[Requested Qty]]-IPRF_Lines[[#This Row],[Picked Qty]])</f>
        <v/>
      </c>
      <c r="M307" s="18" t="str" cm="1">
        <f t="array" ref="M307">IF(
    OR(IPRF_Lines[[#This Row],[Item Description]]="",IPRF_Lines[[#This Row],[Requested Qty]]="",IPRF_Lines[[#This Row],[Unit]]=""),
    "",UPPER(IPRF_Header[Request number] &amp; "-" &amp; IPRF_Lines[[#This Row],[Line num]]))</f>
        <v/>
      </c>
      <c r="N307" s="19" t="str" cm="1">
        <f t="array" ref="N3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IF(OR(IPRF_Lines[[#This Row],[Requested Qty]]="",IPRF_Lines[[#This Row],[Picked Qty]]=""),"",IPRF_Lines[[#This Row],[Requested Qty]]-IPRF_Lines[[#This Row],[Picked Qty]])</f>
        <v/>
      </c>
      <c r="M308" s="18" t="str" cm="1">
        <f t="array" ref="M308">IF(
    OR(IPRF_Lines[[#This Row],[Item Description]]="",IPRF_Lines[[#This Row],[Requested Qty]]="",IPRF_Lines[[#This Row],[Unit]]=""),
    "",UPPER(IPRF_Header[Request number] &amp; "-" &amp; IPRF_Lines[[#This Row],[Line num]]))</f>
        <v/>
      </c>
      <c r="N308" s="19" t="str" cm="1">
        <f t="array" ref="N3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IF(OR(IPRF_Lines[[#This Row],[Requested Qty]]="",IPRF_Lines[[#This Row],[Picked Qty]]=""),"",IPRF_Lines[[#This Row],[Requested Qty]]-IPRF_Lines[[#This Row],[Picked Qty]])</f>
        <v/>
      </c>
      <c r="M309" s="18" t="str" cm="1">
        <f t="array" ref="M309">IF(
    OR(IPRF_Lines[[#This Row],[Item Description]]="",IPRF_Lines[[#This Row],[Requested Qty]]="",IPRF_Lines[[#This Row],[Unit]]=""),
    "",UPPER(IPRF_Header[Request number] &amp; "-" &amp; IPRF_Lines[[#This Row],[Line num]]))</f>
        <v/>
      </c>
      <c r="N309" s="19" t="str" cm="1">
        <f t="array" ref="N3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IF(OR(IPRF_Lines[[#This Row],[Requested Qty]]="",IPRF_Lines[[#This Row],[Picked Qty]]=""),"",IPRF_Lines[[#This Row],[Requested Qty]]-IPRF_Lines[[#This Row],[Picked Qty]])</f>
        <v/>
      </c>
      <c r="M310" s="18" t="str" cm="1">
        <f t="array" ref="M310">IF(
    OR(IPRF_Lines[[#This Row],[Item Description]]="",IPRF_Lines[[#This Row],[Requested Qty]]="",IPRF_Lines[[#This Row],[Unit]]=""),
    "",UPPER(IPRF_Header[Request number] &amp; "-" &amp; IPRF_Lines[[#This Row],[Line num]]))</f>
        <v/>
      </c>
      <c r="N310" s="19" t="str" cm="1">
        <f t="array" ref="N3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IF(OR(IPRF_Lines[[#This Row],[Requested Qty]]="",IPRF_Lines[[#This Row],[Picked Qty]]=""),"",IPRF_Lines[[#This Row],[Requested Qty]]-IPRF_Lines[[#This Row],[Picked Qty]])</f>
        <v/>
      </c>
      <c r="M311" s="18" t="str" cm="1">
        <f t="array" ref="M311">IF(
    OR(IPRF_Lines[[#This Row],[Item Description]]="",IPRF_Lines[[#This Row],[Requested Qty]]="",IPRF_Lines[[#This Row],[Unit]]=""),
    "",UPPER(IPRF_Header[Request number] &amp; "-" &amp; IPRF_Lines[[#This Row],[Line num]]))</f>
        <v/>
      </c>
      <c r="N311" s="19" t="str" cm="1">
        <f t="array" ref="N3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IF(OR(IPRF_Lines[[#This Row],[Requested Qty]]="",IPRF_Lines[[#This Row],[Picked Qty]]=""),"",IPRF_Lines[[#This Row],[Requested Qty]]-IPRF_Lines[[#This Row],[Picked Qty]])</f>
        <v/>
      </c>
      <c r="M312" s="18" t="str" cm="1">
        <f t="array" ref="M312">IF(
    OR(IPRF_Lines[[#This Row],[Item Description]]="",IPRF_Lines[[#This Row],[Requested Qty]]="",IPRF_Lines[[#This Row],[Unit]]=""),
    "",UPPER(IPRF_Header[Request number] &amp; "-" &amp; IPRF_Lines[[#This Row],[Line num]]))</f>
        <v/>
      </c>
      <c r="N312" s="19" t="str" cm="1">
        <f t="array" ref="N3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IF(OR(IPRF_Lines[[#This Row],[Requested Qty]]="",IPRF_Lines[[#This Row],[Picked Qty]]=""),"",IPRF_Lines[[#This Row],[Requested Qty]]-IPRF_Lines[[#This Row],[Picked Qty]])</f>
        <v/>
      </c>
      <c r="M313" s="18" t="str" cm="1">
        <f t="array" ref="M313">IF(
    OR(IPRF_Lines[[#This Row],[Item Description]]="",IPRF_Lines[[#This Row],[Requested Qty]]="",IPRF_Lines[[#This Row],[Unit]]=""),
    "",UPPER(IPRF_Header[Request number] &amp; "-" &amp; IPRF_Lines[[#This Row],[Line num]]))</f>
        <v/>
      </c>
      <c r="N313" s="19" t="str" cm="1">
        <f t="array" ref="N3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IF(OR(IPRF_Lines[[#This Row],[Requested Qty]]="",IPRF_Lines[[#This Row],[Picked Qty]]=""),"",IPRF_Lines[[#This Row],[Requested Qty]]-IPRF_Lines[[#This Row],[Picked Qty]])</f>
        <v/>
      </c>
      <c r="M314" s="18" t="str" cm="1">
        <f t="array" ref="M314">IF(
    OR(IPRF_Lines[[#This Row],[Item Description]]="",IPRF_Lines[[#This Row],[Requested Qty]]="",IPRF_Lines[[#This Row],[Unit]]=""),
    "",UPPER(IPRF_Header[Request number] &amp; "-" &amp; IPRF_Lines[[#This Row],[Line num]]))</f>
        <v/>
      </c>
      <c r="N314" s="19" t="str" cm="1">
        <f t="array" ref="N3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IF(OR(IPRF_Lines[[#This Row],[Requested Qty]]="",IPRF_Lines[[#This Row],[Picked Qty]]=""),"",IPRF_Lines[[#This Row],[Requested Qty]]-IPRF_Lines[[#This Row],[Picked Qty]])</f>
        <v/>
      </c>
      <c r="M315" s="18" t="str" cm="1">
        <f t="array" ref="M315">IF(
    OR(IPRF_Lines[[#This Row],[Item Description]]="",IPRF_Lines[[#This Row],[Requested Qty]]="",IPRF_Lines[[#This Row],[Unit]]=""),
    "",UPPER(IPRF_Header[Request number] &amp; "-" &amp; IPRF_Lines[[#This Row],[Line num]]))</f>
        <v/>
      </c>
      <c r="N315" s="19" t="str" cm="1">
        <f t="array" ref="N3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IF(OR(IPRF_Lines[[#This Row],[Requested Qty]]="",IPRF_Lines[[#This Row],[Picked Qty]]=""),"",IPRF_Lines[[#This Row],[Requested Qty]]-IPRF_Lines[[#This Row],[Picked Qty]])</f>
        <v/>
      </c>
      <c r="M316" s="18" t="str" cm="1">
        <f t="array" ref="M316">IF(
    OR(IPRF_Lines[[#This Row],[Item Description]]="",IPRF_Lines[[#This Row],[Requested Qty]]="",IPRF_Lines[[#This Row],[Unit]]=""),
    "",UPPER(IPRF_Header[Request number] &amp; "-" &amp; IPRF_Lines[[#This Row],[Line num]]))</f>
        <v/>
      </c>
      <c r="N316" s="19" t="str" cm="1">
        <f t="array" ref="N3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IF(OR(IPRF_Lines[[#This Row],[Requested Qty]]="",IPRF_Lines[[#This Row],[Picked Qty]]=""),"",IPRF_Lines[[#This Row],[Requested Qty]]-IPRF_Lines[[#This Row],[Picked Qty]])</f>
        <v/>
      </c>
      <c r="M317" s="18" t="str" cm="1">
        <f t="array" ref="M317">IF(
    OR(IPRF_Lines[[#This Row],[Item Description]]="",IPRF_Lines[[#This Row],[Requested Qty]]="",IPRF_Lines[[#This Row],[Unit]]=""),
    "",UPPER(IPRF_Header[Request number] &amp; "-" &amp; IPRF_Lines[[#This Row],[Line num]]))</f>
        <v/>
      </c>
      <c r="N317" s="19" t="str" cm="1">
        <f t="array" ref="N3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IF(OR(IPRF_Lines[[#This Row],[Requested Qty]]="",IPRF_Lines[[#This Row],[Picked Qty]]=""),"",IPRF_Lines[[#This Row],[Requested Qty]]-IPRF_Lines[[#This Row],[Picked Qty]])</f>
        <v/>
      </c>
      <c r="M318" s="18" t="str" cm="1">
        <f t="array" ref="M318">IF(
    OR(IPRF_Lines[[#This Row],[Item Description]]="",IPRF_Lines[[#This Row],[Requested Qty]]="",IPRF_Lines[[#This Row],[Unit]]=""),
    "",UPPER(IPRF_Header[Request number] &amp; "-" &amp; IPRF_Lines[[#This Row],[Line num]]))</f>
        <v/>
      </c>
      <c r="N318" s="19" t="str" cm="1">
        <f t="array" ref="N3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IF(OR(IPRF_Lines[[#This Row],[Requested Qty]]="",IPRF_Lines[[#This Row],[Picked Qty]]=""),"",IPRF_Lines[[#This Row],[Requested Qty]]-IPRF_Lines[[#This Row],[Picked Qty]])</f>
        <v/>
      </c>
      <c r="M319" s="18" t="str" cm="1">
        <f t="array" ref="M319">IF(
    OR(IPRF_Lines[[#This Row],[Item Description]]="",IPRF_Lines[[#This Row],[Requested Qty]]="",IPRF_Lines[[#This Row],[Unit]]=""),
    "",UPPER(IPRF_Header[Request number] &amp; "-" &amp; IPRF_Lines[[#This Row],[Line num]]))</f>
        <v/>
      </c>
      <c r="N319" s="19" t="str" cm="1">
        <f t="array" ref="N3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IF(OR(IPRF_Lines[[#This Row],[Requested Qty]]="",IPRF_Lines[[#This Row],[Picked Qty]]=""),"",IPRF_Lines[[#This Row],[Requested Qty]]-IPRF_Lines[[#This Row],[Picked Qty]])</f>
        <v/>
      </c>
      <c r="M320" s="18" t="str" cm="1">
        <f t="array" ref="M320">IF(
    OR(IPRF_Lines[[#This Row],[Item Description]]="",IPRF_Lines[[#This Row],[Requested Qty]]="",IPRF_Lines[[#This Row],[Unit]]=""),
    "",UPPER(IPRF_Header[Request number] &amp; "-" &amp; IPRF_Lines[[#This Row],[Line num]]))</f>
        <v/>
      </c>
      <c r="N320" s="19" t="str" cm="1">
        <f t="array" ref="N3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IF(OR(IPRF_Lines[[#This Row],[Requested Qty]]="",IPRF_Lines[[#This Row],[Picked Qty]]=""),"",IPRF_Lines[[#This Row],[Requested Qty]]-IPRF_Lines[[#This Row],[Picked Qty]])</f>
        <v/>
      </c>
      <c r="M321" s="18" t="str" cm="1">
        <f t="array" ref="M321">IF(
    OR(IPRF_Lines[[#This Row],[Item Description]]="",IPRF_Lines[[#This Row],[Requested Qty]]="",IPRF_Lines[[#This Row],[Unit]]=""),
    "",UPPER(IPRF_Header[Request number] &amp; "-" &amp; IPRF_Lines[[#This Row],[Line num]]))</f>
        <v/>
      </c>
      <c r="N321" s="19" t="str" cm="1">
        <f t="array" ref="N3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IF(OR(IPRF_Lines[[#This Row],[Requested Qty]]="",IPRF_Lines[[#This Row],[Picked Qty]]=""),"",IPRF_Lines[[#This Row],[Requested Qty]]-IPRF_Lines[[#This Row],[Picked Qty]])</f>
        <v/>
      </c>
      <c r="M322" s="18" t="str" cm="1">
        <f t="array" ref="M322">IF(
    OR(IPRF_Lines[[#This Row],[Item Description]]="",IPRF_Lines[[#This Row],[Requested Qty]]="",IPRF_Lines[[#This Row],[Unit]]=""),
    "",UPPER(IPRF_Header[Request number] &amp; "-" &amp; IPRF_Lines[[#This Row],[Line num]]))</f>
        <v/>
      </c>
      <c r="N322" s="19" t="str" cm="1">
        <f t="array" ref="N3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IF(OR(IPRF_Lines[[#This Row],[Requested Qty]]="",IPRF_Lines[[#This Row],[Picked Qty]]=""),"",IPRF_Lines[[#This Row],[Requested Qty]]-IPRF_Lines[[#This Row],[Picked Qty]])</f>
        <v/>
      </c>
      <c r="M323" s="18" t="str" cm="1">
        <f t="array" ref="M323">IF(
    OR(IPRF_Lines[[#This Row],[Item Description]]="",IPRF_Lines[[#This Row],[Requested Qty]]="",IPRF_Lines[[#This Row],[Unit]]=""),
    "",UPPER(IPRF_Header[Request number] &amp; "-" &amp; IPRF_Lines[[#This Row],[Line num]]))</f>
        <v/>
      </c>
      <c r="N323" s="19" t="str" cm="1">
        <f t="array" ref="N3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IF(OR(IPRF_Lines[[#This Row],[Requested Qty]]="",IPRF_Lines[[#This Row],[Picked Qty]]=""),"",IPRF_Lines[[#This Row],[Requested Qty]]-IPRF_Lines[[#This Row],[Picked Qty]])</f>
        <v/>
      </c>
      <c r="M324" s="18" t="str" cm="1">
        <f t="array" ref="M324">IF(
    OR(IPRF_Lines[[#This Row],[Item Description]]="",IPRF_Lines[[#This Row],[Requested Qty]]="",IPRF_Lines[[#This Row],[Unit]]=""),
    "",UPPER(IPRF_Header[Request number] &amp; "-" &amp; IPRF_Lines[[#This Row],[Line num]]))</f>
        <v/>
      </c>
      <c r="N324" s="19" t="str" cm="1">
        <f t="array" ref="N3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IF(OR(IPRF_Lines[[#This Row],[Requested Qty]]="",IPRF_Lines[[#This Row],[Picked Qty]]=""),"",IPRF_Lines[[#This Row],[Requested Qty]]-IPRF_Lines[[#This Row],[Picked Qty]])</f>
        <v/>
      </c>
      <c r="M325" s="18" t="str" cm="1">
        <f t="array" ref="M325">IF(
    OR(IPRF_Lines[[#This Row],[Item Description]]="",IPRF_Lines[[#This Row],[Requested Qty]]="",IPRF_Lines[[#This Row],[Unit]]=""),
    "",UPPER(IPRF_Header[Request number] &amp; "-" &amp; IPRF_Lines[[#This Row],[Line num]]))</f>
        <v/>
      </c>
      <c r="N325" s="19" t="str" cm="1">
        <f t="array" ref="N3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IF(OR(IPRF_Lines[[#This Row],[Requested Qty]]="",IPRF_Lines[[#This Row],[Picked Qty]]=""),"",IPRF_Lines[[#This Row],[Requested Qty]]-IPRF_Lines[[#This Row],[Picked Qty]])</f>
        <v/>
      </c>
      <c r="M326" s="18" t="str" cm="1">
        <f t="array" ref="M326">IF(
    OR(IPRF_Lines[[#This Row],[Item Description]]="",IPRF_Lines[[#This Row],[Requested Qty]]="",IPRF_Lines[[#This Row],[Unit]]=""),
    "",UPPER(IPRF_Header[Request number] &amp; "-" &amp; IPRF_Lines[[#This Row],[Line num]]))</f>
        <v/>
      </c>
      <c r="N326" s="19" t="str" cm="1">
        <f t="array" ref="N3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IF(OR(IPRF_Lines[[#This Row],[Requested Qty]]="",IPRF_Lines[[#This Row],[Picked Qty]]=""),"",IPRF_Lines[[#This Row],[Requested Qty]]-IPRF_Lines[[#This Row],[Picked Qty]])</f>
        <v/>
      </c>
      <c r="M327" s="18" t="str" cm="1">
        <f t="array" ref="M327">IF(
    OR(IPRF_Lines[[#This Row],[Item Description]]="",IPRF_Lines[[#This Row],[Requested Qty]]="",IPRF_Lines[[#This Row],[Unit]]=""),
    "",UPPER(IPRF_Header[Request number] &amp; "-" &amp; IPRF_Lines[[#This Row],[Line num]]))</f>
        <v/>
      </c>
      <c r="N327" s="19" t="str" cm="1">
        <f t="array" ref="N3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IF(OR(IPRF_Lines[[#This Row],[Requested Qty]]="",IPRF_Lines[[#This Row],[Picked Qty]]=""),"",IPRF_Lines[[#This Row],[Requested Qty]]-IPRF_Lines[[#This Row],[Picked Qty]])</f>
        <v/>
      </c>
      <c r="M328" s="18" t="str" cm="1">
        <f t="array" ref="M328">IF(
    OR(IPRF_Lines[[#This Row],[Item Description]]="",IPRF_Lines[[#This Row],[Requested Qty]]="",IPRF_Lines[[#This Row],[Unit]]=""),
    "",UPPER(IPRF_Header[Request number] &amp; "-" &amp; IPRF_Lines[[#This Row],[Line num]]))</f>
        <v/>
      </c>
      <c r="N328" s="19" t="str" cm="1">
        <f t="array" ref="N3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IF(OR(IPRF_Lines[[#This Row],[Requested Qty]]="",IPRF_Lines[[#This Row],[Picked Qty]]=""),"",IPRF_Lines[[#This Row],[Requested Qty]]-IPRF_Lines[[#This Row],[Picked Qty]])</f>
        <v/>
      </c>
      <c r="M329" s="18" t="str" cm="1">
        <f t="array" ref="M329">IF(
    OR(IPRF_Lines[[#This Row],[Item Description]]="",IPRF_Lines[[#This Row],[Requested Qty]]="",IPRF_Lines[[#This Row],[Unit]]=""),
    "",UPPER(IPRF_Header[Request number] &amp; "-" &amp; IPRF_Lines[[#This Row],[Line num]]))</f>
        <v/>
      </c>
      <c r="N329" s="19" t="str" cm="1">
        <f t="array" ref="N3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IF(OR(IPRF_Lines[[#This Row],[Requested Qty]]="",IPRF_Lines[[#This Row],[Picked Qty]]=""),"",IPRF_Lines[[#This Row],[Requested Qty]]-IPRF_Lines[[#This Row],[Picked Qty]])</f>
        <v/>
      </c>
      <c r="M330" s="18" t="str" cm="1">
        <f t="array" ref="M330">IF(
    OR(IPRF_Lines[[#This Row],[Item Description]]="",IPRF_Lines[[#This Row],[Requested Qty]]="",IPRF_Lines[[#This Row],[Unit]]=""),
    "",UPPER(IPRF_Header[Request number] &amp; "-" &amp; IPRF_Lines[[#This Row],[Line num]]))</f>
        <v/>
      </c>
      <c r="N330" s="19" t="str" cm="1">
        <f t="array" ref="N3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IF(OR(IPRF_Lines[[#This Row],[Requested Qty]]="",IPRF_Lines[[#This Row],[Picked Qty]]=""),"",IPRF_Lines[[#This Row],[Requested Qty]]-IPRF_Lines[[#This Row],[Picked Qty]])</f>
        <v/>
      </c>
      <c r="M331" s="18" t="str" cm="1">
        <f t="array" ref="M331">IF(
    OR(IPRF_Lines[[#This Row],[Item Description]]="",IPRF_Lines[[#This Row],[Requested Qty]]="",IPRF_Lines[[#This Row],[Unit]]=""),
    "",UPPER(IPRF_Header[Request number] &amp; "-" &amp; IPRF_Lines[[#This Row],[Line num]]))</f>
        <v/>
      </c>
      <c r="N331" s="19" t="str" cm="1">
        <f t="array" ref="N3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IF(OR(IPRF_Lines[[#This Row],[Requested Qty]]="",IPRF_Lines[[#This Row],[Picked Qty]]=""),"",IPRF_Lines[[#This Row],[Requested Qty]]-IPRF_Lines[[#This Row],[Picked Qty]])</f>
        <v/>
      </c>
      <c r="M332" s="18" t="str" cm="1">
        <f t="array" ref="M332">IF(
    OR(IPRF_Lines[[#This Row],[Item Description]]="",IPRF_Lines[[#This Row],[Requested Qty]]="",IPRF_Lines[[#This Row],[Unit]]=""),
    "",UPPER(IPRF_Header[Request number] &amp; "-" &amp; IPRF_Lines[[#This Row],[Line num]]))</f>
        <v/>
      </c>
      <c r="N332" s="19" t="str" cm="1">
        <f t="array" ref="N3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IF(OR(IPRF_Lines[[#This Row],[Requested Qty]]="",IPRF_Lines[[#This Row],[Picked Qty]]=""),"",IPRF_Lines[[#This Row],[Requested Qty]]-IPRF_Lines[[#This Row],[Picked Qty]])</f>
        <v/>
      </c>
      <c r="M333" s="18" t="str" cm="1">
        <f t="array" ref="M333">IF(
    OR(IPRF_Lines[[#This Row],[Item Description]]="",IPRF_Lines[[#This Row],[Requested Qty]]="",IPRF_Lines[[#This Row],[Unit]]=""),
    "",UPPER(IPRF_Header[Request number] &amp; "-" &amp; IPRF_Lines[[#This Row],[Line num]]))</f>
        <v/>
      </c>
      <c r="N333" s="19" t="str" cm="1">
        <f t="array" ref="N3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IF(OR(IPRF_Lines[[#This Row],[Requested Qty]]="",IPRF_Lines[[#This Row],[Picked Qty]]=""),"",IPRF_Lines[[#This Row],[Requested Qty]]-IPRF_Lines[[#This Row],[Picked Qty]])</f>
        <v/>
      </c>
      <c r="M334" s="18" t="str" cm="1">
        <f t="array" ref="M334">IF(
    OR(IPRF_Lines[[#This Row],[Item Description]]="",IPRF_Lines[[#This Row],[Requested Qty]]="",IPRF_Lines[[#This Row],[Unit]]=""),
    "",UPPER(IPRF_Header[Request number] &amp; "-" &amp; IPRF_Lines[[#This Row],[Line num]]))</f>
        <v/>
      </c>
      <c r="N334" s="19" t="str" cm="1">
        <f t="array" ref="N3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IF(OR(IPRF_Lines[[#This Row],[Requested Qty]]="",IPRF_Lines[[#This Row],[Picked Qty]]=""),"",IPRF_Lines[[#This Row],[Requested Qty]]-IPRF_Lines[[#This Row],[Picked Qty]])</f>
        <v/>
      </c>
      <c r="M335" s="18" t="str" cm="1">
        <f t="array" ref="M335">IF(
    OR(IPRF_Lines[[#This Row],[Item Description]]="",IPRF_Lines[[#This Row],[Requested Qty]]="",IPRF_Lines[[#This Row],[Unit]]=""),
    "",UPPER(IPRF_Header[Request number] &amp; "-" &amp; IPRF_Lines[[#This Row],[Line num]]))</f>
        <v/>
      </c>
      <c r="N335" s="19" t="str" cm="1">
        <f t="array" ref="N3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IF(OR(IPRF_Lines[[#This Row],[Requested Qty]]="",IPRF_Lines[[#This Row],[Picked Qty]]=""),"",IPRF_Lines[[#This Row],[Requested Qty]]-IPRF_Lines[[#This Row],[Picked Qty]])</f>
        <v/>
      </c>
      <c r="M336" s="18" t="str" cm="1">
        <f t="array" ref="M336">IF(
    OR(IPRF_Lines[[#This Row],[Item Description]]="",IPRF_Lines[[#This Row],[Requested Qty]]="",IPRF_Lines[[#This Row],[Unit]]=""),
    "",UPPER(IPRF_Header[Request number] &amp; "-" &amp; IPRF_Lines[[#This Row],[Line num]]))</f>
        <v/>
      </c>
      <c r="N336" s="19" t="str" cm="1">
        <f t="array" ref="N3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IF(OR(IPRF_Lines[[#This Row],[Requested Qty]]="",IPRF_Lines[[#This Row],[Picked Qty]]=""),"",IPRF_Lines[[#This Row],[Requested Qty]]-IPRF_Lines[[#This Row],[Picked Qty]])</f>
        <v/>
      </c>
      <c r="M337" s="18" t="str" cm="1">
        <f t="array" ref="M337">IF(
    OR(IPRF_Lines[[#This Row],[Item Description]]="",IPRF_Lines[[#This Row],[Requested Qty]]="",IPRF_Lines[[#This Row],[Unit]]=""),
    "",UPPER(IPRF_Header[Request number] &amp; "-" &amp; IPRF_Lines[[#This Row],[Line num]]))</f>
        <v/>
      </c>
      <c r="N337" s="19" t="str" cm="1">
        <f t="array" ref="N3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IF(OR(IPRF_Lines[[#This Row],[Requested Qty]]="",IPRF_Lines[[#This Row],[Picked Qty]]=""),"",IPRF_Lines[[#This Row],[Requested Qty]]-IPRF_Lines[[#This Row],[Picked Qty]])</f>
        <v/>
      </c>
      <c r="M338" s="18" t="str" cm="1">
        <f t="array" ref="M338">IF(
    OR(IPRF_Lines[[#This Row],[Item Description]]="",IPRF_Lines[[#This Row],[Requested Qty]]="",IPRF_Lines[[#This Row],[Unit]]=""),
    "",UPPER(IPRF_Header[Request number] &amp; "-" &amp; IPRF_Lines[[#This Row],[Line num]]))</f>
        <v/>
      </c>
      <c r="N338" s="19" t="str" cm="1">
        <f t="array" ref="N3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IF(OR(IPRF_Lines[[#This Row],[Requested Qty]]="",IPRF_Lines[[#This Row],[Picked Qty]]=""),"",IPRF_Lines[[#This Row],[Requested Qty]]-IPRF_Lines[[#This Row],[Picked Qty]])</f>
        <v/>
      </c>
      <c r="M339" s="18" t="str" cm="1">
        <f t="array" ref="M339">IF(
    OR(IPRF_Lines[[#This Row],[Item Description]]="",IPRF_Lines[[#This Row],[Requested Qty]]="",IPRF_Lines[[#This Row],[Unit]]=""),
    "",UPPER(IPRF_Header[Request number] &amp; "-" &amp; IPRF_Lines[[#This Row],[Line num]]))</f>
        <v/>
      </c>
      <c r="N339" s="19" t="str" cm="1">
        <f t="array" ref="N3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IF(OR(IPRF_Lines[[#This Row],[Requested Qty]]="",IPRF_Lines[[#This Row],[Picked Qty]]=""),"",IPRF_Lines[[#This Row],[Requested Qty]]-IPRF_Lines[[#This Row],[Picked Qty]])</f>
        <v/>
      </c>
      <c r="M340" s="18" t="str" cm="1">
        <f t="array" ref="M340">IF(
    OR(IPRF_Lines[[#This Row],[Item Description]]="",IPRF_Lines[[#This Row],[Requested Qty]]="",IPRF_Lines[[#This Row],[Unit]]=""),
    "",UPPER(IPRF_Header[Request number] &amp; "-" &amp; IPRF_Lines[[#This Row],[Line num]]))</f>
        <v/>
      </c>
      <c r="N340" s="19" t="str" cm="1">
        <f t="array" ref="N3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IF(OR(IPRF_Lines[[#This Row],[Requested Qty]]="",IPRF_Lines[[#This Row],[Picked Qty]]=""),"",IPRF_Lines[[#This Row],[Requested Qty]]-IPRF_Lines[[#This Row],[Picked Qty]])</f>
        <v/>
      </c>
      <c r="M341" s="18" t="str" cm="1">
        <f t="array" ref="M341">IF(
    OR(IPRF_Lines[[#This Row],[Item Description]]="",IPRF_Lines[[#This Row],[Requested Qty]]="",IPRF_Lines[[#This Row],[Unit]]=""),
    "",UPPER(IPRF_Header[Request number] &amp; "-" &amp; IPRF_Lines[[#This Row],[Line num]]))</f>
        <v/>
      </c>
      <c r="N341" s="19" t="str" cm="1">
        <f t="array" ref="N3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IF(OR(IPRF_Lines[[#This Row],[Requested Qty]]="",IPRF_Lines[[#This Row],[Picked Qty]]=""),"",IPRF_Lines[[#This Row],[Requested Qty]]-IPRF_Lines[[#This Row],[Picked Qty]])</f>
        <v/>
      </c>
      <c r="M342" s="18" t="str" cm="1">
        <f t="array" ref="M342">IF(
    OR(IPRF_Lines[[#This Row],[Item Description]]="",IPRF_Lines[[#This Row],[Requested Qty]]="",IPRF_Lines[[#This Row],[Unit]]=""),
    "",UPPER(IPRF_Header[Request number] &amp; "-" &amp; IPRF_Lines[[#This Row],[Line num]]))</f>
        <v/>
      </c>
      <c r="N342" s="19" t="str" cm="1">
        <f t="array" ref="N3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IF(OR(IPRF_Lines[[#This Row],[Requested Qty]]="",IPRF_Lines[[#This Row],[Picked Qty]]=""),"",IPRF_Lines[[#This Row],[Requested Qty]]-IPRF_Lines[[#This Row],[Picked Qty]])</f>
        <v/>
      </c>
      <c r="M343" s="18" t="str" cm="1">
        <f t="array" ref="M343">IF(
    OR(IPRF_Lines[[#This Row],[Item Description]]="",IPRF_Lines[[#This Row],[Requested Qty]]="",IPRF_Lines[[#This Row],[Unit]]=""),
    "",UPPER(IPRF_Header[Request number] &amp; "-" &amp; IPRF_Lines[[#This Row],[Line num]]))</f>
        <v/>
      </c>
      <c r="N343" s="19" t="str" cm="1">
        <f t="array" ref="N3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IF(OR(IPRF_Lines[[#This Row],[Requested Qty]]="",IPRF_Lines[[#This Row],[Picked Qty]]=""),"",IPRF_Lines[[#This Row],[Requested Qty]]-IPRF_Lines[[#This Row],[Picked Qty]])</f>
        <v/>
      </c>
      <c r="M344" s="18" t="str" cm="1">
        <f t="array" ref="M344">IF(
    OR(IPRF_Lines[[#This Row],[Item Description]]="",IPRF_Lines[[#This Row],[Requested Qty]]="",IPRF_Lines[[#This Row],[Unit]]=""),
    "",UPPER(IPRF_Header[Request number] &amp; "-" &amp; IPRF_Lines[[#This Row],[Line num]]))</f>
        <v/>
      </c>
      <c r="N344" s="19" t="str" cm="1">
        <f t="array" ref="N3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IF(OR(IPRF_Lines[[#This Row],[Requested Qty]]="",IPRF_Lines[[#This Row],[Picked Qty]]=""),"",IPRF_Lines[[#This Row],[Requested Qty]]-IPRF_Lines[[#This Row],[Picked Qty]])</f>
        <v/>
      </c>
      <c r="M345" s="18" t="str" cm="1">
        <f t="array" ref="M345">IF(
    OR(IPRF_Lines[[#This Row],[Item Description]]="",IPRF_Lines[[#This Row],[Requested Qty]]="",IPRF_Lines[[#This Row],[Unit]]=""),
    "",UPPER(IPRF_Header[Request number] &amp; "-" &amp; IPRF_Lines[[#This Row],[Line num]]))</f>
        <v/>
      </c>
      <c r="N345" s="19" t="str" cm="1">
        <f t="array" ref="N3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IF(OR(IPRF_Lines[[#This Row],[Requested Qty]]="",IPRF_Lines[[#This Row],[Picked Qty]]=""),"",IPRF_Lines[[#This Row],[Requested Qty]]-IPRF_Lines[[#This Row],[Picked Qty]])</f>
        <v/>
      </c>
      <c r="M346" s="18" t="str" cm="1">
        <f t="array" ref="M346">IF(
    OR(IPRF_Lines[[#This Row],[Item Description]]="",IPRF_Lines[[#This Row],[Requested Qty]]="",IPRF_Lines[[#This Row],[Unit]]=""),
    "",UPPER(IPRF_Header[Request number] &amp; "-" &amp; IPRF_Lines[[#This Row],[Line num]]))</f>
        <v/>
      </c>
      <c r="N346" s="19" t="str" cm="1">
        <f t="array" ref="N3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IF(OR(IPRF_Lines[[#This Row],[Requested Qty]]="",IPRF_Lines[[#This Row],[Picked Qty]]=""),"",IPRF_Lines[[#This Row],[Requested Qty]]-IPRF_Lines[[#This Row],[Picked Qty]])</f>
        <v/>
      </c>
      <c r="M347" s="18" t="str" cm="1">
        <f t="array" ref="M347">IF(
    OR(IPRF_Lines[[#This Row],[Item Description]]="",IPRF_Lines[[#This Row],[Requested Qty]]="",IPRF_Lines[[#This Row],[Unit]]=""),
    "",UPPER(IPRF_Header[Request number] &amp; "-" &amp; IPRF_Lines[[#This Row],[Line num]]))</f>
        <v/>
      </c>
      <c r="N347" s="19" t="str" cm="1">
        <f t="array" ref="N3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IF(OR(IPRF_Lines[[#This Row],[Requested Qty]]="",IPRF_Lines[[#This Row],[Picked Qty]]=""),"",IPRF_Lines[[#This Row],[Requested Qty]]-IPRF_Lines[[#This Row],[Picked Qty]])</f>
        <v/>
      </c>
      <c r="M348" s="18" t="str" cm="1">
        <f t="array" ref="M348">IF(
    OR(IPRF_Lines[[#This Row],[Item Description]]="",IPRF_Lines[[#This Row],[Requested Qty]]="",IPRF_Lines[[#This Row],[Unit]]=""),
    "",UPPER(IPRF_Header[Request number] &amp; "-" &amp; IPRF_Lines[[#This Row],[Line num]]))</f>
        <v/>
      </c>
      <c r="N348" s="19" t="str" cm="1">
        <f t="array" ref="N3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IF(OR(IPRF_Lines[[#This Row],[Requested Qty]]="",IPRF_Lines[[#This Row],[Picked Qty]]=""),"",IPRF_Lines[[#This Row],[Requested Qty]]-IPRF_Lines[[#This Row],[Picked Qty]])</f>
        <v/>
      </c>
      <c r="M349" s="18" t="str" cm="1">
        <f t="array" ref="M349">IF(
    OR(IPRF_Lines[[#This Row],[Item Description]]="",IPRF_Lines[[#This Row],[Requested Qty]]="",IPRF_Lines[[#This Row],[Unit]]=""),
    "",UPPER(IPRF_Header[Request number] &amp; "-" &amp; IPRF_Lines[[#This Row],[Line num]]))</f>
        <v/>
      </c>
      <c r="N349" s="19" t="str" cm="1">
        <f t="array" ref="N3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IF(OR(IPRF_Lines[[#This Row],[Requested Qty]]="",IPRF_Lines[[#This Row],[Picked Qty]]=""),"",IPRF_Lines[[#This Row],[Requested Qty]]-IPRF_Lines[[#This Row],[Picked Qty]])</f>
        <v/>
      </c>
      <c r="M350" s="18" t="str" cm="1">
        <f t="array" ref="M350">IF(
    OR(IPRF_Lines[[#This Row],[Item Description]]="",IPRF_Lines[[#This Row],[Requested Qty]]="",IPRF_Lines[[#This Row],[Unit]]=""),
    "",UPPER(IPRF_Header[Request number] &amp; "-" &amp; IPRF_Lines[[#This Row],[Line num]]))</f>
        <v/>
      </c>
      <c r="N350" s="19" t="str" cm="1">
        <f t="array" ref="N3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IF(OR(IPRF_Lines[[#This Row],[Requested Qty]]="",IPRF_Lines[[#This Row],[Picked Qty]]=""),"",IPRF_Lines[[#This Row],[Requested Qty]]-IPRF_Lines[[#This Row],[Picked Qty]])</f>
        <v/>
      </c>
      <c r="M351" s="18" t="str" cm="1">
        <f t="array" ref="M351">IF(
    OR(IPRF_Lines[[#This Row],[Item Description]]="",IPRF_Lines[[#This Row],[Requested Qty]]="",IPRF_Lines[[#This Row],[Unit]]=""),
    "",UPPER(IPRF_Header[Request number] &amp; "-" &amp; IPRF_Lines[[#This Row],[Line num]]))</f>
        <v/>
      </c>
      <c r="N351" s="19" t="str" cm="1">
        <f t="array" ref="N3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IF(OR(IPRF_Lines[[#This Row],[Requested Qty]]="",IPRF_Lines[[#This Row],[Picked Qty]]=""),"",IPRF_Lines[[#This Row],[Requested Qty]]-IPRF_Lines[[#This Row],[Picked Qty]])</f>
        <v/>
      </c>
      <c r="M352" s="18" t="str" cm="1">
        <f t="array" ref="M352">IF(
    OR(IPRF_Lines[[#This Row],[Item Description]]="",IPRF_Lines[[#This Row],[Requested Qty]]="",IPRF_Lines[[#This Row],[Unit]]=""),
    "",UPPER(IPRF_Header[Request number] &amp; "-" &amp; IPRF_Lines[[#This Row],[Line num]]))</f>
        <v/>
      </c>
      <c r="N352" s="19" t="str" cm="1">
        <f t="array" ref="N3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IF(OR(IPRF_Lines[[#This Row],[Requested Qty]]="",IPRF_Lines[[#This Row],[Picked Qty]]=""),"",IPRF_Lines[[#This Row],[Requested Qty]]-IPRF_Lines[[#This Row],[Picked Qty]])</f>
        <v/>
      </c>
      <c r="M353" s="18" t="str" cm="1">
        <f t="array" ref="M353">IF(
    OR(IPRF_Lines[[#This Row],[Item Description]]="",IPRF_Lines[[#This Row],[Requested Qty]]="",IPRF_Lines[[#This Row],[Unit]]=""),
    "",UPPER(IPRF_Header[Request number] &amp; "-" &amp; IPRF_Lines[[#This Row],[Line num]]))</f>
        <v/>
      </c>
      <c r="N353" s="19" t="str" cm="1">
        <f t="array" ref="N3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IF(OR(IPRF_Lines[[#This Row],[Requested Qty]]="",IPRF_Lines[[#This Row],[Picked Qty]]=""),"",IPRF_Lines[[#This Row],[Requested Qty]]-IPRF_Lines[[#This Row],[Picked Qty]])</f>
        <v/>
      </c>
      <c r="M354" s="18" t="str" cm="1">
        <f t="array" ref="M354">IF(
    OR(IPRF_Lines[[#This Row],[Item Description]]="",IPRF_Lines[[#This Row],[Requested Qty]]="",IPRF_Lines[[#This Row],[Unit]]=""),
    "",UPPER(IPRF_Header[Request number] &amp; "-" &amp; IPRF_Lines[[#This Row],[Line num]]))</f>
        <v/>
      </c>
      <c r="N354" s="19" t="str" cm="1">
        <f t="array" ref="N3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IF(OR(IPRF_Lines[[#This Row],[Requested Qty]]="",IPRF_Lines[[#This Row],[Picked Qty]]=""),"",IPRF_Lines[[#This Row],[Requested Qty]]-IPRF_Lines[[#This Row],[Picked Qty]])</f>
        <v/>
      </c>
      <c r="M355" s="18" t="str" cm="1">
        <f t="array" ref="M355">IF(
    OR(IPRF_Lines[[#This Row],[Item Description]]="",IPRF_Lines[[#This Row],[Requested Qty]]="",IPRF_Lines[[#This Row],[Unit]]=""),
    "",UPPER(IPRF_Header[Request number] &amp; "-" &amp; IPRF_Lines[[#This Row],[Line num]]))</f>
        <v/>
      </c>
      <c r="N355" s="19" t="str" cm="1">
        <f t="array" ref="N3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IF(OR(IPRF_Lines[[#This Row],[Requested Qty]]="",IPRF_Lines[[#This Row],[Picked Qty]]=""),"",IPRF_Lines[[#This Row],[Requested Qty]]-IPRF_Lines[[#This Row],[Picked Qty]])</f>
        <v/>
      </c>
      <c r="M356" s="18" t="str" cm="1">
        <f t="array" ref="M356">IF(
    OR(IPRF_Lines[[#This Row],[Item Description]]="",IPRF_Lines[[#This Row],[Requested Qty]]="",IPRF_Lines[[#This Row],[Unit]]=""),
    "",UPPER(IPRF_Header[Request number] &amp; "-" &amp; IPRF_Lines[[#This Row],[Line num]]))</f>
        <v/>
      </c>
      <c r="N356" s="19" t="str" cm="1">
        <f t="array" ref="N3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IF(OR(IPRF_Lines[[#This Row],[Requested Qty]]="",IPRF_Lines[[#This Row],[Picked Qty]]=""),"",IPRF_Lines[[#This Row],[Requested Qty]]-IPRF_Lines[[#This Row],[Picked Qty]])</f>
        <v/>
      </c>
      <c r="M357" s="18" t="str" cm="1">
        <f t="array" ref="M357">IF(
    OR(IPRF_Lines[[#This Row],[Item Description]]="",IPRF_Lines[[#This Row],[Requested Qty]]="",IPRF_Lines[[#This Row],[Unit]]=""),
    "",UPPER(IPRF_Header[Request number] &amp; "-" &amp; IPRF_Lines[[#This Row],[Line num]]))</f>
        <v/>
      </c>
      <c r="N357" s="19" t="str" cm="1">
        <f t="array" ref="N3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IF(OR(IPRF_Lines[[#This Row],[Requested Qty]]="",IPRF_Lines[[#This Row],[Picked Qty]]=""),"",IPRF_Lines[[#This Row],[Requested Qty]]-IPRF_Lines[[#This Row],[Picked Qty]])</f>
        <v/>
      </c>
      <c r="M358" s="18" t="str" cm="1">
        <f t="array" ref="M358">IF(
    OR(IPRF_Lines[[#This Row],[Item Description]]="",IPRF_Lines[[#This Row],[Requested Qty]]="",IPRF_Lines[[#This Row],[Unit]]=""),
    "",UPPER(IPRF_Header[Request number] &amp; "-" &amp; IPRF_Lines[[#This Row],[Line num]]))</f>
        <v/>
      </c>
      <c r="N358" s="19" t="str" cm="1">
        <f t="array" ref="N3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IF(OR(IPRF_Lines[[#This Row],[Requested Qty]]="",IPRF_Lines[[#This Row],[Picked Qty]]=""),"",IPRF_Lines[[#This Row],[Requested Qty]]-IPRF_Lines[[#This Row],[Picked Qty]])</f>
        <v/>
      </c>
      <c r="M359" s="18" t="str" cm="1">
        <f t="array" ref="M359">IF(
    OR(IPRF_Lines[[#This Row],[Item Description]]="",IPRF_Lines[[#This Row],[Requested Qty]]="",IPRF_Lines[[#This Row],[Unit]]=""),
    "",UPPER(IPRF_Header[Request number] &amp; "-" &amp; IPRF_Lines[[#This Row],[Line num]]))</f>
        <v/>
      </c>
      <c r="N359" s="19" t="str" cm="1">
        <f t="array" ref="N3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IF(OR(IPRF_Lines[[#This Row],[Requested Qty]]="",IPRF_Lines[[#This Row],[Picked Qty]]=""),"",IPRF_Lines[[#This Row],[Requested Qty]]-IPRF_Lines[[#This Row],[Picked Qty]])</f>
        <v/>
      </c>
      <c r="M360" s="18" t="str" cm="1">
        <f t="array" ref="M360">IF(
    OR(IPRF_Lines[[#This Row],[Item Description]]="",IPRF_Lines[[#This Row],[Requested Qty]]="",IPRF_Lines[[#This Row],[Unit]]=""),
    "",UPPER(IPRF_Header[Request number] &amp; "-" &amp; IPRF_Lines[[#This Row],[Line num]]))</f>
        <v/>
      </c>
      <c r="N360" s="19" t="str" cm="1">
        <f t="array" ref="N3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IF(OR(IPRF_Lines[[#This Row],[Requested Qty]]="",IPRF_Lines[[#This Row],[Picked Qty]]=""),"",IPRF_Lines[[#This Row],[Requested Qty]]-IPRF_Lines[[#This Row],[Picked Qty]])</f>
        <v/>
      </c>
      <c r="M361" s="18" t="str" cm="1">
        <f t="array" ref="M361">IF(
    OR(IPRF_Lines[[#This Row],[Item Description]]="",IPRF_Lines[[#This Row],[Requested Qty]]="",IPRF_Lines[[#This Row],[Unit]]=""),
    "",UPPER(IPRF_Header[Request number] &amp; "-" &amp; IPRF_Lines[[#This Row],[Line num]]))</f>
        <v/>
      </c>
      <c r="N361" s="19" t="str" cm="1">
        <f t="array" ref="N3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IF(OR(IPRF_Lines[[#This Row],[Requested Qty]]="",IPRF_Lines[[#This Row],[Picked Qty]]=""),"",IPRF_Lines[[#This Row],[Requested Qty]]-IPRF_Lines[[#This Row],[Picked Qty]])</f>
        <v/>
      </c>
      <c r="M362" s="18" t="str" cm="1">
        <f t="array" ref="M362">IF(
    OR(IPRF_Lines[[#This Row],[Item Description]]="",IPRF_Lines[[#This Row],[Requested Qty]]="",IPRF_Lines[[#This Row],[Unit]]=""),
    "",UPPER(IPRF_Header[Request number] &amp; "-" &amp; IPRF_Lines[[#This Row],[Line num]]))</f>
        <v/>
      </c>
      <c r="N362" s="19" t="str" cm="1">
        <f t="array" ref="N3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IF(OR(IPRF_Lines[[#This Row],[Requested Qty]]="",IPRF_Lines[[#This Row],[Picked Qty]]=""),"",IPRF_Lines[[#This Row],[Requested Qty]]-IPRF_Lines[[#This Row],[Picked Qty]])</f>
        <v/>
      </c>
      <c r="M363" s="18" t="str" cm="1">
        <f t="array" ref="M363">IF(
    OR(IPRF_Lines[[#This Row],[Item Description]]="",IPRF_Lines[[#This Row],[Requested Qty]]="",IPRF_Lines[[#This Row],[Unit]]=""),
    "",UPPER(IPRF_Header[Request number] &amp; "-" &amp; IPRF_Lines[[#This Row],[Line num]]))</f>
        <v/>
      </c>
      <c r="N363" s="19" t="str" cm="1">
        <f t="array" ref="N3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IF(OR(IPRF_Lines[[#This Row],[Requested Qty]]="",IPRF_Lines[[#This Row],[Picked Qty]]=""),"",IPRF_Lines[[#This Row],[Requested Qty]]-IPRF_Lines[[#This Row],[Picked Qty]])</f>
        <v/>
      </c>
      <c r="M364" s="18" t="str" cm="1">
        <f t="array" ref="M364">IF(
    OR(IPRF_Lines[[#This Row],[Item Description]]="",IPRF_Lines[[#This Row],[Requested Qty]]="",IPRF_Lines[[#This Row],[Unit]]=""),
    "",UPPER(IPRF_Header[Request number] &amp; "-" &amp; IPRF_Lines[[#This Row],[Line num]]))</f>
        <v/>
      </c>
      <c r="N364" s="19" t="str" cm="1">
        <f t="array" ref="N3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IF(OR(IPRF_Lines[[#This Row],[Requested Qty]]="",IPRF_Lines[[#This Row],[Picked Qty]]=""),"",IPRF_Lines[[#This Row],[Requested Qty]]-IPRF_Lines[[#This Row],[Picked Qty]])</f>
        <v/>
      </c>
      <c r="M365" s="18" t="str" cm="1">
        <f t="array" ref="M365">IF(
    OR(IPRF_Lines[[#This Row],[Item Description]]="",IPRF_Lines[[#This Row],[Requested Qty]]="",IPRF_Lines[[#This Row],[Unit]]=""),
    "",UPPER(IPRF_Header[Request number] &amp; "-" &amp; IPRF_Lines[[#This Row],[Line num]]))</f>
        <v/>
      </c>
      <c r="N365" s="19" t="str" cm="1">
        <f t="array" ref="N3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IF(OR(IPRF_Lines[[#This Row],[Requested Qty]]="",IPRF_Lines[[#This Row],[Picked Qty]]=""),"",IPRF_Lines[[#This Row],[Requested Qty]]-IPRF_Lines[[#This Row],[Picked Qty]])</f>
        <v/>
      </c>
      <c r="M366" s="18" t="str" cm="1">
        <f t="array" ref="M366">IF(
    OR(IPRF_Lines[[#This Row],[Item Description]]="",IPRF_Lines[[#This Row],[Requested Qty]]="",IPRF_Lines[[#This Row],[Unit]]=""),
    "",UPPER(IPRF_Header[Request number] &amp; "-" &amp; IPRF_Lines[[#This Row],[Line num]]))</f>
        <v/>
      </c>
      <c r="N366" s="19" t="str" cm="1">
        <f t="array" ref="N3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IF(OR(IPRF_Lines[[#This Row],[Requested Qty]]="",IPRF_Lines[[#This Row],[Picked Qty]]=""),"",IPRF_Lines[[#This Row],[Requested Qty]]-IPRF_Lines[[#This Row],[Picked Qty]])</f>
        <v/>
      </c>
      <c r="M367" s="18" t="str" cm="1">
        <f t="array" ref="M367">IF(
    OR(IPRF_Lines[[#This Row],[Item Description]]="",IPRF_Lines[[#This Row],[Requested Qty]]="",IPRF_Lines[[#This Row],[Unit]]=""),
    "",UPPER(IPRF_Header[Request number] &amp; "-" &amp; IPRF_Lines[[#This Row],[Line num]]))</f>
        <v/>
      </c>
      <c r="N367" s="19" t="str" cm="1">
        <f t="array" ref="N3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IF(OR(IPRF_Lines[[#This Row],[Requested Qty]]="",IPRF_Lines[[#This Row],[Picked Qty]]=""),"",IPRF_Lines[[#This Row],[Requested Qty]]-IPRF_Lines[[#This Row],[Picked Qty]])</f>
        <v/>
      </c>
      <c r="M368" s="18" t="str" cm="1">
        <f t="array" ref="M368">IF(
    OR(IPRF_Lines[[#This Row],[Item Description]]="",IPRF_Lines[[#This Row],[Requested Qty]]="",IPRF_Lines[[#This Row],[Unit]]=""),
    "",UPPER(IPRF_Header[Request number] &amp; "-" &amp; IPRF_Lines[[#This Row],[Line num]]))</f>
        <v/>
      </c>
      <c r="N368" s="19" t="str" cm="1">
        <f t="array" ref="N3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IF(OR(IPRF_Lines[[#This Row],[Requested Qty]]="",IPRF_Lines[[#This Row],[Picked Qty]]=""),"",IPRF_Lines[[#This Row],[Requested Qty]]-IPRF_Lines[[#This Row],[Picked Qty]])</f>
        <v/>
      </c>
      <c r="M369" s="18" t="str" cm="1">
        <f t="array" ref="M369">IF(
    OR(IPRF_Lines[[#This Row],[Item Description]]="",IPRF_Lines[[#This Row],[Requested Qty]]="",IPRF_Lines[[#This Row],[Unit]]=""),
    "",UPPER(IPRF_Header[Request number] &amp; "-" &amp; IPRF_Lines[[#This Row],[Line num]]))</f>
        <v/>
      </c>
      <c r="N369" s="19" t="str" cm="1">
        <f t="array" ref="N3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IF(OR(IPRF_Lines[[#This Row],[Requested Qty]]="",IPRF_Lines[[#This Row],[Picked Qty]]=""),"",IPRF_Lines[[#This Row],[Requested Qty]]-IPRF_Lines[[#This Row],[Picked Qty]])</f>
        <v/>
      </c>
      <c r="M370" s="18" t="str" cm="1">
        <f t="array" ref="M370">IF(
    OR(IPRF_Lines[[#This Row],[Item Description]]="",IPRF_Lines[[#This Row],[Requested Qty]]="",IPRF_Lines[[#This Row],[Unit]]=""),
    "",UPPER(IPRF_Header[Request number] &amp; "-" &amp; IPRF_Lines[[#This Row],[Line num]]))</f>
        <v/>
      </c>
      <c r="N370" s="19" t="str" cm="1">
        <f t="array" ref="N3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IF(OR(IPRF_Lines[[#This Row],[Requested Qty]]="",IPRF_Lines[[#This Row],[Picked Qty]]=""),"",IPRF_Lines[[#This Row],[Requested Qty]]-IPRF_Lines[[#This Row],[Picked Qty]])</f>
        <v/>
      </c>
      <c r="M371" s="18" t="str" cm="1">
        <f t="array" ref="M371">IF(
    OR(IPRF_Lines[[#This Row],[Item Description]]="",IPRF_Lines[[#This Row],[Requested Qty]]="",IPRF_Lines[[#This Row],[Unit]]=""),
    "",UPPER(IPRF_Header[Request number] &amp; "-" &amp; IPRF_Lines[[#This Row],[Line num]]))</f>
        <v/>
      </c>
      <c r="N371" s="19" t="str" cm="1">
        <f t="array" ref="N3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IF(OR(IPRF_Lines[[#This Row],[Requested Qty]]="",IPRF_Lines[[#This Row],[Picked Qty]]=""),"",IPRF_Lines[[#This Row],[Requested Qty]]-IPRF_Lines[[#This Row],[Picked Qty]])</f>
        <v/>
      </c>
      <c r="M372" s="18" t="str" cm="1">
        <f t="array" ref="M372">IF(
    OR(IPRF_Lines[[#This Row],[Item Description]]="",IPRF_Lines[[#This Row],[Requested Qty]]="",IPRF_Lines[[#This Row],[Unit]]=""),
    "",UPPER(IPRF_Header[Request number] &amp; "-" &amp; IPRF_Lines[[#This Row],[Line num]]))</f>
        <v/>
      </c>
      <c r="N372" s="19" t="str" cm="1">
        <f t="array" ref="N3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IF(OR(IPRF_Lines[[#This Row],[Requested Qty]]="",IPRF_Lines[[#This Row],[Picked Qty]]=""),"",IPRF_Lines[[#This Row],[Requested Qty]]-IPRF_Lines[[#This Row],[Picked Qty]])</f>
        <v/>
      </c>
      <c r="M373" s="18" t="str" cm="1">
        <f t="array" ref="M373">IF(
    OR(IPRF_Lines[[#This Row],[Item Description]]="",IPRF_Lines[[#This Row],[Requested Qty]]="",IPRF_Lines[[#This Row],[Unit]]=""),
    "",UPPER(IPRF_Header[Request number] &amp; "-" &amp; IPRF_Lines[[#This Row],[Line num]]))</f>
        <v/>
      </c>
      <c r="N373" s="19" t="str" cm="1">
        <f t="array" ref="N3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IF(OR(IPRF_Lines[[#This Row],[Requested Qty]]="",IPRF_Lines[[#This Row],[Picked Qty]]=""),"",IPRF_Lines[[#This Row],[Requested Qty]]-IPRF_Lines[[#This Row],[Picked Qty]])</f>
        <v/>
      </c>
      <c r="M374" s="18" t="str" cm="1">
        <f t="array" ref="M374">IF(
    OR(IPRF_Lines[[#This Row],[Item Description]]="",IPRF_Lines[[#This Row],[Requested Qty]]="",IPRF_Lines[[#This Row],[Unit]]=""),
    "",UPPER(IPRF_Header[Request number] &amp; "-" &amp; IPRF_Lines[[#This Row],[Line num]]))</f>
        <v/>
      </c>
      <c r="N374" s="19" t="str" cm="1">
        <f t="array" ref="N3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IF(OR(IPRF_Lines[[#This Row],[Requested Qty]]="",IPRF_Lines[[#This Row],[Picked Qty]]=""),"",IPRF_Lines[[#This Row],[Requested Qty]]-IPRF_Lines[[#This Row],[Picked Qty]])</f>
        <v/>
      </c>
      <c r="M375" s="18" t="str" cm="1">
        <f t="array" ref="M375">IF(
    OR(IPRF_Lines[[#This Row],[Item Description]]="",IPRF_Lines[[#This Row],[Requested Qty]]="",IPRF_Lines[[#This Row],[Unit]]=""),
    "",UPPER(IPRF_Header[Request number] &amp; "-" &amp; IPRF_Lines[[#This Row],[Line num]]))</f>
        <v/>
      </c>
      <c r="N375" s="19" t="str" cm="1">
        <f t="array" ref="N3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IF(OR(IPRF_Lines[[#This Row],[Requested Qty]]="",IPRF_Lines[[#This Row],[Picked Qty]]=""),"",IPRF_Lines[[#This Row],[Requested Qty]]-IPRF_Lines[[#This Row],[Picked Qty]])</f>
        <v/>
      </c>
      <c r="M376" s="18" t="str" cm="1">
        <f t="array" ref="M376">IF(
    OR(IPRF_Lines[[#This Row],[Item Description]]="",IPRF_Lines[[#This Row],[Requested Qty]]="",IPRF_Lines[[#This Row],[Unit]]=""),
    "",UPPER(IPRF_Header[Request number] &amp; "-" &amp; IPRF_Lines[[#This Row],[Line num]]))</f>
        <v/>
      </c>
      <c r="N376" s="19" t="str" cm="1">
        <f t="array" ref="N3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IF(OR(IPRF_Lines[[#This Row],[Requested Qty]]="",IPRF_Lines[[#This Row],[Picked Qty]]=""),"",IPRF_Lines[[#This Row],[Requested Qty]]-IPRF_Lines[[#This Row],[Picked Qty]])</f>
        <v/>
      </c>
      <c r="M377" s="18" t="str" cm="1">
        <f t="array" ref="M377">IF(
    OR(IPRF_Lines[[#This Row],[Item Description]]="",IPRF_Lines[[#This Row],[Requested Qty]]="",IPRF_Lines[[#This Row],[Unit]]=""),
    "",UPPER(IPRF_Header[Request number] &amp; "-" &amp; IPRF_Lines[[#This Row],[Line num]]))</f>
        <v/>
      </c>
      <c r="N377" s="19" t="str" cm="1">
        <f t="array" ref="N3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IF(OR(IPRF_Lines[[#This Row],[Requested Qty]]="",IPRF_Lines[[#This Row],[Picked Qty]]=""),"",IPRF_Lines[[#This Row],[Requested Qty]]-IPRF_Lines[[#This Row],[Picked Qty]])</f>
        <v/>
      </c>
      <c r="M378" s="18" t="str" cm="1">
        <f t="array" ref="M378">IF(
    OR(IPRF_Lines[[#This Row],[Item Description]]="",IPRF_Lines[[#This Row],[Requested Qty]]="",IPRF_Lines[[#This Row],[Unit]]=""),
    "",UPPER(IPRF_Header[Request number] &amp; "-" &amp; IPRF_Lines[[#This Row],[Line num]]))</f>
        <v/>
      </c>
      <c r="N378" s="19" t="str" cm="1">
        <f t="array" ref="N3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IF(OR(IPRF_Lines[[#This Row],[Requested Qty]]="",IPRF_Lines[[#This Row],[Picked Qty]]=""),"",IPRF_Lines[[#This Row],[Requested Qty]]-IPRF_Lines[[#This Row],[Picked Qty]])</f>
        <v/>
      </c>
      <c r="M379" s="18" t="str" cm="1">
        <f t="array" ref="M379">IF(
    OR(IPRF_Lines[[#This Row],[Item Description]]="",IPRF_Lines[[#This Row],[Requested Qty]]="",IPRF_Lines[[#This Row],[Unit]]=""),
    "",UPPER(IPRF_Header[Request number] &amp; "-" &amp; IPRF_Lines[[#This Row],[Line num]]))</f>
        <v/>
      </c>
      <c r="N379" s="19" t="str" cm="1">
        <f t="array" ref="N3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IF(OR(IPRF_Lines[[#This Row],[Requested Qty]]="",IPRF_Lines[[#This Row],[Picked Qty]]=""),"",IPRF_Lines[[#This Row],[Requested Qty]]-IPRF_Lines[[#This Row],[Picked Qty]])</f>
        <v/>
      </c>
      <c r="M380" s="18" t="str" cm="1">
        <f t="array" ref="M380">IF(
    OR(IPRF_Lines[[#This Row],[Item Description]]="",IPRF_Lines[[#This Row],[Requested Qty]]="",IPRF_Lines[[#This Row],[Unit]]=""),
    "",UPPER(IPRF_Header[Request number] &amp; "-" &amp; IPRF_Lines[[#This Row],[Line num]]))</f>
        <v/>
      </c>
      <c r="N380" s="19" t="str" cm="1">
        <f t="array" ref="N3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IF(OR(IPRF_Lines[[#This Row],[Requested Qty]]="",IPRF_Lines[[#This Row],[Picked Qty]]=""),"",IPRF_Lines[[#This Row],[Requested Qty]]-IPRF_Lines[[#This Row],[Picked Qty]])</f>
        <v/>
      </c>
      <c r="M381" s="18" t="str" cm="1">
        <f t="array" ref="M381">IF(
    OR(IPRF_Lines[[#This Row],[Item Description]]="",IPRF_Lines[[#This Row],[Requested Qty]]="",IPRF_Lines[[#This Row],[Unit]]=""),
    "",UPPER(IPRF_Header[Request number] &amp; "-" &amp; IPRF_Lines[[#This Row],[Line num]]))</f>
        <v/>
      </c>
      <c r="N381" s="19" t="str" cm="1">
        <f t="array" ref="N3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IF(OR(IPRF_Lines[[#This Row],[Requested Qty]]="",IPRF_Lines[[#This Row],[Picked Qty]]=""),"",IPRF_Lines[[#This Row],[Requested Qty]]-IPRF_Lines[[#This Row],[Picked Qty]])</f>
        <v/>
      </c>
      <c r="M382" s="18" t="str" cm="1">
        <f t="array" ref="M382">IF(
    OR(IPRF_Lines[[#This Row],[Item Description]]="",IPRF_Lines[[#This Row],[Requested Qty]]="",IPRF_Lines[[#This Row],[Unit]]=""),
    "",UPPER(IPRF_Header[Request number] &amp; "-" &amp; IPRF_Lines[[#This Row],[Line num]]))</f>
        <v/>
      </c>
      <c r="N382" s="19" t="str" cm="1">
        <f t="array" ref="N3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IF(OR(IPRF_Lines[[#This Row],[Requested Qty]]="",IPRF_Lines[[#This Row],[Picked Qty]]=""),"",IPRF_Lines[[#This Row],[Requested Qty]]-IPRF_Lines[[#This Row],[Picked Qty]])</f>
        <v/>
      </c>
      <c r="M383" s="18" t="str" cm="1">
        <f t="array" ref="M383">IF(
    OR(IPRF_Lines[[#This Row],[Item Description]]="",IPRF_Lines[[#This Row],[Requested Qty]]="",IPRF_Lines[[#This Row],[Unit]]=""),
    "",UPPER(IPRF_Header[Request number] &amp; "-" &amp; IPRF_Lines[[#This Row],[Line num]]))</f>
        <v/>
      </c>
      <c r="N383" s="19" t="str" cm="1">
        <f t="array" ref="N3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IF(OR(IPRF_Lines[[#This Row],[Requested Qty]]="",IPRF_Lines[[#This Row],[Picked Qty]]=""),"",IPRF_Lines[[#This Row],[Requested Qty]]-IPRF_Lines[[#This Row],[Picked Qty]])</f>
        <v/>
      </c>
      <c r="M384" s="18" t="str" cm="1">
        <f t="array" ref="M384">IF(
    OR(IPRF_Lines[[#This Row],[Item Description]]="",IPRF_Lines[[#This Row],[Requested Qty]]="",IPRF_Lines[[#This Row],[Unit]]=""),
    "",UPPER(IPRF_Header[Request number] &amp; "-" &amp; IPRF_Lines[[#This Row],[Line num]]))</f>
        <v/>
      </c>
      <c r="N384" s="19" t="str" cm="1">
        <f t="array" ref="N3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IF(OR(IPRF_Lines[[#This Row],[Requested Qty]]="",IPRF_Lines[[#This Row],[Picked Qty]]=""),"",IPRF_Lines[[#This Row],[Requested Qty]]-IPRF_Lines[[#This Row],[Picked Qty]])</f>
        <v/>
      </c>
      <c r="M385" s="18" t="str" cm="1">
        <f t="array" ref="M385">IF(
    OR(IPRF_Lines[[#This Row],[Item Description]]="",IPRF_Lines[[#This Row],[Requested Qty]]="",IPRF_Lines[[#This Row],[Unit]]=""),
    "",UPPER(IPRF_Header[Request number] &amp; "-" &amp; IPRF_Lines[[#This Row],[Line num]]))</f>
        <v/>
      </c>
      <c r="N385" s="19" t="str" cm="1">
        <f t="array" ref="N3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IF(OR(IPRF_Lines[[#This Row],[Requested Qty]]="",IPRF_Lines[[#This Row],[Picked Qty]]=""),"",IPRF_Lines[[#This Row],[Requested Qty]]-IPRF_Lines[[#This Row],[Picked Qty]])</f>
        <v/>
      </c>
      <c r="M386" s="18" t="str" cm="1">
        <f t="array" ref="M386">IF(
    OR(IPRF_Lines[[#This Row],[Item Description]]="",IPRF_Lines[[#This Row],[Requested Qty]]="",IPRF_Lines[[#This Row],[Unit]]=""),
    "",UPPER(IPRF_Header[Request number] &amp; "-" &amp; IPRF_Lines[[#This Row],[Line num]]))</f>
        <v/>
      </c>
      <c r="N386" s="19" t="str" cm="1">
        <f t="array" ref="N3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IF(OR(IPRF_Lines[[#This Row],[Requested Qty]]="",IPRF_Lines[[#This Row],[Picked Qty]]=""),"",IPRF_Lines[[#This Row],[Requested Qty]]-IPRF_Lines[[#This Row],[Picked Qty]])</f>
        <v/>
      </c>
      <c r="M387" s="18" t="str" cm="1">
        <f t="array" ref="M387">IF(
    OR(IPRF_Lines[[#This Row],[Item Description]]="",IPRF_Lines[[#This Row],[Requested Qty]]="",IPRF_Lines[[#This Row],[Unit]]=""),
    "",UPPER(IPRF_Header[Request number] &amp; "-" &amp; IPRF_Lines[[#This Row],[Line num]]))</f>
        <v/>
      </c>
      <c r="N387" s="19" t="str" cm="1">
        <f t="array" ref="N3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IF(OR(IPRF_Lines[[#This Row],[Requested Qty]]="",IPRF_Lines[[#This Row],[Picked Qty]]=""),"",IPRF_Lines[[#This Row],[Requested Qty]]-IPRF_Lines[[#This Row],[Picked Qty]])</f>
        <v/>
      </c>
      <c r="M388" s="18" t="str" cm="1">
        <f t="array" ref="M388">IF(
    OR(IPRF_Lines[[#This Row],[Item Description]]="",IPRF_Lines[[#This Row],[Requested Qty]]="",IPRF_Lines[[#This Row],[Unit]]=""),
    "",UPPER(IPRF_Header[Request number] &amp; "-" &amp; IPRF_Lines[[#This Row],[Line num]]))</f>
        <v/>
      </c>
      <c r="N388" s="19" t="str" cm="1">
        <f t="array" ref="N3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IF(OR(IPRF_Lines[[#This Row],[Requested Qty]]="",IPRF_Lines[[#This Row],[Picked Qty]]=""),"",IPRF_Lines[[#This Row],[Requested Qty]]-IPRF_Lines[[#This Row],[Picked Qty]])</f>
        <v/>
      </c>
      <c r="M389" s="18" t="str" cm="1">
        <f t="array" ref="M389">IF(
    OR(IPRF_Lines[[#This Row],[Item Description]]="",IPRF_Lines[[#This Row],[Requested Qty]]="",IPRF_Lines[[#This Row],[Unit]]=""),
    "",UPPER(IPRF_Header[Request number] &amp; "-" &amp; IPRF_Lines[[#This Row],[Line num]]))</f>
        <v/>
      </c>
      <c r="N389" s="19" t="str" cm="1">
        <f t="array" ref="N3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IF(OR(IPRF_Lines[[#This Row],[Requested Qty]]="",IPRF_Lines[[#This Row],[Picked Qty]]=""),"",IPRF_Lines[[#This Row],[Requested Qty]]-IPRF_Lines[[#This Row],[Picked Qty]])</f>
        <v/>
      </c>
      <c r="M390" s="18" t="str" cm="1">
        <f t="array" ref="M390">IF(
    OR(IPRF_Lines[[#This Row],[Item Description]]="",IPRF_Lines[[#This Row],[Requested Qty]]="",IPRF_Lines[[#This Row],[Unit]]=""),
    "",UPPER(IPRF_Header[Request number] &amp; "-" &amp; IPRF_Lines[[#This Row],[Line num]]))</f>
        <v/>
      </c>
      <c r="N390" s="19" t="str" cm="1">
        <f t="array" ref="N3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IF(OR(IPRF_Lines[[#This Row],[Requested Qty]]="",IPRF_Lines[[#This Row],[Picked Qty]]=""),"",IPRF_Lines[[#This Row],[Requested Qty]]-IPRF_Lines[[#This Row],[Picked Qty]])</f>
        <v/>
      </c>
      <c r="M391" s="18" t="str" cm="1">
        <f t="array" ref="M391">IF(
    OR(IPRF_Lines[[#This Row],[Item Description]]="",IPRF_Lines[[#This Row],[Requested Qty]]="",IPRF_Lines[[#This Row],[Unit]]=""),
    "",UPPER(IPRF_Header[Request number] &amp; "-" &amp; IPRF_Lines[[#This Row],[Line num]]))</f>
        <v/>
      </c>
      <c r="N391" s="19" t="str" cm="1">
        <f t="array" ref="N3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IF(OR(IPRF_Lines[[#This Row],[Requested Qty]]="",IPRF_Lines[[#This Row],[Picked Qty]]=""),"",IPRF_Lines[[#This Row],[Requested Qty]]-IPRF_Lines[[#This Row],[Picked Qty]])</f>
        <v/>
      </c>
      <c r="M392" s="18" t="str" cm="1">
        <f t="array" ref="M392">IF(
    OR(IPRF_Lines[[#This Row],[Item Description]]="",IPRF_Lines[[#This Row],[Requested Qty]]="",IPRF_Lines[[#This Row],[Unit]]=""),
    "",UPPER(IPRF_Header[Request number] &amp; "-" &amp; IPRF_Lines[[#This Row],[Line num]]))</f>
        <v/>
      </c>
      <c r="N392" s="19" t="str" cm="1">
        <f t="array" ref="N3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IF(OR(IPRF_Lines[[#This Row],[Requested Qty]]="",IPRF_Lines[[#This Row],[Picked Qty]]=""),"",IPRF_Lines[[#This Row],[Requested Qty]]-IPRF_Lines[[#This Row],[Picked Qty]])</f>
        <v/>
      </c>
      <c r="M393" s="18" t="str" cm="1">
        <f t="array" ref="M393">IF(
    OR(IPRF_Lines[[#This Row],[Item Description]]="",IPRF_Lines[[#This Row],[Requested Qty]]="",IPRF_Lines[[#This Row],[Unit]]=""),
    "",UPPER(IPRF_Header[Request number] &amp; "-" &amp; IPRF_Lines[[#This Row],[Line num]]))</f>
        <v/>
      </c>
      <c r="N393" s="19" t="str" cm="1">
        <f t="array" ref="N3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IF(OR(IPRF_Lines[[#This Row],[Requested Qty]]="",IPRF_Lines[[#This Row],[Picked Qty]]=""),"",IPRF_Lines[[#This Row],[Requested Qty]]-IPRF_Lines[[#This Row],[Picked Qty]])</f>
        <v/>
      </c>
      <c r="M394" s="18" t="str" cm="1">
        <f t="array" ref="M394">IF(
    OR(IPRF_Lines[[#This Row],[Item Description]]="",IPRF_Lines[[#This Row],[Requested Qty]]="",IPRF_Lines[[#This Row],[Unit]]=""),
    "",UPPER(IPRF_Header[Request number] &amp; "-" &amp; IPRF_Lines[[#This Row],[Line num]]))</f>
        <v/>
      </c>
      <c r="N394" s="19" t="str" cm="1">
        <f t="array" ref="N3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IF(OR(IPRF_Lines[[#This Row],[Requested Qty]]="",IPRF_Lines[[#This Row],[Picked Qty]]=""),"",IPRF_Lines[[#This Row],[Requested Qty]]-IPRF_Lines[[#This Row],[Picked Qty]])</f>
        <v/>
      </c>
      <c r="M395" s="18" t="str" cm="1">
        <f t="array" ref="M395">IF(
    OR(IPRF_Lines[[#This Row],[Item Description]]="",IPRF_Lines[[#This Row],[Requested Qty]]="",IPRF_Lines[[#This Row],[Unit]]=""),
    "",UPPER(IPRF_Header[Request number] &amp; "-" &amp; IPRF_Lines[[#This Row],[Line num]]))</f>
        <v/>
      </c>
      <c r="N395" s="19" t="str" cm="1">
        <f t="array" ref="N3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IF(OR(IPRF_Lines[[#This Row],[Requested Qty]]="",IPRF_Lines[[#This Row],[Picked Qty]]=""),"",IPRF_Lines[[#This Row],[Requested Qty]]-IPRF_Lines[[#This Row],[Picked Qty]])</f>
        <v/>
      </c>
      <c r="M396" s="18" t="str" cm="1">
        <f t="array" ref="M396">IF(
    OR(IPRF_Lines[[#This Row],[Item Description]]="",IPRF_Lines[[#This Row],[Requested Qty]]="",IPRF_Lines[[#This Row],[Unit]]=""),
    "",UPPER(IPRF_Header[Request number] &amp; "-" &amp; IPRF_Lines[[#This Row],[Line num]]))</f>
        <v/>
      </c>
      <c r="N396" s="19" t="str" cm="1">
        <f t="array" ref="N3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IF(OR(IPRF_Lines[[#This Row],[Requested Qty]]="",IPRF_Lines[[#This Row],[Picked Qty]]=""),"",IPRF_Lines[[#This Row],[Requested Qty]]-IPRF_Lines[[#This Row],[Picked Qty]])</f>
        <v/>
      </c>
      <c r="M397" s="18" t="str" cm="1">
        <f t="array" ref="M397">IF(
    OR(IPRF_Lines[[#This Row],[Item Description]]="",IPRF_Lines[[#This Row],[Requested Qty]]="",IPRF_Lines[[#This Row],[Unit]]=""),
    "",UPPER(IPRF_Header[Request number] &amp; "-" &amp; IPRF_Lines[[#This Row],[Line num]]))</f>
        <v/>
      </c>
      <c r="N397" s="19" t="str" cm="1">
        <f t="array" ref="N3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IF(OR(IPRF_Lines[[#This Row],[Requested Qty]]="",IPRF_Lines[[#This Row],[Picked Qty]]=""),"",IPRF_Lines[[#This Row],[Requested Qty]]-IPRF_Lines[[#This Row],[Picked Qty]])</f>
        <v/>
      </c>
      <c r="M398" s="18" t="str" cm="1">
        <f t="array" ref="M398">IF(
    OR(IPRF_Lines[[#This Row],[Item Description]]="",IPRF_Lines[[#This Row],[Requested Qty]]="",IPRF_Lines[[#This Row],[Unit]]=""),
    "",UPPER(IPRF_Header[Request number] &amp; "-" &amp; IPRF_Lines[[#This Row],[Line num]]))</f>
        <v/>
      </c>
      <c r="N398" s="19" t="str" cm="1">
        <f t="array" ref="N3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IF(OR(IPRF_Lines[[#This Row],[Requested Qty]]="",IPRF_Lines[[#This Row],[Picked Qty]]=""),"",IPRF_Lines[[#This Row],[Requested Qty]]-IPRF_Lines[[#This Row],[Picked Qty]])</f>
        <v/>
      </c>
      <c r="M399" s="18" t="str" cm="1">
        <f t="array" ref="M399">IF(
    OR(IPRF_Lines[[#This Row],[Item Description]]="",IPRF_Lines[[#This Row],[Requested Qty]]="",IPRF_Lines[[#This Row],[Unit]]=""),
    "",UPPER(IPRF_Header[Request number] &amp; "-" &amp; IPRF_Lines[[#This Row],[Line num]]))</f>
        <v/>
      </c>
      <c r="N399" s="19" t="str" cm="1">
        <f t="array" ref="N3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IF(OR(IPRF_Lines[[#This Row],[Requested Qty]]="",IPRF_Lines[[#This Row],[Picked Qty]]=""),"",IPRF_Lines[[#This Row],[Requested Qty]]-IPRF_Lines[[#This Row],[Picked Qty]])</f>
        <v/>
      </c>
      <c r="M400" s="18" t="str" cm="1">
        <f t="array" ref="M400">IF(
    OR(IPRF_Lines[[#This Row],[Item Description]]="",IPRF_Lines[[#This Row],[Requested Qty]]="",IPRF_Lines[[#This Row],[Unit]]=""),
    "",UPPER(IPRF_Header[Request number] &amp; "-" &amp; IPRF_Lines[[#This Row],[Line num]]))</f>
        <v/>
      </c>
      <c r="N400" s="19" t="str" cm="1">
        <f t="array" ref="N4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IF(OR(IPRF_Lines[[#This Row],[Requested Qty]]="",IPRF_Lines[[#This Row],[Picked Qty]]=""),"",IPRF_Lines[[#This Row],[Requested Qty]]-IPRF_Lines[[#This Row],[Picked Qty]])</f>
        <v/>
      </c>
      <c r="M401" s="18" t="str" cm="1">
        <f t="array" ref="M401">IF(
    OR(IPRF_Lines[[#This Row],[Item Description]]="",IPRF_Lines[[#This Row],[Requested Qty]]="",IPRF_Lines[[#This Row],[Unit]]=""),
    "",UPPER(IPRF_Header[Request number] &amp; "-" &amp; IPRF_Lines[[#This Row],[Line num]]))</f>
        <v/>
      </c>
      <c r="N401" s="19" t="str" cm="1">
        <f t="array" ref="N4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IF(OR(IPRF_Lines[[#This Row],[Requested Qty]]="",IPRF_Lines[[#This Row],[Picked Qty]]=""),"",IPRF_Lines[[#This Row],[Requested Qty]]-IPRF_Lines[[#This Row],[Picked Qty]])</f>
        <v/>
      </c>
      <c r="M402" s="18" t="str" cm="1">
        <f t="array" ref="M402">IF(
    OR(IPRF_Lines[[#This Row],[Item Description]]="",IPRF_Lines[[#This Row],[Requested Qty]]="",IPRF_Lines[[#This Row],[Unit]]=""),
    "",UPPER(IPRF_Header[Request number] &amp; "-" &amp; IPRF_Lines[[#This Row],[Line num]]))</f>
        <v/>
      </c>
      <c r="N402" s="19" t="str" cm="1">
        <f t="array" ref="N4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IF(OR(IPRF_Lines[[#This Row],[Requested Qty]]="",IPRF_Lines[[#This Row],[Picked Qty]]=""),"",IPRF_Lines[[#This Row],[Requested Qty]]-IPRF_Lines[[#This Row],[Picked Qty]])</f>
        <v/>
      </c>
      <c r="M403" s="18" t="str" cm="1">
        <f t="array" ref="M403">IF(
    OR(IPRF_Lines[[#This Row],[Item Description]]="",IPRF_Lines[[#This Row],[Requested Qty]]="",IPRF_Lines[[#This Row],[Unit]]=""),
    "",UPPER(IPRF_Header[Request number] &amp; "-" &amp; IPRF_Lines[[#This Row],[Line num]]))</f>
        <v/>
      </c>
      <c r="N403" s="19" t="str" cm="1">
        <f t="array" ref="N4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IF(OR(IPRF_Lines[[#This Row],[Requested Qty]]="",IPRF_Lines[[#This Row],[Picked Qty]]=""),"",IPRF_Lines[[#This Row],[Requested Qty]]-IPRF_Lines[[#This Row],[Picked Qty]])</f>
        <v/>
      </c>
      <c r="M404" s="18" t="str" cm="1">
        <f t="array" ref="M404">IF(
    OR(IPRF_Lines[[#This Row],[Item Description]]="",IPRF_Lines[[#This Row],[Requested Qty]]="",IPRF_Lines[[#This Row],[Unit]]=""),
    "",UPPER(IPRF_Header[Request number] &amp; "-" &amp; IPRF_Lines[[#This Row],[Line num]]))</f>
        <v/>
      </c>
      <c r="N404" s="19" t="str" cm="1">
        <f t="array" ref="N4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IF(OR(IPRF_Lines[[#This Row],[Requested Qty]]="",IPRF_Lines[[#This Row],[Picked Qty]]=""),"",IPRF_Lines[[#This Row],[Requested Qty]]-IPRF_Lines[[#This Row],[Picked Qty]])</f>
        <v/>
      </c>
      <c r="M405" s="18" t="str" cm="1">
        <f t="array" ref="M405">IF(
    OR(IPRF_Lines[[#This Row],[Item Description]]="",IPRF_Lines[[#This Row],[Requested Qty]]="",IPRF_Lines[[#This Row],[Unit]]=""),
    "",UPPER(IPRF_Header[Request number] &amp; "-" &amp; IPRF_Lines[[#This Row],[Line num]]))</f>
        <v/>
      </c>
      <c r="N405" s="19" t="str" cm="1">
        <f t="array" ref="N4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IF(OR(IPRF_Lines[[#This Row],[Requested Qty]]="",IPRF_Lines[[#This Row],[Picked Qty]]=""),"",IPRF_Lines[[#This Row],[Requested Qty]]-IPRF_Lines[[#This Row],[Picked Qty]])</f>
        <v/>
      </c>
      <c r="M406" s="18" t="str" cm="1">
        <f t="array" ref="M406">IF(
    OR(IPRF_Lines[[#This Row],[Item Description]]="",IPRF_Lines[[#This Row],[Requested Qty]]="",IPRF_Lines[[#This Row],[Unit]]=""),
    "",UPPER(IPRF_Header[Request number] &amp; "-" &amp; IPRF_Lines[[#This Row],[Line num]]))</f>
        <v/>
      </c>
      <c r="N406" s="19" t="str" cm="1">
        <f t="array" ref="N4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IF(OR(IPRF_Lines[[#This Row],[Requested Qty]]="",IPRF_Lines[[#This Row],[Picked Qty]]=""),"",IPRF_Lines[[#This Row],[Requested Qty]]-IPRF_Lines[[#This Row],[Picked Qty]])</f>
        <v/>
      </c>
      <c r="M407" s="18" t="str" cm="1">
        <f t="array" ref="M407">IF(
    OR(IPRF_Lines[[#This Row],[Item Description]]="",IPRF_Lines[[#This Row],[Requested Qty]]="",IPRF_Lines[[#This Row],[Unit]]=""),
    "",UPPER(IPRF_Header[Request number] &amp; "-" &amp; IPRF_Lines[[#This Row],[Line num]]))</f>
        <v/>
      </c>
      <c r="N407" s="19" t="str" cm="1">
        <f t="array" ref="N4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IF(OR(IPRF_Lines[[#This Row],[Requested Qty]]="",IPRF_Lines[[#This Row],[Picked Qty]]=""),"",IPRF_Lines[[#This Row],[Requested Qty]]-IPRF_Lines[[#This Row],[Picked Qty]])</f>
        <v/>
      </c>
      <c r="M408" s="18" t="str" cm="1">
        <f t="array" ref="M408">IF(
    OR(IPRF_Lines[[#This Row],[Item Description]]="",IPRF_Lines[[#This Row],[Requested Qty]]="",IPRF_Lines[[#This Row],[Unit]]=""),
    "",UPPER(IPRF_Header[Request number] &amp; "-" &amp; IPRF_Lines[[#This Row],[Line num]]))</f>
        <v/>
      </c>
      <c r="N408" s="19" t="str" cm="1">
        <f t="array" ref="N4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IF(OR(IPRF_Lines[[#This Row],[Requested Qty]]="",IPRF_Lines[[#This Row],[Picked Qty]]=""),"",IPRF_Lines[[#This Row],[Requested Qty]]-IPRF_Lines[[#This Row],[Picked Qty]])</f>
        <v/>
      </c>
      <c r="M409" s="18" t="str" cm="1">
        <f t="array" ref="M409">IF(
    OR(IPRF_Lines[[#This Row],[Item Description]]="",IPRF_Lines[[#This Row],[Requested Qty]]="",IPRF_Lines[[#This Row],[Unit]]=""),
    "",UPPER(IPRF_Header[Request number] &amp; "-" &amp; IPRF_Lines[[#This Row],[Line num]]))</f>
        <v/>
      </c>
      <c r="N409" s="19" t="str" cm="1">
        <f t="array" ref="N4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IF(OR(IPRF_Lines[[#This Row],[Requested Qty]]="",IPRF_Lines[[#This Row],[Picked Qty]]=""),"",IPRF_Lines[[#This Row],[Requested Qty]]-IPRF_Lines[[#This Row],[Picked Qty]])</f>
        <v/>
      </c>
      <c r="M410" s="18" t="str" cm="1">
        <f t="array" ref="M410">IF(
    OR(IPRF_Lines[[#This Row],[Item Description]]="",IPRF_Lines[[#This Row],[Requested Qty]]="",IPRF_Lines[[#This Row],[Unit]]=""),
    "",UPPER(IPRF_Header[Request number] &amp; "-" &amp; IPRF_Lines[[#This Row],[Line num]]))</f>
        <v/>
      </c>
      <c r="N410" s="19" t="str" cm="1">
        <f t="array" ref="N4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IF(OR(IPRF_Lines[[#This Row],[Requested Qty]]="",IPRF_Lines[[#This Row],[Picked Qty]]=""),"",IPRF_Lines[[#This Row],[Requested Qty]]-IPRF_Lines[[#This Row],[Picked Qty]])</f>
        <v/>
      </c>
      <c r="M411" s="18" t="str" cm="1">
        <f t="array" ref="M411">IF(
    OR(IPRF_Lines[[#This Row],[Item Description]]="",IPRF_Lines[[#This Row],[Requested Qty]]="",IPRF_Lines[[#This Row],[Unit]]=""),
    "",UPPER(IPRF_Header[Request number] &amp; "-" &amp; IPRF_Lines[[#This Row],[Line num]]))</f>
        <v/>
      </c>
      <c r="N411" s="19" t="str" cm="1">
        <f t="array" ref="N4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IF(OR(IPRF_Lines[[#This Row],[Requested Qty]]="",IPRF_Lines[[#This Row],[Picked Qty]]=""),"",IPRF_Lines[[#This Row],[Requested Qty]]-IPRF_Lines[[#This Row],[Picked Qty]])</f>
        <v/>
      </c>
      <c r="M412" s="18" t="str" cm="1">
        <f t="array" ref="M412">IF(
    OR(IPRF_Lines[[#This Row],[Item Description]]="",IPRF_Lines[[#This Row],[Requested Qty]]="",IPRF_Lines[[#This Row],[Unit]]=""),
    "",UPPER(IPRF_Header[Request number] &amp; "-" &amp; IPRF_Lines[[#This Row],[Line num]]))</f>
        <v/>
      </c>
      <c r="N412" s="19" t="str" cm="1">
        <f t="array" ref="N4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IF(OR(IPRF_Lines[[#This Row],[Requested Qty]]="",IPRF_Lines[[#This Row],[Picked Qty]]=""),"",IPRF_Lines[[#This Row],[Requested Qty]]-IPRF_Lines[[#This Row],[Picked Qty]])</f>
        <v/>
      </c>
      <c r="M413" s="18" t="str" cm="1">
        <f t="array" ref="M413">IF(
    OR(IPRF_Lines[[#This Row],[Item Description]]="",IPRF_Lines[[#This Row],[Requested Qty]]="",IPRF_Lines[[#This Row],[Unit]]=""),
    "",UPPER(IPRF_Header[Request number] &amp; "-" &amp; IPRF_Lines[[#This Row],[Line num]]))</f>
        <v/>
      </c>
      <c r="N413" s="19" t="str" cm="1">
        <f t="array" ref="N4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IF(OR(IPRF_Lines[[#This Row],[Requested Qty]]="",IPRF_Lines[[#This Row],[Picked Qty]]=""),"",IPRF_Lines[[#This Row],[Requested Qty]]-IPRF_Lines[[#This Row],[Picked Qty]])</f>
        <v/>
      </c>
      <c r="M414" s="18" t="str" cm="1">
        <f t="array" ref="M414">IF(
    OR(IPRF_Lines[[#This Row],[Item Description]]="",IPRF_Lines[[#This Row],[Requested Qty]]="",IPRF_Lines[[#This Row],[Unit]]=""),
    "",UPPER(IPRF_Header[Request number] &amp; "-" &amp; IPRF_Lines[[#This Row],[Line num]]))</f>
        <v/>
      </c>
      <c r="N414" s="19" t="str" cm="1">
        <f t="array" ref="N4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IF(OR(IPRF_Lines[[#This Row],[Requested Qty]]="",IPRF_Lines[[#This Row],[Picked Qty]]=""),"",IPRF_Lines[[#This Row],[Requested Qty]]-IPRF_Lines[[#This Row],[Picked Qty]])</f>
        <v/>
      </c>
      <c r="M415" s="18" t="str" cm="1">
        <f t="array" ref="M415">IF(
    OR(IPRF_Lines[[#This Row],[Item Description]]="",IPRF_Lines[[#This Row],[Requested Qty]]="",IPRF_Lines[[#This Row],[Unit]]=""),
    "",UPPER(IPRF_Header[Request number] &amp; "-" &amp; IPRF_Lines[[#This Row],[Line num]]))</f>
        <v/>
      </c>
      <c r="N415" s="19" t="str" cm="1">
        <f t="array" ref="N4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IF(OR(IPRF_Lines[[#This Row],[Requested Qty]]="",IPRF_Lines[[#This Row],[Picked Qty]]=""),"",IPRF_Lines[[#This Row],[Requested Qty]]-IPRF_Lines[[#This Row],[Picked Qty]])</f>
        <v/>
      </c>
      <c r="M416" s="18" t="str" cm="1">
        <f t="array" ref="M416">IF(
    OR(IPRF_Lines[[#This Row],[Item Description]]="",IPRF_Lines[[#This Row],[Requested Qty]]="",IPRF_Lines[[#This Row],[Unit]]=""),
    "",UPPER(IPRF_Header[Request number] &amp; "-" &amp; IPRF_Lines[[#This Row],[Line num]]))</f>
        <v/>
      </c>
      <c r="N416" s="19" t="str" cm="1">
        <f t="array" ref="N4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IF(OR(IPRF_Lines[[#This Row],[Requested Qty]]="",IPRF_Lines[[#This Row],[Picked Qty]]=""),"",IPRF_Lines[[#This Row],[Requested Qty]]-IPRF_Lines[[#This Row],[Picked Qty]])</f>
        <v/>
      </c>
      <c r="M417" s="18" t="str" cm="1">
        <f t="array" ref="M417">IF(
    OR(IPRF_Lines[[#This Row],[Item Description]]="",IPRF_Lines[[#This Row],[Requested Qty]]="",IPRF_Lines[[#This Row],[Unit]]=""),
    "",UPPER(IPRF_Header[Request number] &amp; "-" &amp; IPRF_Lines[[#This Row],[Line num]]))</f>
        <v/>
      </c>
      <c r="N417" s="19" t="str" cm="1">
        <f t="array" ref="N4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IF(OR(IPRF_Lines[[#This Row],[Requested Qty]]="",IPRF_Lines[[#This Row],[Picked Qty]]=""),"",IPRF_Lines[[#This Row],[Requested Qty]]-IPRF_Lines[[#This Row],[Picked Qty]])</f>
        <v/>
      </c>
      <c r="M418" s="18" t="str" cm="1">
        <f t="array" ref="M418">IF(
    OR(IPRF_Lines[[#This Row],[Item Description]]="",IPRF_Lines[[#This Row],[Requested Qty]]="",IPRF_Lines[[#This Row],[Unit]]=""),
    "",UPPER(IPRF_Header[Request number] &amp; "-" &amp; IPRF_Lines[[#This Row],[Line num]]))</f>
        <v/>
      </c>
      <c r="N418" s="19" t="str" cm="1">
        <f t="array" ref="N4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IF(OR(IPRF_Lines[[#This Row],[Requested Qty]]="",IPRF_Lines[[#This Row],[Picked Qty]]=""),"",IPRF_Lines[[#This Row],[Requested Qty]]-IPRF_Lines[[#This Row],[Picked Qty]])</f>
        <v/>
      </c>
      <c r="M419" s="18" t="str" cm="1">
        <f t="array" ref="M419">IF(
    OR(IPRF_Lines[[#This Row],[Item Description]]="",IPRF_Lines[[#This Row],[Requested Qty]]="",IPRF_Lines[[#This Row],[Unit]]=""),
    "",UPPER(IPRF_Header[Request number] &amp; "-" &amp; IPRF_Lines[[#This Row],[Line num]]))</f>
        <v/>
      </c>
      <c r="N419" s="19" t="str" cm="1">
        <f t="array" ref="N4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IF(OR(IPRF_Lines[[#This Row],[Requested Qty]]="",IPRF_Lines[[#This Row],[Picked Qty]]=""),"",IPRF_Lines[[#This Row],[Requested Qty]]-IPRF_Lines[[#This Row],[Picked Qty]])</f>
        <v/>
      </c>
      <c r="M420" s="18" t="str" cm="1">
        <f t="array" ref="M420">IF(
    OR(IPRF_Lines[[#This Row],[Item Description]]="",IPRF_Lines[[#This Row],[Requested Qty]]="",IPRF_Lines[[#This Row],[Unit]]=""),
    "",UPPER(IPRF_Header[Request number] &amp; "-" &amp; IPRF_Lines[[#This Row],[Line num]]))</f>
        <v/>
      </c>
      <c r="N420" s="19" t="str" cm="1">
        <f t="array" ref="N4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IF(OR(IPRF_Lines[[#This Row],[Requested Qty]]="",IPRF_Lines[[#This Row],[Picked Qty]]=""),"",IPRF_Lines[[#This Row],[Requested Qty]]-IPRF_Lines[[#This Row],[Picked Qty]])</f>
        <v/>
      </c>
      <c r="M421" s="18" t="str" cm="1">
        <f t="array" ref="M421">IF(
    OR(IPRF_Lines[[#This Row],[Item Description]]="",IPRF_Lines[[#This Row],[Requested Qty]]="",IPRF_Lines[[#This Row],[Unit]]=""),
    "",UPPER(IPRF_Header[Request number] &amp; "-" &amp; IPRF_Lines[[#This Row],[Line num]]))</f>
        <v/>
      </c>
      <c r="N421" s="19" t="str" cm="1">
        <f t="array" ref="N4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IF(OR(IPRF_Lines[[#This Row],[Requested Qty]]="",IPRF_Lines[[#This Row],[Picked Qty]]=""),"",IPRF_Lines[[#This Row],[Requested Qty]]-IPRF_Lines[[#This Row],[Picked Qty]])</f>
        <v/>
      </c>
      <c r="M422" s="18" t="str" cm="1">
        <f t="array" ref="M422">IF(
    OR(IPRF_Lines[[#This Row],[Item Description]]="",IPRF_Lines[[#This Row],[Requested Qty]]="",IPRF_Lines[[#This Row],[Unit]]=""),
    "",UPPER(IPRF_Header[Request number] &amp; "-" &amp; IPRF_Lines[[#This Row],[Line num]]))</f>
        <v/>
      </c>
      <c r="N422" s="19" t="str" cm="1">
        <f t="array" ref="N4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IF(OR(IPRF_Lines[[#This Row],[Requested Qty]]="",IPRF_Lines[[#This Row],[Picked Qty]]=""),"",IPRF_Lines[[#This Row],[Requested Qty]]-IPRF_Lines[[#This Row],[Picked Qty]])</f>
        <v/>
      </c>
      <c r="M423" s="18" t="str" cm="1">
        <f t="array" ref="M423">IF(
    OR(IPRF_Lines[[#This Row],[Item Description]]="",IPRF_Lines[[#This Row],[Requested Qty]]="",IPRF_Lines[[#This Row],[Unit]]=""),
    "",UPPER(IPRF_Header[Request number] &amp; "-" &amp; IPRF_Lines[[#This Row],[Line num]]))</f>
        <v/>
      </c>
      <c r="N423" s="19" t="str" cm="1">
        <f t="array" ref="N4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IF(OR(IPRF_Lines[[#This Row],[Requested Qty]]="",IPRF_Lines[[#This Row],[Picked Qty]]=""),"",IPRF_Lines[[#This Row],[Requested Qty]]-IPRF_Lines[[#This Row],[Picked Qty]])</f>
        <v/>
      </c>
      <c r="M424" s="18" t="str" cm="1">
        <f t="array" ref="M424">IF(
    OR(IPRF_Lines[[#This Row],[Item Description]]="",IPRF_Lines[[#This Row],[Requested Qty]]="",IPRF_Lines[[#This Row],[Unit]]=""),
    "",UPPER(IPRF_Header[Request number] &amp; "-" &amp; IPRF_Lines[[#This Row],[Line num]]))</f>
        <v/>
      </c>
      <c r="N424" s="19" t="str" cm="1">
        <f t="array" ref="N4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IF(OR(IPRF_Lines[[#This Row],[Requested Qty]]="",IPRF_Lines[[#This Row],[Picked Qty]]=""),"",IPRF_Lines[[#This Row],[Requested Qty]]-IPRF_Lines[[#This Row],[Picked Qty]])</f>
        <v/>
      </c>
      <c r="M425" s="18" t="str" cm="1">
        <f t="array" ref="M425">IF(
    OR(IPRF_Lines[[#This Row],[Item Description]]="",IPRF_Lines[[#This Row],[Requested Qty]]="",IPRF_Lines[[#This Row],[Unit]]=""),
    "",UPPER(IPRF_Header[Request number] &amp; "-" &amp; IPRF_Lines[[#This Row],[Line num]]))</f>
        <v/>
      </c>
      <c r="N425" s="19" t="str" cm="1">
        <f t="array" ref="N4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IF(OR(IPRF_Lines[[#This Row],[Requested Qty]]="",IPRF_Lines[[#This Row],[Picked Qty]]=""),"",IPRF_Lines[[#This Row],[Requested Qty]]-IPRF_Lines[[#This Row],[Picked Qty]])</f>
        <v/>
      </c>
      <c r="M426" s="18" t="str" cm="1">
        <f t="array" ref="M426">IF(
    OR(IPRF_Lines[[#This Row],[Item Description]]="",IPRF_Lines[[#This Row],[Requested Qty]]="",IPRF_Lines[[#This Row],[Unit]]=""),
    "",UPPER(IPRF_Header[Request number] &amp; "-" &amp; IPRF_Lines[[#This Row],[Line num]]))</f>
        <v/>
      </c>
      <c r="N426" s="19" t="str" cm="1">
        <f t="array" ref="N4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IF(OR(IPRF_Lines[[#This Row],[Requested Qty]]="",IPRF_Lines[[#This Row],[Picked Qty]]=""),"",IPRF_Lines[[#This Row],[Requested Qty]]-IPRF_Lines[[#This Row],[Picked Qty]])</f>
        <v/>
      </c>
      <c r="M427" s="18" t="str" cm="1">
        <f t="array" ref="M427">IF(
    OR(IPRF_Lines[[#This Row],[Item Description]]="",IPRF_Lines[[#This Row],[Requested Qty]]="",IPRF_Lines[[#This Row],[Unit]]=""),
    "",UPPER(IPRF_Header[Request number] &amp; "-" &amp; IPRF_Lines[[#This Row],[Line num]]))</f>
        <v/>
      </c>
      <c r="N427" s="19" t="str" cm="1">
        <f t="array" ref="N4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IF(OR(IPRF_Lines[[#This Row],[Requested Qty]]="",IPRF_Lines[[#This Row],[Picked Qty]]=""),"",IPRF_Lines[[#This Row],[Requested Qty]]-IPRF_Lines[[#This Row],[Picked Qty]])</f>
        <v/>
      </c>
      <c r="M428" s="18" t="str" cm="1">
        <f t="array" ref="M428">IF(
    OR(IPRF_Lines[[#This Row],[Item Description]]="",IPRF_Lines[[#This Row],[Requested Qty]]="",IPRF_Lines[[#This Row],[Unit]]=""),
    "",UPPER(IPRF_Header[Request number] &amp; "-" &amp; IPRF_Lines[[#This Row],[Line num]]))</f>
        <v/>
      </c>
      <c r="N428" s="19" t="str" cm="1">
        <f t="array" ref="N4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IF(OR(IPRF_Lines[[#This Row],[Requested Qty]]="",IPRF_Lines[[#This Row],[Picked Qty]]=""),"",IPRF_Lines[[#This Row],[Requested Qty]]-IPRF_Lines[[#This Row],[Picked Qty]])</f>
        <v/>
      </c>
      <c r="M429" s="18" t="str" cm="1">
        <f t="array" ref="M429">IF(
    OR(IPRF_Lines[[#This Row],[Item Description]]="",IPRF_Lines[[#This Row],[Requested Qty]]="",IPRF_Lines[[#This Row],[Unit]]=""),
    "",UPPER(IPRF_Header[Request number] &amp; "-" &amp; IPRF_Lines[[#This Row],[Line num]]))</f>
        <v/>
      </c>
      <c r="N429" s="19" t="str" cm="1">
        <f t="array" ref="N4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IF(OR(IPRF_Lines[[#This Row],[Requested Qty]]="",IPRF_Lines[[#This Row],[Picked Qty]]=""),"",IPRF_Lines[[#This Row],[Requested Qty]]-IPRF_Lines[[#This Row],[Picked Qty]])</f>
        <v/>
      </c>
      <c r="M430" s="18" t="str" cm="1">
        <f t="array" ref="M430">IF(
    OR(IPRF_Lines[[#This Row],[Item Description]]="",IPRF_Lines[[#This Row],[Requested Qty]]="",IPRF_Lines[[#This Row],[Unit]]=""),
    "",UPPER(IPRF_Header[Request number] &amp; "-" &amp; IPRF_Lines[[#This Row],[Line num]]))</f>
        <v/>
      </c>
      <c r="N430" s="19" t="str" cm="1">
        <f t="array" ref="N4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IF(OR(IPRF_Lines[[#This Row],[Requested Qty]]="",IPRF_Lines[[#This Row],[Picked Qty]]=""),"",IPRF_Lines[[#This Row],[Requested Qty]]-IPRF_Lines[[#This Row],[Picked Qty]])</f>
        <v/>
      </c>
      <c r="M431" s="18" t="str" cm="1">
        <f t="array" ref="M431">IF(
    OR(IPRF_Lines[[#This Row],[Item Description]]="",IPRF_Lines[[#This Row],[Requested Qty]]="",IPRF_Lines[[#This Row],[Unit]]=""),
    "",UPPER(IPRF_Header[Request number] &amp; "-" &amp; IPRF_Lines[[#This Row],[Line num]]))</f>
        <v/>
      </c>
      <c r="N431" s="19" t="str" cm="1">
        <f t="array" ref="N4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IF(OR(IPRF_Lines[[#This Row],[Requested Qty]]="",IPRF_Lines[[#This Row],[Picked Qty]]=""),"",IPRF_Lines[[#This Row],[Requested Qty]]-IPRF_Lines[[#This Row],[Picked Qty]])</f>
        <v/>
      </c>
      <c r="M432" s="18" t="str" cm="1">
        <f t="array" ref="M432">IF(
    OR(IPRF_Lines[[#This Row],[Item Description]]="",IPRF_Lines[[#This Row],[Requested Qty]]="",IPRF_Lines[[#This Row],[Unit]]=""),
    "",UPPER(IPRF_Header[Request number] &amp; "-" &amp; IPRF_Lines[[#This Row],[Line num]]))</f>
        <v/>
      </c>
      <c r="N432" s="19" t="str" cm="1">
        <f t="array" ref="N4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IF(OR(IPRF_Lines[[#This Row],[Requested Qty]]="",IPRF_Lines[[#This Row],[Picked Qty]]=""),"",IPRF_Lines[[#This Row],[Requested Qty]]-IPRF_Lines[[#This Row],[Picked Qty]])</f>
        <v/>
      </c>
      <c r="M433" s="18" t="str" cm="1">
        <f t="array" ref="M433">IF(
    OR(IPRF_Lines[[#This Row],[Item Description]]="",IPRF_Lines[[#This Row],[Requested Qty]]="",IPRF_Lines[[#This Row],[Unit]]=""),
    "",UPPER(IPRF_Header[Request number] &amp; "-" &amp; IPRF_Lines[[#This Row],[Line num]]))</f>
        <v/>
      </c>
      <c r="N433" s="19" t="str" cm="1">
        <f t="array" ref="N4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IF(OR(IPRF_Lines[[#This Row],[Requested Qty]]="",IPRF_Lines[[#This Row],[Picked Qty]]=""),"",IPRF_Lines[[#This Row],[Requested Qty]]-IPRF_Lines[[#This Row],[Picked Qty]])</f>
        <v/>
      </c>
      <c r="M434" s="18" t="str" cm="1">
        <f t="array" ref="M434">IF(
    OR(IPRF_Lines[[#This Row],[Item Description]]="",IPRF_Lines[[#This Row],[Requested Qty]]="",IPRF_Lines[[#This Row],[Unit]]=""),
    "",UPPER(IPRF_Header[Request number] &amp; "-" &amp; IPRF_Lines[[#This Row],[Line num]]))</f>
        <v/>
      </c>
      <c r="N434" s="19" t="str" cm="1">
        <f t="array" ref="N4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IF(OR(IPRF_Lines[[#This Row],[Requested Qty]]="",IPRF_Lines[[#This Row],[Picked Qty]]=""),"",IPRF_Lines[[#This Row],[Requested Qty]]-IPRF_Lines[[#This Row],[Picked Qty]])</f>
        <v/>
      </c>
      <c r="M435" s="18" t="str" cm="1">
        <f t="array" ref="M435">IF(
    OR(IPRF_Lines[[#This Row],[Item Description]]="",IPRF_Lines[[#This Row],[Requested Qty]]="",IPRF_Lines[[#This Row],[Unit]]=""),
    "",UPPER(IPRF_Header[Request number] &amp; "-" &amp; IPRF_Lines[[#This Row],[Line num]]))</f>
        <v/>
      </c>
      <c r="N435" s="19" t="str" cm="1">
        <f t="array" ref="N4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IF(OR(IPRF_Lines[[#This Row],[Requested Qty]]="",IPRF_Lines[[#This Row],[Picked Qty]]=""),"",IPRF_Lines[[#This Row],[Requested Qty]]-IPRF_Lines[[#This Row],[Picked Qty]])</f>
        <v/>
      </c>
      <c r="M436" s="18" t="str" cm="1">
        <f t="array" ref="M436">IF(
    OR(IPRF_Lines[[#This Row],[Item Description]]="",IPRF_Lines[[#This Row],[Requested Qty]]="",IPRF_Lines[[#This Row],[Unit]]=""),
    "",UPPER(IPRF_Header[Request number] &amp; "-" &amp; IPRF_Lines[[#This Row],[Line num]]))</f>
        <v/>
      </c>
      <c r="N436" s="19" t="str" cm="1">
        <f t="array" ref="N4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IF(OR(IPRF_Lines[[#This Row],[Requested Qty]]="",IPRF_Lines[[#This Row],[Picked Qty]]=""),"",IPRF_Lines[[#This Row],[Requested Qty]]-IPRF_Lines[[#This Row],[Picked Qty]])</f>
        <v/>
      </c>
      <c r="M437" s="18" t="str" cm="1">
        <f t="array" ref="M437">IF(
    OR(IPRF_Lines[[#This Row],[Item Description]]="",IPRF_Lines[[#This Row],[Requested Qty]]="",IPRF_Lines[[#This Row],[Unit]]=""),
    "",UPPER(IPRF_Header[Request number] &amp; "-" &amp; IPRF_Lines[[#This Row],[Line num]]))</f>
        <v/>
      </c>
      <c r="N437" s="19" t="str" cm="1">
        <f t="array" ref="N4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IF(OR(IPRF_Lines[[#This Row],[Requested Qty]]="",IPRF_Lines[[#This Row],[Picked Qty]]=""),"",IPRF_Lines[[#This Row],[Requested Qty]]-IPRF_Lines[[#This Row],[Picked Qty]])</f>
        <v/>
      </c>
      <c r="M438" s="18" t="str" cm="1">
        <f t="array" ref="M438">IF(
    OR(IPRF_Lines[[#This Row],[Item Description]]="",IPRF_Lines[[#This Row],[Requested Qty]]="",IPRF_Lines[[#This Row],[Unit]]=""),
    "",UPPER(IPRF_Header[Request number] &amp; "-" &amp; IPRF_Lines[[#This Row],[Line num]]))</f>
        <v/>
      </c>
      <c r="N438" s="19" t="str" cm="1">
        <f t="array" ref="N4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IF(OR(IPRF_Lines[[#This Row],[Requested Qty]]="",IPRF_Lines[[#This Row],[Picked Qty]]=""),"",IPRF_Lines[[#This Row],[Requested Qty]]-IPRF_Lines[[#This Row],[Picked Qty]])</f>
        <v/>
      </c>
      <c r="M439" s="18" t="str" cm="1">
        <f t="array" ref="M439">IF(
    OR(IPRF_Lines[[#This Row],[Item Description]]="",IPRF_Lines[[#This Row],[Requested Qty]]="",IPRF_Lines[[#This Row],[Unit]]=""),
    "",UPPER(IPRF_Header[Request number] &amp; "-" &amp; IPRF_Lines[[#This Row],[Line num]]))</f>
        <v/>
      </c>
      <c r="N439" s="19" t="str" cm="1">
        <f t="array" ref="N4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IF(OR(IPRF_Lines[[#This Row],[Requested Qty]]="",IPRF_Lines[[#This Row],[Picked Qty]]=""),"",IPRF_Lines[[#This Row],[Requested Qty]]-IPRF_Lines[[#This Row],[Picked Qty]])</f>
        <v/>
      </c>
      <c r="M440" s="18" t="str" cm="1">
        <f t="array" ref="M440">IF(
    OR(IPRF_Lines[[#This Row],[Item Description]]="",IPRF_Lines[[#This Row],[Requested Qty]]="",IPRF_Lines[[#This Row],[Unit]]=""),
    "",UPPER(IPRF_Header[Request number] &amp; "-" &amp; IPRF_Lines[[#This Row],[Line num]]))</f>
        <v/>
      </c>
      <c r="N440" s="19" t="str" cm="1">
        <f t="array" ref="N4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IF(OR(IPRF_Lines[[#This Row],[Requested Qty]]="",IPRF_Lines[[#This Row],[Picked Qty]]=""),"",IPRF_Lines[[#This Row],[Requested Qty]]-IPRF_Lines[[#This Row],[Picked Qty]])</f>
        <v/>
      </c>
      <c r="M441" s="18" t="str" cm="1">
        <f t="array" ref="M441">IF(
    OR(IPRF_Lines[[#This Row],[Item Description]]="",IPRF_Lines[[#This Row],[Requested Qty]]="",IPRF_Lines[[#This Row],[Unit]]=""),
    "",UPPER(IPRF_Header[Request number] &amp; "-" &amp; IPRF_Lines[[#This Row],[Line num]]))</f>
        <v/>
      </c>
      <c r="N441" s="19" t="str" cm="1">
        <f t="array" ref="N4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IF(OR(IPRF_Lines[[#This Row],[Requested Qty]]="",IPRF_Lines[[#This Row],[Picked Qty]]=""),"",IPRF_Lines[[#This Row],[Requested Qty]]-IPRF_Lines[[#This Row],[Picked Qty]])</f>
        <v/>
      </c>
      <c r="M442" s="18" t="str" cm="1">
        <f t="array" ref="M442">IF(
    OR(IPRF_Lines[[#This Row],[Item Description]]="",IPRF_Lines[[#This Row],[Requested Qty]]="",IPRF_Lines[[#This Row],[Unit]]=""),
    "",UPPER(IPRF_Header[Request number] &amp; "-" &amp; IPRF_Lines[[#This Row],[Line num]]))</f>
        <v/>
      </c>
      <c r="N442" s="19" t="str" cm="1">
        <f t="array" ref="N4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IF(OR(IPRF_Lines[[#This Row],[Requested Qty]]="",IPRF_Lines[[#This Row],[Picked Qty]]=""),"",IPRF_Lines[[#This Row],[Requested Qty]]-IPRF_Lines[[#This Row],[Picked Qty]])</f>
        <v/>
      </c>
      <c r="M443" s="18" t="str" cm="1">
        <f t="array" ref="M443">IF(
    OR(IPRF_Lines[[#This Row],[Item Description]]="",IPRF_Lines[[#This Row],[Requested Qty]]="",IPRF_Lines[[#This Row],[Unit]]=""),
    "",UPPER(IPRF_Header[Request number] &amp; "-" &amp; IPRF_Lines[[#This Row],[Line num]]))</f>
        <v/>
      </c>
      <c r="N443" s="19" t="str" cm="1">
        <f t="array" ref="N4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IF(OR(IPRF_Lines[[#This Row],[Requested Qty]]="",IPRF_Lines[[#This Row],[Picked Qty]]=""),"",IPRF_Lines[[#This Row],[Requested Qty]]-IPRF_Lines[[#This Row],[Picked Qty]])</f>
        <v/>
      </c>
      <c r="M444" s="18" t="str" cm="1">
        <f t="array" ref="M444">IF(
    OR(IPRF_Lines[[#This Row],[Item Description]]="",IPRF_Lines[[#This Row],[Requested Qty]]="",IPRF_Lines[[#This Row],[Unit]]=""),
    "",UPPER(IPRF_Header[Request number] &amp; "-" &amp; IPRF_Lines[[#This Row],[Line num]]))</f>
        <v/>
      </c>
      <c r="N444" s="19" t="str" cm="1">
        <f t="array" ref="N4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IF(OR(IPRF_Lines[[#This Row],[Requested Qty]]="",IPRF_Lines[[#This Row],[Picked Qty]]=""),"",IPRF_Lines[[#This Row],[Requested Qty]]-IPRF_Lines[[#This Row],[Picked Qty]])</f>
        <v/>
      </c>
      <c r="M445" s="18" t="str" cm="1">
        <f t="array" ref="M445">IF(
    OR(IPRF_Lines[[#This Row],[Item Description]]="",IPRF_Lines[[#This Row],[Requested Qty]]="",IPRF_Lines[[#This Row],[Unit]]=""),
    "",UPPER(IPRF_Header[Request number] &amp; "-" &amp; IPRF_Lines[[#This Row],[Line num]]))</f>
        <v/>
      </c>
      <c r="N445" s="19" t="str" cm="1">
        <f t="array" ref="N4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IF(OR(IPRF_Lines[[#This Row],[Requested Qty]]="",IPRF_Lines[[#This Row],[Picked Qty]]=""),"",IPRF_Lines[[#This Row],[Requested Qty]]-IPRF_Lines[[#This Row],[Picked Qty]])</f>
        <v/>
      </c>
      <c r="M446" s="18" t="str" cm="1">
        <f t="array" ref="M446">IF(
    OR(IPRF_Lines[[#This Row],[Item Description]]="",IPRF_Lines[[#This Row],[Requested Qty]]="",IPRF_Lines[[#This Row],[Unit]]=""),
    "",UPPER(IPRF_Header[Request number] &amp; "-" &amp; IPRF_Lines[[#This Row],[Line num]]))</f>
        <v/>
      </c>
      <c r="N446" s="19" t="str" cm="1">
        <f t="array" ref="N4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IF(OR(IPRF_Lines[[#This Row],[Requested Qty]]="",IPRF_Lines[[#This Row],[Picked Qty]]=""),"",IPRF_Lines[[#This Row],[Requested Qty]]-IPRF_Lines[[#This Row],[Picked Qty]])</f>
        <v/>
      </c>
      <c r="M447" s="18" t="str" cm="1">
        <f t="array" ref="M447">IF(
    OR(IPRF_Lines[[#This Row],[Item Description]]="",IPRF_Lines[[#This Row],[Requested Qty]]="",IPRF_Lines[[#This Row],[Unit]]=""),
    "",UPPER(IPRF_Header[Request number] &amp; "-" &amp; IPRF_Lines[[#This Row],[Line num]]))</f>
        <v/>
      </c>
      <c r="N447" s="19" t="str" cm="1">
        <f t="array" ref="N4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IF(OR(IPRF_Lines[[#This Row],[Requested Qty]]="",IPRF_Lines[[#This Row],[Picked Qty]]=""),"",IPRF_Lines[[#This Row],[Requested Qty]]-IPRF_Lines[[#This Row],[Picked Qty]])</f>
        <v/>
      </c>
      <c r="M448" s="18" t="str" cm="1">
        <f t="array" ref="M448">IF(
    OR(IPRF_Lines[[#This Row],[Item Description]]="",IPRF_Lines[[#This Row],[Requested Qty]]="",IPRF_Lines[[#This Row],[Unit]]=""),
    "",UPPER(IPRF_Header[Request number] &amp; "-" &amp; IPRF_Lines[[#This Row],[Line num]]))</f>
        <v/>
      </c>
      <c r="N448" s="19" t="str" cm="1">
        <f t="array" ref="N4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IF(OR(IPRF_Lines[[#This Row],[Requested Qty]]="",IPRF_Lines[[#This Row],[Picked Qty]]=""),"",IPRF_Lines[[#This Row],[Requested Qty]]-IPRF_Lines[[#This Row],[Picked Qty]])</f>
        <v/>
      </c>
      <c r="M449" s="18" t="str" cm="1">
        <f t="array" ref="M449">IF(
    OR(IPRF_Lines[[#This Row],[Item Description]]="",IPRF_Lines[[#This Row],[Requested Qty]]="",IPRF_Lines[[#This Row],[Unit]]=""),
    "",UPPER(IPRF_Header[Request number] &amp; "-" &amp; IPRF_Lines[[#This Row],[Line num]]))</f>
        <v/>
      </c>
      <c r="N449" s="19" t="str" cm="1">
        <f t="array" ref="N4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IF(OR(IPRF_Lines[[#This Row],[Requested Qty]]="",IPRF_Lines[[#This Row],[Picked Qty]]=""),"",IPRF_Lines[[#This Row],[Requested Qty]]-IPRF_Lines[[#This Row],[Picked Qty]])</f>
        <v/>
      </c>
      <c r="M450" s="18" t="str" cm="1">
        <f t="array" ref="M450">IF(
    OR(IPRF_Lines[[#This Row],[Item Description]]="",IPRF_Lines[[#This Row],[Requested Qty]]="",IPRF_Lines[[#This Row],[Unit]]=""),
    "",UPPER(IPRF_Header[Request number] &amp; "-" &amp; IPRF_Lines[[#This Row],[Line num]]))</f>
        <v/>
      </c>
      <c r="N450" s="19" t="str" cm="1">
        <f t="array" ref="N4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IF(OR(IPRF_Lines[[#This Row],[Requested Qty]]="",IPRF_Lines[[#This Row],[Picked Qty]]=""),"",IPRF_Lines[[#This Row],[Requested Qty]]-IPRF_Lines[[#This Row],[Picked Qty]])</f>
        <v/>
      </c>
      <c r="M451" s="18" t="str" cm="1">
        <f t="array" ref="M451">IF(
    OR(IPRF_Lines[[#This Row],[Item Description]]="",IPRF_Lines[[#This Row],[Requested Qty]]="",IPRF_Lines[[#This Row],[Unit]]=""),
    "",UPPER(IPRF_Header[Request number] &amp; "-" &amp; IPRF_Lines[[#This Row],[Line num]]))</f>
        <v/>
      </c>
      <c r="N451" s="19" t="str" cm="1">
        <f t="array" ref="N4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IF(OR(IPRF_Lines[[#This Row],[Requested Qty]]="",IPRF_Lines[[#This Row],[Picked Qty]]=""),"",IPRF_Lines[[#This Row],[Requested Qty]]-IPRF_Lines[[#This Row],[Picked Qty]])</f>
        <v/>
      </c>
      <c r="M452" s="18" t="str" cm="1">
        <f t="array" ref="M452">IF(
    OR(IPRF_Lines[[#This Row],[Item Description]]="",IPRF_Lines[[#This Row],[Requested Qty]]="",IPRF_Lines[[#This Row],[Unit]]=""),
    "",UPPER(IPRF_Header[Request number] &amp; "-" &amp; IPRF_Lines[[#This Row],[Line num]]))</f>
        <v/>
      </c>
      <c r="N452" s="19" t="str" cm="1">
        <f t="array" ref="N4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IF(OR(IPRF_Lines[[#This Row],[Requested Qty]]="",IPRF_Lines[[#This Row],[Picked Qty]]=""),"",IPRF_Lines[[#This Row],[Requested Qty]]-IPRF_Lines[[#This Row],[Picked Qty]])</f>
        <v/>
      </c>
      <c r="M453" s="18" t="str" cm="1">
        <f t="array" ref="M453">IF(
    OR(IPRF_Lines[[#This Row],[Item Description]]="",IPRF_Lines[[#This Row],[Requested Qty]]="",IPRF_Lines[[#This Row],[Unit]]=""),
    "",UPPER(IPRF_Header[Request number] &amp; "-" &amp; IPRF_Lines[[#This Row],[Line num]]))</f>
        <v/>
      </c>
      <c r="N453" s="19" t="str" cm="1">
        <f t="array" ref="N4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IF(OR(IPRF_Lines[[#This Row],[Requested Qty]]="",IPRF_Lines[[#This Row],[Picked Qty]]=""),"",IPRF_Lines[[#This Row],[Requested Qty]]-IPRF_Lines[[#This Row],[Picked Qty]])</f>
        <v/>
      </c>
      <c r="M454" s="18" t="str" cm="1">
        <f t="array" ref="M454">IF(
    OR(IPRF_Lines[[#This Row],[Item Description]]="",IPRF_Lines[[#This Row],[Requested Qty]]="",IPRF_Lines[[#This Row],[Unit]]=""),
    "",UPPER(IPRF_Header[Request number] &amp; "-" &amp; IPRF_Lines[[#This Row],[Line num]]))</f>
        <v/>
      </c>
      <c r="N454" s="19" t="str" cm="1">
        <f t="array" ref="N4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IF(OR(IPRF_Lines[[#This Row],[Requested Qty]]="",IPRF_Lines[[#This Row],[Picked Qty]]=""),"",IPRF_Lines[[#This Row],[Requested Qty]]-IPRF_Lines[[#This Row],[Picked Qty]])</f>
        <v/>
      </c>
      <c r="M455" s="18" t="str" cm="1">
        <f t="array" ref="M455">IF(
    OR(IPRF_Lines[[#This Row],[Item Description]]="",IPRF_Lines[[#This Row],[Requested Qty]]="",IPRF_Lines[[#This Row],[Unit]]=""),
    "",UPPER(IPRF_Header[Request number] &amp; "-" &amp; IPRF_Lines[[#This Row],[Line num]]))</f>
        <v/>
      </c>
      <c r="N455" s="19" t="str" cm="1">
        <f t="array" ref="N4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IF(OR(IPRF_Lines[[#This Row],[Requested Qty]]="",IPRF_Lines[[#This Row],[Picked Qty]]=""),"",IPRF_Lines[[#This Row],[Requested Qty]]-IPRF_Lines[[#This Row],[Picked Qty]])</f>
        <v/>
      </c>
      <c r="M456" s="18" t="str" cm="1">
        <f t="array" ref="M456">IF(
    OR(IPRF_Lines[[#This Row],[Item Description]]="",IPRF_Lines[[#This Row],[Requested Qty]]="",IPRF_Lines[[#This Row],[Unit]]=""),
    "",UPPER(IPRF_Header[Request number] &amp; "-" &amp; IPRF_Lines[[#This Row],[Line num]]))</f>
        <v/>
      </c>
      <c r="N456" s="19" t="str" cm="1">
        <f t="array" ref="N4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IF(OR(IPRF_Lines[[#This Row],[Requested Qty]]="",IPRF_Lines[[#This Row],[Picked Qty]]=""),"",IPRF_Lines[[#This Row],[Requested Qty]]-IPRF_Lines[[#This Row],[Picked Qty]])</f>
        <v/>
      </c>
      <c r="M457" s="18" t="str" cm="1">
        <f t="array" ref="M457">IF(
    OR(IPRF_Lines[[#This Row],[Item Description]]="",IPRF_Lines[[#This Row],[Requested Qty]]="",IPRF_Lines[[#This Row],[Unit]]=""),
    "",UPPER(IPRF_Header[Request number] &amp; "-" &amp; IPRF_Lines[[#This Row],[Line num]]))</f>
        <v/>
      </c>
      <c r="N457" s="19" t="str" cm="1">
        <f t="array" ref="N4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IF(OR(IPRF_Lines[[#This Row],[Requested Qty]]="",IPRF_Lines[[#This Row],[Picked Qty]]=""),"",IPRF_Lines[[#This Row],[Requested Qty]]-IPRF_Lines[[#This Row],[Picked Qty]])</f>
        <v/>
      </c>
      <c r="M458" s="18" t="str" cm="1">
        <f t="array" ref="M458">IF(
    OR(IPRF_Lines[[#This Row],[Item Description]]="",IPRF_Lines[[#This Row],[Requested Qty]]="",IPRF_Lines[[#This Row],[Unit]]=""),
    "",UPPER(IPRF_Header[Request number] &amp; "-" &amp; IPRF_Lines[[#This Row],[Line num]]))</f>
        <v/>
      </c>
      <c r="N458" s="19" t="str" cm="1">
        <f t="array" ref="N4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IF(OR(IPRF_Lines[[#This Row],[Requested Qty]]="",IPRF_Lines[[#This Row],[Picked Qty]]=""),"",IPRF_Lines[[#This Row],[Requested Qty]]-IPRF_Lines[[#This Row],[Picked Qty]])</f>
        <v/>
      </c>
      <c r="M459" s="18" t="str" cm="1">
        <f t="array" ref="M459">IF(
    OR(IPRF_Lines[[#This Row],[Item Description]]="",IPRF_Lines[[#This Row],[Requested Qty]]="",IPRF_Lines[[#This Row],[Unit]]=""),
    "",UPPER(IPRF_Header[Request number] &amp; "-" &amp; IPRF_Lines[[#This Row],[Line num]]))</f>
        <v/>
      </c>
      <c r="N459" s="19" t="str" cm="1">
        <f t="array" ref="N4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IF(OR(IPRF_Lines[[#This Row],[Requested Qty]]="",IPRF_Lines[[#This Row],[Picked Qty]]=""),"",IPRF_Lines[[#This Row],[Requested Qty]]-IPRF_Lines[[#This Row],[Picked Qty]])</f>
        <v/>
      </c>
      <c r="M460" s="18" t="str" cm="1">
        <f t="array" ref="M460">IF(
    OR(IPRF_Lines[[#This Row],[Item Description]]="",IPRF_Lines[[#This Row],[Requested Qty]]="",IPRF_Lines[[#This Row],[Unit]]=""),
    "",UPPER(IPRF_Header[Request number] &amp; "-" &amp; IPRF_Lines[[#This Row],[Line num]]))</f>
        <v/>
      </c>
      <c r="N460" s="19" t="str" cm="1">
        <f t="array" ref="N4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IF(OR(IPRF_Lines[[#This Row],[Requested Qty]]="",IPRF_Lines[[#This Row],[Picked Qty]]=""),"",IPRF_Lines[[#This Row],[Requested Qty]]-IPRF_Lines[[#This Row],[Picked Qty]])</f>
        <v/>
      </c>
      <c r="M461" s="18" t="str" cm="1">
        <f t="array" ref="M461">IF(
    OR(IPRF_Lines[[#This Row],[Item Description]]="",IPRF_Lines[[#This Row],[Requested Qty]]="",IPRF_Lines[[#This Row],[Unit]]=""),
    "",UPPER(IPRF_Header[Request number] &amp; "-" &amp; IPRF_Lines[[#This Row],[Line num]]))</f>
        <v/>
      </c>
      <c r="N461" s="19" t="str" cm="1">
        <f t="array" ref="N4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IF(OR(IPRF_Lines[[#This Row],[Requested Qty]]="",IPRF_Lines[[#This Row],[Picked Qty]]=""),"",IPRF_Lines[[#This Row],[Requested Qty]]-IPRF_Lines[[#This Row],[Picked Qty]])</f>
        <v/>
      </c>
      <c r="M462" s="18" t="str" cm="1">
        <f t="array" ref="M462">IF(
    OR(IPRF_Lines[[#This Row],[Item Description]]="",IPRF_Lines[[#This Row],[Requested Qty]]="",IPRF_Lines[[#This Row],[Unit]]=""),
    "",UPPER(IPRF_Header[Request number] &amp; "-" &amp; IPRF_Lines[[#This Row],[Line num]]))</f>
        <v/>
      </c>
      <c r="N462" s="19" t="str" cm="1">
        <f t="array" ref="N4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IF(OR(IPRF_Lines[[#This Row],[Requested Qty]]="",IPRF_Lines[[#This Row],[Picked Qty]]=""),"",IPRF_Lines[[#This Row],[Requested Qty]]-IPRF_Lines[[#This Row],[Picked Qty]])</f>
        <v/>
      </c>
      <c r="M463" s="18" t="str" cm="1">
        <f t="array" ref="M463">IF(
    OR(IPRF_Lines[[#This Row],[Item Description]]="",IPRF_Lines[[#This Row],[Requested Qty]]="",IPRF_Lines[[#This Row],[Unit]]=""),
    "",UPPER(IPRF_Header[Request number] &amp; "-" &amp; IPRF_Lines[[#This Row],[Line num]]))</f>
        <v/>
      </c>
      <c r="N463" s="19" t="str" cm="1">
        <f t="array" ref="N4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IF(OR(IPRF_Lines[[#This Row],[Requested Qty]]="",IPRF_Lines[[#This Row],[Picked Qty]]=""),"",IPRF_Lines[[#This Row],[Requested Qty]]-IPRF_Lines[[#This Row],[Picked Qty]])</f>
        <v/>
      </c>
      <c r="M464" s="18" t="str" cm="1">
        <f t="array" ref="M464">IF(
    OR(IPRF_Lines[[#This Row],[Item Description]]="",IPRF_Lines[[#This Row],[Requested Qty]]="",IPRF_Lines[[#This Row],[Unit]]=""),
    "",UPPER(IPRF_Header[Request number] &amp; "-" &amp; IPRF_Lines[[#This Row],[Line num]]))</f>
        <v/>
      </c>
      <c r="N464" s="19" t="str" cm="1">
        <f t="array" ref="N4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IF(OR(IPRF_Lines[[#This Row],[Requested Qty]]="",IPRF_Lines[[#This Row],[Picked Qty]]=""),"",IPRF_Lines[[#This Row],[Requested Qty]]-IPRF_Lines[[#This Row],[Picked Qty]])</f>
        <v/>
      </c>
      <c r="M465" s="18" t="str" cm="1">
        <f t="array" ref="M465">IF(
    OR(IPRF_Lines[[#This Row],[Item Description]]="",IPRF_Lines[[#This Row],[Requested Qty]]="",IPRF_Lines[[#This Row],[Unit]]=""),
    "",UPPER(IPRF_Header[Request number] &amp; "-" &amp; IPRF_Lines[[#This Row],[Line num]]))</f>
        <v/>
      </c>
      <c r="N465" s="19" t="str" cm="1">
        <f t="array" ref="N4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IF(OR(IPRF_Lines[[#This Row],[Requested Qty]]="",IPRF_Lines[[#This Row],[Picked Qty]]=""),"",IPRF_Lines[[#This Row],[Requested Qty]]-IPRF_Lines[[#This Row],[Picked Qty]])</f>
        <v/>
      </c>
      <c r="M466" s="18" t="str" cm="1">
        <f t="array" ref="M466">IF(
    OR(IPRF_Lines[[#This Row],[Item Description]]="",IPRF_Lines[[#This Row],[Requested Qty]]="",IPRF_Lines[[#This Row],[Unit]]=""),
    "",UPPER(IPRF_Header[Request number] &amp; "-" &amp; IPRF_Lines[[#This Row],[Line num]]))</f>
        <v/>
      </c>
      <c r="N466" s="19" t="str" cm="1">
        <f t="array" ref="N4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IF(OR(IPRF_Lines[[#This Row],[Requested Qty]]="",IPRF_Lines[[#This Row],[Picked Qty]]=""),"",IPRF_Lines[[#This Row],[Requested Qty]]-IPRF_Lines[[#This Row],[Picked Qty]])</f>
        <v/>
      </c>
      <c r="M467" s="18" t="str" cm="1">
        <f t="array" ref="M467">IF(
    OR(IPRF_Lines[[#This Row],[Item Description]]="",IPRF_Lines[[#This Row],[Requested Qty]]="",IPRF_Lines[[#This Row],[Unit]]=""),
    "",UPPER(IPRF_Header[Request number] &amp; "-" &amp; IPRF_Lines[[#This Row],[Line num]]))</f>
        <v/>
      </c>
      <c r="N467" s="19" t="str" cm="1">
        <f t="array" ref="N4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IF(OR(IPRF_Lines[[#This Row],[Requested Qty]]="",IPRF_Lines[[#This Row],[Picked Qty]]=""),"",IPRF_Lines[[#This Row],[Requested Qty]]-IPRF_Lines[[#This Row],[Picked Qty]])</f>
        <v/>
      </c>
      <c r="M468" s="18" t="str" cm="1">
        <f t="array" ref="M468">IF(
    OR(IPRF_Lines[[#This Row],[Item Description]]="",IPRF_Lines[[#This Row],[Requested Qty]]="",IPRF_Lines[[#This Row],[Unit]]=""),
    "",UPPER(IPRF_Header[Request number] &amp; "-" &amp; IPRF_Lines[[#This Row],[Line num]]))</f>
        <v/>
      </c>
      <c r="N468" s="19" t="str" cm="1">
        <f t="array" ref="N4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IF(OR(IPRF_Lines[[#This Row],[Requested Qty]]="",IPRF_Lines[[#This Row],[Picked Qty]]=""),"",IPRF_Lines[[#This Row],[Requested Qty]]-IPRF_Lines[[#This Row],[Picked Qty]])</f>
        <v/>
      </c>
      <c r="M469" s="18" t="str" cm="1">
        <f t="array" ref="M469">IF(
    OR(IPRF_Lines[[#This Row],[Item Description]]="",IPRF_Lines[[#This Row],[Requested Qty]]="",IPRF_Lines[[#This Row],[Unit]]=""),
    "",UPPER(IPRF_Header[Request number] &amp; "-" &amp; IPRF_Lines[[#This Row],[Line num]]))</f>
        <v/>
      </c>
      <c r="N469" s="19" t="str" cm="1">
        <f t="array" ref="N4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IF(OR(IPRF_Lines[[#This Row],[Requested Qty]]="",IPRF_Lines[[#This Row],[Picked Qty]]=""),"",IPRF_Lines[[#This Row],[Requested Qty]]-IPRF_Lines[[#This Row],[Picked Qty]])</f>
        <v/>
      </c>
      <c r="M470" s="18" t="str" cm="1">
        <f t="array" ref="M470">IF(
    OR(IPRF_Lines[[#This Row],[Item Description]]="",IPRF_Lines[[#This Row],[Requested Qty]]="",IPRF_Lines[[#This Row],[Unit]]=""),
    "",UPPER(IPRF_Header[Request number] &amp; "-" &amp; IPRF_Lines[[#This Row],[Line num]]))</f>
        <v/>
      </c>
      <c r="N470" s="19" t="str" cm="1">
        <f t="array" ref="N4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IF(OR(IPRF_Lines[[#This Row],[Requested Qty]]="",IPRF_Lines[[#This Row],[Picked Qty]]=""),"",IPRF_Lines[[#This Row],[Requested Qty]]-IPRF_Lines[[#This Row],[Picked Qty]])</f>
        <v/>
      </c>
      <c r="M471" s="18" t="str" cm="1">
        <f t="array" ref="M471">IF(
    OR(IPRF_Lines[[#This Row],[Item Description]]="",IPRF_Lines[[#This Row],[Requested Qty]]="",IPRF_Lines[[#This Row],[Unit]]=""),
    "",UPPER(IPRF_Header[Request number] &amp; "-" &amp; IPRF_Lines[[#This Row],[Line num]]))</f>
        <v/>
      </c>
      <c r="N471" s="19" t="str" cm="1">
        <f t="array" ref="N4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IF(OR(IPRF_Lines[[#This Row],[Requested Qty]]="",IPRF_Lines[[#This Row],[Picked Qty]]=""),"",IPRF_Lines[[#This Row],[Requested Qty]]-IPRF_Lines[[#This Row],[Picked Qty]])</f>
        <v/>
      </c>
      <c r="M472" s="18" t="str" cm="1">
        <f t="array" ref="M472">IF(
    OR(IPRF_Lines[[#This Row],[Item Description]]="",IPRF_Lines[[#This Row],[Requested Qty]]="",IPRF_Lines[[#This Row],[Unit]]=""),
    "",UPPER(IPRF_Header[Request number] &amp; "-" &amp; IPRF_Lines[[#This Row],[Line num]]))</f>
        <v/>
      </c>
      <c r="N472" s="19" t="str" cm="1">
        <f t="array" ref="N4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IF(OR(IPRF_Lines[[#This Row],[Requested Qty]]="",IPRF_Lines[[#This Row],[Picked Qty]]=""),"",IPRF_Lines[[#This Row],[Requested Qty]]-IPRF_Lines[[#This Row],[Picked Qty]])</f>
        <v/>
      </c>
      <c r="M473" s="18" t="str" cm="1">
        <f t="array" ref="M473">IF(
    OR(IPRF_Lines[[#This Row],[Item Description]]="",IPRF_Lines[[#This Row],[Requested Qty]]="",IPRF_Lines[[#This Row],[Unit]]=""),
    "",UPPER(IPRF_Header[Request number] &amp; "-" &amp; IPRF_Lines[[#This Row],[Line num]]))</f>
        <v/>
      </c>
      <c r="N473" s="19" t="str" cm="1">
        <f t="array" ref="N4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IF(OR(IPRF_Lines[[#This Row],[Requested Qty]]="",IPRF_Lines[[#This Row],[Picked Qty]]=""),"",IPRF_Lines[[#This Row],[Requested Qty]]-IPRF_Lines[[#This Row],[Picked Qty]])</f>
        <v/>
      </c>
      <c r="M474" s="18" t="str" cm="1">
        <f t="array" ref="M474">IF(
    OR(IPRF_Lines[[#This Row],[Item Description]]="",IPRF_Lines[[#This Row],[Requested Qty]]="",IPRF_Lines[[#This Row],[Unit]]=""),
    "",UPPER(IPRF_Header[Request number] &amp; "-" &amp; IPRF_Lines[[#This Row],[Line num]]))</f>
        <v/>
      </c>
      <c r="N474" s="19" t="str" cm="1">
        <f t="array" ref="N4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IF(OR(IPRF_Lines[[#This Row],[Requested Qty]]="",IPRF_Lines[[#This Row],[Picked Qty]]=""),"",IPRF_Lines[[#This Row],[Requested Qty]]-IPRF_Lines[[#This Row],[Picked Qty]])</f>
        <v/>
      </c>
      <c r="M475" s="18" t="str" cm="1">
        <f t="array" ref="M475">IF(
    OR(IPRF_Lines[[#This Row],[Item Description]]="",IPRF_Lines[[#This Row],[Requested Qty]]="",IPRF_Lines[[#This Row],[Unit]]=""),
    "",UPPER(IPRF_Header[Request number] &amp; "-" &amp; IPRF_Lines[[#This Row],[Line num]]))</f>
        <v/>
      </c>
      <c r="N475" s="19" t="str" cm="1">
        <f t="array" ref="N4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IF(OR(IPRF_Lines[[#This Row],[Requested Qty]]="",IPRF_Lines[[#This Row],[Picked Qty]]=""),"",IPRF_Lines[[#This Row],[Requested Qty]]-IPRF_Lines[[#This Row],[Picked Qty]])</f>
        <v/>
      </c>
      <c r="M476" s="18" t="str" cm="1">
        <f t="array" ref="M476">IF(
    OR(IPRF_Lines[[#This Row],[Item Description]]="",IPRF_Lines[[#This Row],[Requested Qty]]="",IPRF_Lines[[#This Row],[Unit]]=""),
    "",UPPER(IPRF_Header[Request number] &amp; "-" &amp; IPRF_Lines[[#This Row],[Line num]]))</f>
        <v/>
      </c>
      <c r="N476" s="19" t="str" cm="1">
        <f t="array" ref="N4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IF(OR(IPRF_Lines[[#This Row],[Requested Qty]]="",IPRF_Lines[[#This Row],[Picked Qty]]=""),"",IPRF_Lines[[#This Row],[Requested Qty]]-IPRF_Lines[[#This Row],[Picked Qty]])</f>
        <v/>
      </c>
      <c r="M477" s="18" t="str" cm="1">
        <f t="array" ref="M477">IF(
    OR(IPRF_Lines[[#This Row],[Item Description]]="",IPRF_Lines[[#This Row],[Requested Qty]]="",IPRF_Lines[[#This Row],[Unit]]=""),
    "",UPPER(IPRF_Header[Request number] &amp; "-" &amp; IPRF_Lines[[#This Row],[Line num]]))</f>
        <v/>
      </c>
      <c r="N477" s="19" t="str" cm="1">
        <f t="array" ref="N4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IF(OR(IPRF_Lines[[#This Row],[Requested Qty]]="",IPRF_Lines[[#This Row],[Picked Qty]]=""),"",IPRF_Lines[[#This Row],[Requested Qty]]-IPRF_Lines[[#This Row],[Picked Qty]])</f>
        <v/>
      </c>
      <c r="M478" s="18" t="str" cm="1">
        <f t="array" ref="M478">IF(
    OR(IPRF_Lines[[#This Row],[Item Description]]="",IPRF_Lines[[#This Row],[Requested Qty]]="",IPRF_Lines[[#This Row],[Unit]]=""),
    "",UPPER(IPRF_Header[Request number] &amp; "-" &amp; IPRF_Lines[[#This Row],[Line num]]))</f>
        <v/>
      </c>
      <c r="N478" s="19" t="str" cm="1">
        <f t="array" ref="N4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IF(OR(IPRF_Lines[[#This Row],[Requested Qty]]="",IPRF_Lines[[#This Row],[Picked Qty]]=""),"",IPRF_Lines[[#This Row],[Requested Qty]]-IPRF_Lines[[#This Row],[Picked Qty]])</f>
        <v/>
      </c>
      <c r="M479" s="18" t="str" cm="1">
        <f t="array" ref="M479">IF(
    OR(IPRF_Lines[[#This Row],[Item Description]]="",IPRF_Lines[[#This Row],[Requested Qty]]="",IPRF_Lines[[#This Row],[Unit]]=""),
    "",UPPER(IPRF_Header[Request number] &amp; "-" &amp; IPRF_Lines[[#This Row],[Line num]]))</f>
        <v/>
      </c>
      <c r="N479" s="19" t="str" cm="1">
        <f t="array" ref="N4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IF(OR(IPRF_Lines[[#This Row],[Requested Qty]]="",IPRF_Lines[[#This Row],[Picked Qty]]=""),"",IPRF_Lines[[#This Row],[Requested Qty]]-IPRF_Lines[[#This Row],[Picked Qty]])</f>
        <v/>
      </c>
      <c r="M480" s="18" t="str" cm="1">
        <f t="array" ref="M480">IF(
    OR(IPRF_Lines[[#This Row],[Item Description]]="",IPRF_Lines[[#This Row],[Requested Qty]]="",IPRF_Lines[[#This Row],[Unit]]=""),
    "",UPPER(IPRF_Header[Request number] &amp; "-" &amp; IPRF_Lines[[#This Row],[Line num]]))</f>
        <v/>
      </c>
      <c r="N480" s="19" t="str" cm="1">
        <f t="array" ref="N4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IF(OR(IPRF_Lines[[#This Row],[Requested Qty]]="",IPRF_Lines[[#This Row],[Picked Qty]]=""),"",IPRF_Lines[[#This Row],[Requested Qty]]-IPRF_Lines[[#This Row],[Picked Qty]])</f>
        <v/>
      </c>
      <c r="M481" s="18" t="str" cm="1">
        <f t="array" ref="M481">IF(
    OR(IPRF_Lines[[#This Row],[Item Description]]="",IPRF_Lines[[#This Row],[Requested Qty]]="",IPRF_Lines[[#This Row],[Unit]]=""),
    "",UPPER(IPRF_Header[Request number] &amp; "-" &amp; IPRF_Lines[[#This Row],[Line num]]))</f>
        <v/>
      </c>
      <c r="N481" s="19" t="str" cm="1">
        <f t="array" ref="N4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IF(OR(IPRF_Lines[[#This Row],[Requested Qty]]="",IPRF_Lines[[#This Row],[Picked Qty]]=""),"",IPRF_Lines[[#This Row],[Requested Qty]]-IPRF_Lines[[#This Row],[Picked Qty]])</f>
        <v/>
      </c>
      <c r="M482" s="18" t="str" cm="1">
        <f t="array" ref="M482">IF(
    OR(IPRF_Lines[[#This Row],[Item Description]]="",IPRF_Lines[[#This Row],[Requested Qty]]="",IPRF_Lines[[#This Row],[Unit]]=""),
    "",UPPER(IPRF_Header[Request number] &amp; "-" &amp; IPRF_Lines[[#This Row],[Line num]]))</f>
        <v/>
      </c>
      <c r="N482" s="19" t="str" cm="1">
        <f t="array" ref="N4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IF(OR(IPRF_Lines[[#This Row],[Requested Qty]]="",IPRF_Lines[[#This Row],[Picked Qty]]=""),"",IPRF_Lines[[#This Row],[Requested Qty]]-IPRF_Lines[[#This Row],[Picked Qty]])</f>
        <v/>
      </c>
      <c r="M483" s="18" t="str" cm="1">
        <f t="array" ref="M483">IF(
    OR(IPRF_Lines[[#This Row],[Item Description]]="",IPRF_Lines[[#This Row],[Requested Qty]]="",IPRF_Lines[[#This Row],[Unit]]=""),
    "",UPPER(IPRF_Header[Request number] &amp; "-" &amp; IPRF_Lines[[#This Row],[Line num]]))</f>
        <v/>
      </c>
      <c r="N483" s="19" t="str" cm="1">
        <f t="array" ref="N4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IF(OR(IPRF_Lines[[#This Row],[Requested Qty]]="",IPRF_Lines[[#This Row],[Picked Qty]]=""),"",IPRF_Lines[[#This Row],[Requested Qty]]-IPRF_Lines[[#This Row],[Picked Qty]])</f>
        <v/>
      </c>
      <c r="M484" s="18" t="str" cm="1">
        <f t="array" ref="M484">IF(
    OR(IPRF_Lines[[#This Row],[Item Description]]="",IPRF_Lines[[#This Row],[Requested Qty]]="",IPRF_Lines[[#This Row],[Unit]]=""),
    "",UPPER(IPRF_Header[Request number] &amp; "-" &amp; IPRF_Lines[[#This Row],[Line num]]))</f>
        <v/>
      </c>
      <c r="N484" s="19" t="str" cm="1">
        <f t="array" ref="N4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IF(OR(IPRF_Lines[[#This Row],[Requested Qty]]="",IPRF_Lines[[#This Row],[Picked Qty]]=""),"",IPRF_Lines[[#This Row],[Requested Qty]]-IPRF_Lines[[#This Row],[Picked Qty]])</f>
        <v/>
      </c>
      <c r="M485" s="18" t="str" cm="1">
        <f t="array" ref="M485">IF(
    OR(IPRF_Lines[[#This Row],[Item Description]]="",IPRF_Lines[[#This Row],[Requested Qty]]="",IPRF_Lines[[#This Row],[Unit]]=""),
    "",UPPER(IPRF_Header[Request number] &amp; "-" &amp; IPRF_Lines[[#This Row],[Line num]]))</f>
        <v/>
      </c>
      <c r="N485" s="19" t="str" cm="1">
        <f t="array" ref="N4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IF(OR(IPRF_Lines[[#This Row],[Requested Qty]]="",IPRF_Lines[[#This Row],[Picked Qty]]=""),"",IPRF_Lines[[#This Row],[Requested Qty]]-IPRF_Lines[[#This Row],[Picked Qty]])</f>
        <v/>
      </c>
      <c r="M486" s="18" t="str" cm="1">
        <f t="array" ref="M486">IF(
    OR(IPRF_Lines[[#This Row],[Item Description]]="",IPRF_Lines[[#This Row],[Requested Qty]]="",IPRF_Lines[[#This Row],[Unit]]=""),
    "",UPPER(IPRF_Header[Request number] &amp; "-" &amp; IPRF_Lines[[#This Row],[Line num]]))</f>
        <v/>
      </c>
      <c r="N486" s="19" t="str" cm="1">
        <f t="array" ref="N4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IF(OR(IPRF_Lines[[#This Row],[Requested Qty]]="",IPRF_Lines[[#This Row],[Picked Qty]]=""),"",IPRF_Lines[[#This Row],[Requested Qty]]-IPRF_Lines[[#This Row],[Picked Qty]])</f>
        <v/>
      </c>
      <c r="M487" s="18" t="str" cm="1">
        <f t="array" ref="M487">IF(
    OR(IPRF_Lines[[#This Row],[Item Description]]="",IPRF_Lines[[#This Row],[Requested Qty]]="",IPRF_Lines[[#This Row],[Unit]]=""),
    "",UPPER(IPRF_Header[Request number] &amp; "-" &amp; IPRF_Lines[[#This Row],[Line num]]))</f>
        <v/>
      </c>
      <c r="N487" s="19" t="str" cm="1">
        <f t="array" ref="N4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IF(OR(IPRF_Lines[[#This Row],[Requested Qty]]="",IPRF_Lines[[#This Row],[Picked Qty]]=""),"",IPRF_Lines[[#This Row],[Requested Qty]]-IPRF_Lines[[#This Row],[Picked Qty]])</f>
        <v/>
      </c>
      <c r="M488" s="18" t="str" cm="1">
        <f t="array" ref="M488">IF(
    OR(IPRF_Lines[[#This Row],[Item Description]]="",IPRF_Lines[[#This Row],[Requested Qty]]="",IPRF_Lines[[#This Row],[Unit]]=""),
    "",UPPER(IPRF_Header[Request number] &amp; "-" &amp; IPRF_Lines[[#This Row],[Line num]]))</f>
        <v/>
      </c>
      <c r="N488" s="19" t="str" cm="1">
        <f t="array" ref="N4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IF(OR(IPRF_Lines[[#This Row],[Requested Qty]]="",IPRF_Lines[[#This Row],[Picked Qty]]=""),"",IPRF_Lines[[#This Row],[Requested Qty]]-IPRF_Lines[[#This Row],[Picked Qty]])</f>
        <v/>
      </c>
      <c r="M489" s="18" t="str" cm="1">
        <f t="array" ref="M489">IF(
    OR(IPRF_Lines[[#This Row],[Item Description]]="",IPRF_Lines[[#This Row],[Requested Qty]]="",IPRF_Lines[[#This Row],[Unit]]=""),
    "",UPPER(IPRF_Header[Request number] &amp; "-" &amp; IPRF_Lines[[#This Row],[Line num]]))</f>
        <v/>
      </c>
      <c r="N489" s="19" t="str" cm="1">
        <f t="array" ref="N4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IF(OR(IPRF_Lines[[#This Row],[Requested Qty]]="",IPRF_Lines[[#This Row],[Picked Qty]]=""),"",IPRF_Lines[[#This Row],[Requested Qty]]-IPRF_Lines[[#This Row],[Picked Qty]])</f>
        <v/>
      </c>
      <c r="M490" s="18" t="str" cm="1">
        <f t="array" ref="M490">IF(
    OR(IPRF_Lines[[#This Row],[Item Description]]="",IPRF_Lines[[#This Row],[Requested Qty]]="",IPRF_Lines[[#This Row],[Unit]]=""),
    "",UPPER(IPRF_Header[Request number] &amp; "-" &amp; IPRF_Lines[[#This Row],[Line num]]))</f>
        <v/>
      </c>
      <c r="N490" s="19" t="str" cm="1">
        <f t="array" ref="N4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IF(OR(IPRF_Lines[[#This Row],[Requested Qty]]="",IPRF_Lines[[#This Row],[Picked Qty]]=""),"",IPRF_Lines[[#This Row],[Requested Qty]]-IPRF_Lines[[#This Row],[Picked Qty]])</f>
        <v/>
      </c>
      <c r="M491" s="18" t="str" cm="1">
        <f t="array" ref="M491">IF(
    OR(IPRF_Lines[[#This Row],[Item Description]]="",IPRF_Lines[[#This Row],[Requested Qty]]="",IPRF_Lines[[#This Row],[Unit]]=""),
    "",UPPER(IPRF_Header[Request number] &amp; "-" &amp; IPRF_Lines[[#This Row],[Line num]]))</f>
        <v/>
      </c>
      <c r="N491" s="19" t="str" cm="1">
        <f t="array" ref="N4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IF(OR(IPRF_Lines[[#This Row],[Requested Qty]]="",IPRF_Lines[[#This Row],[Picked Qty]]=""),"",IPRF_Lines[[#This Row],[Requested Qty]]-IPRF_Lines[[#This Row],[Picked Qty]])</f>
        <v/>
      </c>
      <c r="M492" s="18" t="str" cm="1">
        <f t="array" ref="M492">IF(
    OR(IPRF_Lines[[#This Row],[Item Description]]="",IPRF_Lines[[#This Row],[Requested Qty]]="",IPRF_Lines[[#This Row],[Unit]]=""),
    "",UPPER(IPRF_Header[Request number] &amp; "-" &amp; IPRF_Lines[[#This Row],[Line num]]))</f>
        <v/>
      </c>
      <c r="N492" s="19" t="str" cm="1">
        <f t="array" ref="N4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IF(OR(IPRF_Lines[[#This Row],[Requested Qty]]="",IPRF_Lines[[#This Row],[Picked Qty]]=""),"",IPRF_Lines[[#This Row],[Requested Qty]]-IPRF_Lines[[#This Row],[Picked Qty]])</f>
        <v/>
      </c>
      <c r="M493" s="18" t="str" cm="1">
        <f t="array" ref="M493">IF(
    OR(IPRF_Lines[[#This Row],[Item Description]]="",IPRF_Lines[[#This Row],[Requested Qty]]="",IPRF_Lines[[#This Row],[Unit]]=""),
    "",UPPER(IPRF_Header[Request number] &amp; "-" &amp; IPRF_Lines[[#This Row],[Line num]]))</f>
        <v/>
      </c>
      <c r="N493" s="19" t="str" cm="1">
        <f t="array" ref="N4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IF(OR(IPRF_Lines[[#This Row],[Requested Qty]]="",IPRF_Lines[[#This Row],[Picked Qty]]=""),"",IPRF_Lines[[#This Row],[Requested Qty]]-IPRF_Lines[[#This Row],[Picked Qty]])</f>
        <v/>
      </c>
      <c r="M494" s="18" t="str" cm="1">
        <f t="array" ref="M494">IF(
    OR(IPRF_Lines[[#This Row],[Item Description]]="",IPRF_Lines[[#This Row],[Requested Qty]]="",IPRF_Lines[[#This Row],[Unit]]=""),
    "",UPPER(IPRF_Header[Request number] &amp; "-" &amp; IPRF_Lines[[#This Row],[Line num]]))</f>
        <v/>
      </c>
      <c r="N494" s="19" t="str" cm="1">
        <f t="array" ref="N4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IF(OR(IPRF_Lines[[#This Row],[Requested Qty]]="",IPRF_Lines[[#This Row],[Picked Qty]]=""),"",IPRF_Lines[[#This Row],[Requested Qty]]-IPRF_Lines[[#This Row],[Picked Qty]])</f>
        <v/>
      </c>
      <c r="M495" s="18" t="str" cm="1">
        <f t="array" ref="M495">IF(
    OR(IPRF_Lines[[#This Row],[Item Description]]="",IPRF_Lines[[#This Row],[Requested Qty]]="",IPRF_Lines[[#This Row],[Unit]]=""),
    "",UPPER(IPRF_Header[Request number] &amp; "-" &amp; IPRF_Lines[[#This Row],[Line num]]))</f>
        <v/>
      </c>
      <c r="N495" s="19" t="str" cm="1">
        <f t="array" ref="N4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IF(OR(IPRF_Lines[[#This Row],[Requested Qty]]="",IPRF_Lines[[#This Row],[Picked Qty]]=""),"",IPRF_Lines[[#This Row],[Requested Qty]]-IPRF_Lines[[#This Row],[Picked Qty]])</f>
        <v/>
      </c>
      <c r="M496" s="18" t="str" cm="1">
        <f t="array" ref="M496">IF(
    OR(IPRF_Lines[[#This Row],[Item Description]]="",IPRF_Lines[[#This Row],[Requested Qty]]="",IPRF_Lines[[#This Row],[Unit]]=""),
    "",UPPER(IPRF_Header[Request number] &amp; "-" &amp; IPRF_Lines[[#This Row],[Line num]]))</f>
        <v/>
      </c>
      <c r="N496" s="19" t="str" cm="1">
        <f t="array" ref="N4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IF(OR(IPRF_Lines[[#This Row],[Requested Qty]]="",IPRF_Lines[[#This Row],[Picked Qty]]=""),"",IPRF_Lines[[#This Row],[Requested Qty]]-IPRF_Lines[[#This Row],[Picked Qty]])</f>
        <v/>
      </c>
      <c r="M497" s="18" t="str" cm="1">
        <f t="array" ref="M497">IF(
    OR(IPRF_Lines[[#This Row],[Item Description]]="",IPRF_Lines[[#This Row],[Requested Qty]]="",IPRF_Lines[[#This Row],[Unit]]=""),
    "",UPPER(IPRF_Header[Request number] &amp; "-" &amp; IPRF_Lines[[#This Row],[Line num]]))</f>
        <v/>
      </c>
      <c r="N497" s="19" t="str" cm="1">
        <f t="array" ref="N4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IF(OR(IPRF_Lines[[#This Row],[Requested Qty]]="",IPRF_Lines[[#This Row],[Picked Qty]]=""),"",IPRF_Lines[[#This Row],[Requested Qty]]-IPRF_Lines[[#This Row],[Picked Qty]])</f>
        <v/>
      </c>
      <c r="M498" s="18" t="str" cm="1">
        <f t="array" ref="M498">IF(
    OR(IPRF_Lines[[#This Row],[Item Description]]="",IPRF_Lines[[#This Row],[Requested Qty]]="",IPRF_Lines[[#This Row],[Unit]]=""),
    "",UPPER(IPRF_Header[Request number] &amp; "-" &amp; IPRF_Lines[[#This Row],[Line num]]))</f>
        <v/>
      </c>
      <c r="N498" s="19" t="str" cm="1">
        <f t="array" ref="N4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IF(OR(IPRF_Lines[[#This Row],[Requested Qty]]="",IPRF_Lines[[#This Row],[Picked Qty]]=""),"",IPRF_Lines[[#This Row],[Requested Qty]]-IPRF_Lines[[#This Row],[Picked Qty]])</f>
        <v/>
      </c>
      <c r="M499" s="18" t="str" cm="1">
        <f t="array" ref="M499">IF(
    OR(IPRF_Lines[[#This Row],[Item Description]]="",IPRF_Lines[[#This Row],[Requested Qty]]="",IPRF_Lines[[#This Row],[Unit]]=""),
    "",UPPER(IPRF_Header[Request number] &amp; "-" &amp; IPRF_Lines[[#This Row],[Line num]]))</f>
        <v/>
      </c>
      <c r="N499" s="19" t="str" cm="1">
        <f t="array" ref="N4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IF(OR(IPRF_Lines[[#This Row],[Requested Qty]]="",IPRF_Lines[[#This Row],[Picked Qty]]=""),"",IPRF_Lines[[#This Row],[Requested Qty]]-IPRF_Lines[[#This Row],[Picked Qty]])</f>
        <v/>
      </c>
      <c r="M500" s="18" t="str" cm="1">
        <f t="array" ref="M500">IF(
    OR(IPRF_Lines[[#This Row],[Item Description]]="",IPRF_Lines[[#This Row],[Requested Qty]]="",IPRF_Lines[[#This Row],[Unit]]=""),
    "",UPPER(IPRF_Header[Request number] &amp; "-" &amp; IPRF_Lines[[#This Row],[Line num]]))</f>
        <v/>
      </c>
      <c r="N500" s="19" t="str" cm="1">
        <f t="array" ref="N5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IF(OR(IPRF_Lines[[#This Row],[Requested Qty]]="",IPRF_Lines[[#This Row],[Picked Qty]]=""),"",IPRF_Lines[[#This Row],[Requested Qty]]-IPRF_Lines[[#This Row],[Picked Qty]])</f>
        <v/>
      </c>
      <c r="M501" s="18" t="str" cm="1">
        <f t="array" ref="M501">IF(
    OR(IPRF_Lines[[#This Row],[Item Description]]="",IPRF_Lines[[#This Row],[Requested Qty]]="",IPRF_Lines[[#This Row],[Unit]]=""),
    "",UPPER(IPRF_Header[Request number] &amp; "-" &amp; IPRF_Lines[[#This Row],[Line num]]))</f>
        <v/>
      </c>
      <c r="N501" s="19" t="str" cm="1">
        <f t="array" ref="N5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IF(OR(IPRF_Lines[[#This Row],[Requested Qty]]="",IPRF_Lines[[#This Row],[Picked Qty]]=""),"",IPRF_Lines[[#This Row],[Requested Qty]]-IPRF_Lines[[#This Row],[Picked Qty]])</f>
        <v/>
      </c>
      <c r="M502" s="18" t="str" cm="1">
        <f t="array" ref="M502">IF(
    OR(IPRF_Lines[[#This Row],[Item Description]]="",IPRF_Lines[[#This Row],[Requested Qty]]="",IPRF_Lines[[#This Row],[Unit]]=""),
    "",UPPER(IPRF_Header[Request number] &amp; "-" &amp; IPRF_Lines[[#This Row],[Line num]]))</f>
        <v/>
      </c>
      <c r="N502" s="19" t="str" cm="1">
        <f t="array" ref="N5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IF(OR(IPRF_Lines[[#This Row],[Requested Qty]]="",IPRF_Lines[[#This Row],[Picked Qty]]=""),"",IPRF_Lines[[#This Row],[Requested Qty]]-IPRF_Lines[[#This Row],[Picked Qty]])</f>
        <v/>
      </c>
      <c r="M503" s="18" t="str" cm="1">
        <f t="array" ref="M503">IF(
    OR(IPRF_Lines[[#This Row],[Item Description]]="",IPRF_Lines[[#This Row],[Requested Qty]]="",IPRF_Lines[[#This Row],[Unit]]=""),
    "",UPPER(IPRF_Header[Request number] &amp; "-" &amp; IPRF_Lines[[#This Row],[Line num]]))</f>
        <v/>
      </c>
      <c r="N503" s="19" t="str" cm="1">
        <f t="array" ref="N5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IF(OR(IPRF_Lines[[#This Row],[Requested Qty]]="",IPRF_Lines[[#This Row],[Picked Qty]]=""),"",IPRF_Lines[[#This Row],[Requested Qty]]-IPRF_Lines[[#This Row],[Picked Qty]])</f>
        <v/>
      </c>
      <c r="M504" s="18" t="str" cm="1">
        <f t="array" ref="M504">IF(
    OR(IPRF_Lines[[#This Row],[Item Description]]="",IPRF_Lines[[#This Row],[Requested Qty]]="",IPRF_Lines[[#This Row],[Unit]]=""),
    "",UPPER(IPRF_Header[Request number] &amp; "-" &amp; IPRF_Lines[[#This Row],[Line num]]))</f>
        <v/>
      </c>
      <c r="N504" s="19" t="str" cm="1">
        <f t="array" ref="N5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IF(OR(IPRF_Lines[[#This Row],[Requested Qty]]="",IPRF_Lines[[#This Row],[Picked Qty]]=""),"",IPRF_Lines[[#This Row],[Requested Qty]]-IPRF_Lines[[#This Row],[Picked Qty]])</f>
        <v/>
      </c>
      <c r="M505" s="18" t="str" cm="1">
        <f t="array" ref="M505">IF(
    OR(IPRF_Lines[[#This Row],[Item Description]]="",IPRF_Lines[[#This Row],[Requested Qty]]="",IPRF_Lines[[#This Row],[Unit]]=""),
    "",UPPER(IPRF_Header[Request number] &amp; "-" &amp; IPRF_Lines[[#This Row],[Line num]]))</f>
        <v/>
      </c>
      <c r="N505" s="19" t="str" cm="1">
        <f t="array" ref="N5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IF(OR(IPRF_Lines[[#This Row],[Requested Qty]]="",IPRF_Lines[[#This Row],[Picked Qty]]=""),"",IPRF_Lines[[#This Row],[Requested Qty]]-IPRF_Lines[[#This Row],[Picked Qty]])</f>
        <v/>
      </c>
      <c r="M506" s="18" t="str" cm="1">
        <f t="array" ref="M506">IF(
    OR(IPRF_Lines[[#This Row],[Item Description]]="",IPRF_Lines[[#This Row],[Requested Qty]]="",IPRF_Lines[[#This Row],[Unit]]=""),
    "",UPPER(IPRF_Header[Request number] &amp; "-" &amp; IPRF_Lines[[#This Row],[Line num]]))</f>
        <v/>
      </c>
      <c r="N506" s="19" t="str" cm="1">
        <f t="array" ref="N5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IF(OR(IPRF_Lines[[#This Row],[Requested Qty]]="",IPRF_Lines[[#This Row],[Picked Qty]]=""),"",IPRF_Lines[[#This Row],[Requested Qty]]-IPRF_Lines[[#This Row],[Picked Qty]])</f>
        <v/>
      </c>
      <c r="M507" s="18" t="str" cm="1">
        <f t="array" ref="M507">IF(
    OR(IPRF_Lines[[#This Row],[Item Description]]="",IPRF_Lines[[#This Row],[Requested Qty]]="",IPRF_Lines[[#This Row],[Unit]]=""),
    "",UPPER(IPRF_Header[Request number] &amp; "-" &amp; IPRF_Lines[[#This Row],[Line num]]))</f>
        <v/>
      </c>
      <c r="N507" s="19" t="str" cm="1">
        <f t="array" ref="N5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IF(OR(IPRF_Lines[[#This Row],[Requested Qty]]="",IPRF_Lines[[#This Row],[Picked Qty]]=""),"",IPRF_Lines[[#This Row],[Requested Qty]]-IPRF_Lines[[#This Row],[Picked Qty]])</f>
        <v/>
      </c>
      <c r="M508" s="18" t="str" cm="1">
        <f t="array" ref="M508">IF(
    OR(IPRF_Lines[[#This Row],[Item Description]]="",IPRF_Lines[[#This Row],[Requested Qty]]="",IPRF_Lines[[#This Row],[Unit]]=""),
    "",UPPER(IPRF_Header[Request number] &amp; "-" &amp; IPRF_Lines[[#This Row],[Line num]]))</f>
        <v/>
      </c>
      <c r="N508" s="19" t="str" cm="1">
        <f t="array" ref="N5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IF(OR(IPRF_Lines[[#This Row],[Requested Qty]]="",IPRF_Lines[[#This Row],[Picked Qty]]=""),"",IPRF_Lines[[#This Row],[Requested Qty]]-IPRF_Lines[[#This Row],[Picked Qty]])</f>
        <v/>
      </c>
      <c r="M509" s="18" t="str" cm="1">
        <f t="array" ref="M509">IF(
    OR(IPRF_Lines[[#This Row],[Item Description]]="",IPRF_Lines[[#This Row],[Requested Qty]]="",IPRF_Lines[[#This Row],[Unit]]=""),
    "",UPPER(IPRF_Header[Request number] &amp; "-" &amp; IPRF_Lines[[#This Row],[Line num]]))</f>
        <v/>
      </c>
      <c r="N509" s="19" t="str" cm="1">
        <f t="array" ref="N5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IF(OR(IPRF_Lines[[#This Row],[Requested Qty]]="",IPRF_Lines[[#This Row],[Picked Qty]]=""),"",IPRF_Lines[[#This Row],[Requested Qty]]-IPRF_Lines[[#This Row],[Picked Qty]])</f>
        <v/>
      </c>
      <c r="M510" s="18" t="str" cm="1">
        <f t="array" ref="M510">IF(
    OR(IPRF_Lines[[#This Row],[Item Description]]="",IPRF_Lines[[#This Row],[Requested Qty]]="",IPRF_Lines[[#This Row],[Unit]]=""),
    "",UPPER(IPRF_Header[Request number] &amp; "-" &amp; IPRF_Lines[[#This Row],[Line num]]))</f>
        <v/>
      </c>
      <c r="N510" s="19" t="str" cm="1">
        <f t="array" ref="N5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IF(OR(IPRF_Lines[[#This Row],[Requested Qty]]="",IPRF_Lines[[#This Row],[Picked Qty]]=""),"",IPRF_Lines[[#This Row],[Requested Qty]]-IPRF_Lines[[#This Row],[Picked Qty]])</f>
        <v/>
      </c>
      <c r="M511" s="18" t="str" cm="1">
        <f t="array" ref="M511">IF(
    OR(IPRF_Lines[[#This Row],[Item Description]]="",IPRF_Lines[[#This Row],[Requested Qty]]="",IPRF_Lines[[#This Row],[Unit]]=""),
    "",UPPER(IPRF_Header[Request number] &amp; "-" &amp; IPRF_Lines[[#This Row],[Line num]]))</f>
        <v/>
      </c>
      <c r="N511" s="19" t="str" cm="1">
        <f t="array" ref="N5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IF(OR(IPRF_Lines[[#This Row],[Requested Qty]]="",IPRF_Lines[[#This Row],[Picked Qty]]=""),"",IPRF_Lines[[#This Row],[Requested Qty]]-IPRF_Lines[[#This Row],[Picked Qty]])</f>
        <v/>
      </c>
      <c r="M512" s="18" t="str" cm="1">
        <f t="array" ref="M512">IF(
    OR(IPRF_Lines[[#This Row],[Item Description]]="",IPRF_Lines[[#This Row],[Requested Qty]]="",IPRF_Lines[[#This Row],[Unit]]=""),
    "",UPPER(IPRF_Header[Request number] &amp; "-" &amp; IPRF_Lines[[#This Row],[Line num]]))</f>
        <v/>
      </c>
      <c r="N512" s="19" t="str" cm="1">
        <f t="array" ref="N5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OR(IPRF_Lines[[#This Row],[Item Description]]="",IPRF_Lines[[#This Row],[Requested Qty]]="",IPRF_Lines[[#This Row],[Unit]]=""),
    "",
    TEXT(ROW()-ROW(IPRF_Lines[[#Headers],[Line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IF(OR(IPRF_Lines[[#This Row],[Requested Qty]]="",IPRF_Lines[[#This Row],[Picked Qty]]=""),"",IPRF_Lines[[#This Row],[Requested Qty]]-IPRF_Lines[[#This Row],[Picked Qty]])</f>
        <v/>
      </c>
      <c r="M513" s="20" t="str" cm="1">
        <f t="array" ref="M513">IF(
    OR(IPRF_Lines[[#This Row],[Item Description]]="",IPRF_Lines[[#This Row],[Requested Qty]]="",IPRF_Lines[[#This Row],[Unit]]=""),
    "",UPPER(IPRF_Header[Request number] &amp; "-" &amp; IPRF_Lines[[#This Row],[Line num]]))</f>
        <v/>
      </c>
      <c r="N513" s="21" t="str" cm="1">
        <f t="array" ref="N5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</sheetData>
  <sheetProtection algorithmName="SHA-512" hashValue="eYfER6VUNPPxOkoAgDAkpt7aHYQLjit9tOvAaDqr+YiRPXxGmM94KzRvnZRztafOYodsvyXO+x9rt1WAGnQHpg==" saltValue="xa6HMguRW2nVqliTLCkplQ==" spinCount="100000" sheet="1" objects="1" scenarios="1" selectLockedCells="1"/>
  <protectedRanges>
    <protectedRange sqref="C5:D9 H5:I9 C10 M6:N11" name="Range3"/>
    <protectedRange sqref="B16:E513 K16 H17:K513" name="Item details"/>
    <protectedRange sqref="F16:G513" name="Item_Additional"/>
  </protectedRanges>
  <mergeCells count="34">
    <mergeCell ref="K11:L11"/>
    <mergeCell ref="A13:D13"/>
    <mergeCell ref="C6:D6"/>
    <mergeCell ref="C7:D7"/>
    <mergeCell ref="C8:D8"/>
    <mergeCell ref="A6:B6"/>
    <mergeCell ref="A7:B7"/>
    <mergeCell ref="A8:B8"/>
    <mergeCell ref="A9:B9"/>
    <mergeCell ref="C10:D10"/>
    <mergeCell ref="A10:B10"/>
    <mergeCell ref="K6:L6"/>
    <mergeCell ref="K7:L7"/>
    <mergeCell ref="K8:L8"/>
    <mergeCell ref="K9:L9"/>
    <mergeCell ref="C1:N2"/>
    <mergeCell ref="C3:N3"/>
    <mergeCell ref="C5:D5"/>
    <mergeCell ref="H5:I5"/>
    <mergeCell ref="K5:L5"/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H7:I7"/>
    <mergeCell ref="H8:I8"/>
  </mergeCells>
  <phoneticPr fontId="5" type="noConversion"/>
  <dataValidations count="16">
    <dataValidation type="decimal" operator="greaterThan" allowBlank="1" showInputMessage="1" showErrorMessage="1" sqref="E16:E513 J16:K513" xr:uid="{799D22A7-459B-43E5-81BE-A502A5C20BB5}">
      <formula1>0</formula1>
    </dataValidation>
    <dataValidation type="list" allowBlank="1" showInputMessage="1" showErrorMessage="1" sqref="G16:G35" xr:uid="{DA4DCEC1-7264-4C64-A5D6-BC5E1513EF95}">
      <formula1>"Urgent, Stock, Breakdown, Normal"</formula1>
    </dataValidation>
    <dataValidation type="date" operator="greaterThanOrEqual" allowBlank="1" showInputMessage="1" showErrorMessage="1" sqref="N5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C6" xr:uid="{29D45D42-176D-4373-85E9-06905E19B9B3}">
      <formula1>R_request_type</formula1>
    </dataValidation>
    <dataValidation type="list" allowBlank="1" showInputMessage="1" showErrorMessage="1" sqref="H6" xr:uid="{542661A7-B742-447F-B6CA-32EDB33C390C}">
      <formula1>R_item_type</formula1>
    </dataValidation>
    <dataValidation type="list" allowBlank="1" showInputMessage="1" showErrorMessage="1" sqref="N6" xr:uid="{18ACAFD6-3539-42E9-8DBC-5DA139309714}">
      <formula1>R_entity</formula1>
    </dataValidation>
    <dataValidation type="list" allowBlank="1" showInputMessage="1" showErrorMessage="1" sqref="C7" xr:uid="{9A9AB646-5A5D-448A-8BBB-64C2FBF5BEB4}">
      <formula1>R_bu</formula1>
    </dataValidation>
    <dataValidation type="list" allowBlank="1" showInputMessage="1" showErrorMessage="1" sqref="C10" xr:uid="{5F6CC737-00F5-4428-A3C4-70334AABCC55}">
      <formula1>R_projects</formula1>
    </dataValidation>
    <dataValidation type="list" allowBlank="1" showInputMessage="1" showErrorMessage="1" sqref="N9" xr:uid="{7A551967-E6AD-4A05-AE61-002340E6ECAE}">
      <formula1>R_requester_name</formula1>
    </dataValidation>
    <dataValidation type="list" allowBlank="1" showInputMessage="1" showErrorMessage="1" sqref="N10" xr:uid="{1397C59A-4D3A-451C-8B3D-F56D42F9084F}">
      <formula1>R_warehouse_rep_name</formula1>
    </dataValidation>
    <dataValidation type="textLength" allowBlank="1" showInputMessage="1" showErrorMessage="1" sqref="H17:H513" xr:uid="{EEE4719F-6BAF-4639-9EA3-F1B2E8621980}">
      <formula1>4</formula1>
      <formula2>10</formula2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whole" operator="greaterThan" allowBlank="1" showInputMessage="1" showErrorMessage="1" sqref="K16" xr:uid="{1B6879FE-6606-43BD-ABA6-90FE8A9C0188}">
      <formula1>0</formula1>
    </dataValidation>
    <dataValidation type="list" allowBlank="1" showInputMessage="1" showErrorMessage="1" sqref="N11" xr:uid="{90F8D05A-5E4A-4A78-8D20-B953A8A9EA05}">
      <formula1>"Inprogress"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80" r:id="rId4" name="chbox_postfacto">
          <controlPr defaultSize="0" autoLine="0" autoPict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11</xdr:col>
                <xdr:colOff>847725</xdr:colOff>
                <xdr:row>7</xdr:row>
                <xdr:rowOff>19050</xdr:rowOff>
              </to>
            </anchor>
          </controlPr>
        </control>
      </mc:Choice>
      <mc:Fallback>
        <control shapeId="3180" r:id="rId4" name="chbox_postfacto"/>
      </mc:Fallback>
    </mc:AlternateContent>
    <mc:AlternateContent xmlns:mc="http://schemas.openxmlformats.org/markup-compatibility/2006">
      <mc:Choice Requires="x14">
        <control shapeId="3179" r:id="rId6" name="chbox_rimses">
          <controlPr defaultSize="0" autoLine="0" autoPict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9" r:id="rId6" name="chbox_rimses"/>
      </mc:Fallback>
    </mc:AlternateContent>
    <mc:AlternateContent xmlns:mc="http://schemas.openxmlformats.org/markup-compatibility/2006">
      <mc:Choice Requires="x14">
        <control shapeId="3178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3178" r:id="rId8" name="Chbox_Sourcing"/>
      </mc:Fallback>
    </mc:AlternateContent>
    <mc:AlternateContent xmlns:mc="http://schemas.openxmlformats.org/markup-compatibility/2006">
      <mc:Choice Requires="x14">
        <control shapeId="3176" r:id="rId10" name="btn_reset_line">
          <controlPr defaultSize="0" autoLine="0" autoPict="0" r:id="rId11">
            <anchor moveWithCells="1">
              <from>
                <xdr:col>1</xdr:col>
                <xdr:colOff>504825</xdr:colOff>
                <xdr:row>10</xdr:row>
                <xdr:rowOff>238125</xdr:rowOff>
              </from>
              <to>
                <xdr:col>2</xdr:col>
                <xdr:colOff>533400</xdr:colOff>
                <xdr:row>11</xdr:row>
                <xdr:rowOff>285750</xdr:rowOff>
              </to>
            </anchor>
          </controlPr>
        </control>
      </mc:Choice>
      <mc:Fallback>
        <control shapeId="3176" r:id="rId10" name="btn_reset_line"/>
      </mc:Fallback>
    </mc:AlternateContent>
    <mc:AlternateContent xmlns:mc="http://schemas.openxmlformats.org/markup-compatibility/2006">
      <mc:Choice Requires="x14">
        <control shapeId="3125" r:id="rId12" name="btn_new_request">
          <controlPr defaultSize="0" autoLine="0" autoPict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1</xdr:col>
                <xdr:colOff>361950</xdr:colOff>
                <xdr:row>11</xdr:row>
                <xdr:rowOff>285750</xdr:rowOff>
              </to>
            </anchor>
          </controlPr>
        </control>
      </mc:Choice>
      <mc:Fallback>
        <control shapeId="3125" r:id="rId12" name="btn_new_request"/>
      </mc:Fallback>
    </mc:AlternateContent>
    <mc:AlternateContent xmlns:mc="http://schemas.openxmlformats.org/markup-compatibility/2006">
      <mc:Choice Requires="x14">
        <control shapeId="3124" r:id="rId14" name="btn_submit_request">
          <controlPr defaultSize="0" autoLine="0" r:id="rId15">
            <anchor moveWithCells="1">
              <from>
                <xdr:col>2</xdr:col>
                <xdr:colOff>666750</xdr:colOff>
                <xdr:row>10</xdr:row>
                <xdr:rowOff>238125</xdr:rowOff>
              </from>
              <to>
                <xdr:col>3</xdr:col>
                <xdr:colOff>1533525</xdr:colOff>
                <xdr:row>11</xdr:row>
                <xdr:rowOff>266700</xdr:rowOff>
              </to>
            </anchor>
          </controlPr>
        </control>
      </mc:Choice>
      <mc:Fallback>
        <control shapeId="3124" r:id="rId14" name="btn_submit_request"/>
      </mc:Fallback>
    </mc:AlternateContent>
    <mc:AlternateContent xmlns:mc="http://schemas.openxmlformats.org/markup-compatibility/2006">
      <mc:Choice Requires="x14">
        <control shapeId="3113" r:id="rId16" name="chbox_workorder">
          <controlPr defaultSize="0" autoLine="0" autoPict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13" r:id="rId16" name="chbox_workorder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B33F-E9CF-4794-B8E5-9D1F044AAD94}">
  <sheetPr codeName="Sheet4">
    <pageSetUpPr fitToPage="1"/>
  </sheetPr>
  <dimension ref="A1:N513"/>
  <sheetViews>
    <sheetView showGridLines="0" zoomScaleNormal="100" workbookViewId="0">
      <selection activeCell="N9" sqref="N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103">
        <v>58161</v>
      </c>
      <c r="D5" s="103"/>
      <c r="F5" s="80" t="s">
        <v>3</v>
      </c>
      <c r="G5" s="81"/>
      <c r="H5" s="103" t="s">
        <v>36</v>
      </c>
      <c r="I5" s="103"/>
      <c r="J5" s="38"/>
      <c r="K5" s="80" t="s">
        <v>4</v>
      </c>
      <c r="L5" s="81"/>
      <c r="M5" s="55"/>
      <c r="N5" s="62">
        <v>46009</v>
      </c>
    </row>
    <row r="6" spans="1:14" s="15" customFormat="1" ht="20.100000000000001" customHeight="1">
      <c r="A6" s="80" t="s">
        <v>5</v>
      </c>
      <c r="B6" s="81"/>
      <c r="C6" s="103" t="s">
        <v>6</v>
      </c>
      <c r="D6" s="103"/>
      <c r="F6" s="80" t="s">
        <v>7</v>
      </c>
      <c r="G6" s="81"/>
      <c r="H6" s="103" t="s">
        <v>8</v>
      </c>
      <c r="I6" s="103"/>
      <c r="J6" s="38"/>
      <c r="K6" s="80" t="s">
        <v>9</v>
      </c>
      <c r="L6" s="81"/>
      <c r="M6" s="54"/>
      <c r="N6" s="39" t="s">
        <v>37</v>
      </c>
    </row>
    <row r="7" spans="1:14" s="15" customFormat="1" ht="20.100000000000001" customHeight="1">
      <c r="A7" s="80" t="s">
        <v>11</v>
      </c>
      <c r="B7" s="81"/>
      <c r="C7" s="103" t="s">
        <v>12</v>
      </c>
      <c r="D7" s="103"/>
      <c r="F7" s="80"/>
      <c r="G7" s="81"/>
      <c r="H7" s="103"/>
      <c r="I7" s="103"/>
      <c r="J7" s="38"/>
      <c r="K7" s="80"/>
      <c r="L7" s="81"/>
      <c r="M7" s="103" t="s">
        <v>38</v>
      </c>
      <c r="N7" s="103"/>
    </row>
    <row r="8" spans="1:14" s="15" customFormat="1" ht="20.100000000000001" customHeight="1">
      <c r="A8" s="80" t="s">
        <v>13</v>
      </c>
      <c r="B8" s="81"/>
      <c r="C8" s="104">
        <v>46009</v>
      </c>
      <c r="D8" s="104"/>
      <c r="F8" s="80" t="s">
        <v>14</v>
      </c>
      <c r="G8" s="81"/>
      <c r="H8" s="100" t="s">
        <v>39</v>
      </c>
      <c r="I8" s="100"/>
      <c r="K8" s="80" t="s">
        <v>15</v>
      </c>
      <c r="L8" s="81"/>
      <c r="M8" s="56"/>
      <c r="N8" s="56" t="s">
        <v>40</v>
      </c>
    </row>
    <row r="9" spans="1:14" s="15" customFormat="1" ht="20.100000000000001" customHeight="1">
      <c r="A9" s="94"/>
      <c r="B9" s="101"/>
      <c r="C9" s="102">
        <v>1254816</v>
      </c>
      <c r="D9" s="102"/>
      <c r="F9" s="80"/>
      <c r="G9" s="81"/>
      <c r="H9" s="102">
        <v>8741085</v>
      </c>
      <c r="I9" s="102"/>
      <c r="J9" s="38"/>
      <c r="K9" s="80" t="s">
        <v>16</v>
      </c>
      <c r="L9" s="81"/>
      <c r="M9" s="57"/>
      <c r="N9" s="36"/>
    </row>
    <row r="10" spans="1:14" s="15" customFormat="1" ht="20.100000000000001" customHeight="1">
      <c r="A10" s="80" t="s">
        <v>18</v>
      </c>
      <c r="B10" s="81"/>
      <c r="C10" s="98"/>
      <c r="D10" s="99"/>
      <c r="F10" s="80" t="s">
        <v>19</v>
      </c>
      <c r="G10" s="81"/>
      <c r="H10" s="100"/>
      <c r="I10" s="100"/>
      <c r="J10" s="38"/>
      <c r="K10" s="80" t="s">
        <v>20</v>
      </c>
      <c r="L10" s="81"/>
      <c r="M10" s="57"/>
      <c r="N10" s="36" t="s">
        <v>42</v>
      </c>
    </row>
    <row r="11" spans="1:14" s="15" customFormat="1" ht="20.100000000000001" customHeight="1">
      <c r="I11" s="38"/>
      <c r="J11" s="38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30" customHeight="1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OR(IPRF_Lines_Edit[[#This Row],[Item Description]]="",IPRF_Lines_Edit[[#This Row],[Requested Qty]]="",IPRF_Lines_Edit[[#This Row],[Unit]]=""),
    "",
    TEXT(ROW()-ROW(IPRF_Lines_Edit[[#Headers],[Line num]]), "000")
)</f>
        <v>001</v>
      </c>
      <c r="B16" s="6" t="s">
        <v>43</v>
      </c>
      <c r="C16" s="7" t="s">
        <v>44</v>
      </c>
      <c r="D16" s="8" t="s">
        <v>45</v>
      </c>
      <c r="E16" s="9">
        <v>1</v>
      </c>
      <c r="F16" s="10" t="s">
        <v>46</v>
      </c>
      <c r="G16" s="10" t="s">
        <v>47</v>
      </c>
      <c r="H16" s="10"/>
      <c r="I16" s="10"/>
      <c r="J16" s="60"/>
      <c r="K16" s="9"/>
      <c r="L16" s="58" t="str">
        <f>IF(OR(IPRF_Lines_Edit[[#This Row],[Requested Qty]]="",IPRF_Lines_Edit[[#This Row],[Picked Qty]]=""),"",IPRF_Lines_Edit[[#This Row],[Requested Qty]]-IPRF_Lines_Edit[[#This Row],[Picked Qty]])</f>
        <v/>
      </c>
      <c r="M16" s="18" t="str" cm="1">
        <f t="array" ref="M16">IF(
    OR(IPRF_Lines_Edit[[#This Row],[Item Description]]="",IPRF_Lines_Edit[[#This Row],[Requested Qty]]="",IPRF_Lines_Edit[[#This Row],[Unit]]=""),
    "",UPPER(IPRF_Header[Request number] &amp; "-" &amp; IPRF_Lines_Edit[[#This Row],[Line num]]))</f>
        <v>-001</v>
      </c>
      <c r="N16" s="19" t="str" cm="1">
        <f t="array" ref="N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OR(IPRF_Lines_Edit[[#This Row],[Item Description]]="",IPRF_Lines_Edit[[#This Row],[Requested Qty]]="",IPRF_Lines_Edit[[#This Row],[Unit]]=""),
    "",
    TEXT(ROW()-ROW(IPRF_Lines_Edit[[#Headers],[Line num]]), "000")
)</f>
        <v>002</v>
      </c>
      <c r="B17" s="6" t="s">
        <v>48</v>
      </c>
      <c r="C17" s="7" t="s">
        <v>49</v>
      </c>
      <c r="D17" s="6" t="s">
        <v>50</v>
      </c>
      <c r="E17" s="9">
        <v>5</v>
      </c>
      <c r="F17" s="10" t="s">
        <v>46</v>
      </c>
      <c r="G17" s="10" t="s">
        <v>51</v>
      </c>
      <c r="H17" s="7"/>
      <c r="I17" s="7"/>
      <c r="J17" s="60"/>
      <c r="K17" s="9"/>
      <c r="L17" s="58" t="str">
        <f>IF(OR(IPRF_Lines_Edit[[#This Row],[Requested Qty]]="",IPRF_Lines_Edit[[#This Row],[Picked Qty]]=""),"",IPRF_Lines_Edit[[#This Row],[Requested Qty]]-IPRF_Lines_Edit[[#This Row],[Picked Qty]])</f>
        <v/>
      </c>
      <c r="M17" s="18" t="str" cm="1">
        <f t="array" ref="M17">IF(
    OR(IPRF_Lines_Edit[[#This Row],[Item Description]]="",IPRF_Lines_Edit[[#This Row],[Requested Qty]]="",IPRF_Lines_Edit[[#This Row],[Unit]]=""),
    "",UPPER(IPRF_Header[Request number] &amp; "-" &amp; IPRF_Lines_Edit[[#This Row],[Line num]]))</f>
        <v>-002</v>
      </c>
      <c r="N17" s="19" t="str" cm="1">
        <f t="array" ref="N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IF(OR(IPRF_Lines_Edit[[#This Row],[Requested Qty]]="",IPRF_Lines_Edit[[#This Row],[Picked Qty]]=""),"",IPRF_Lines_Edit[[#This Row],[Requested Qty]]-IPRF_Lines_Edit[[#This Row],[Picked Qty]])</f>
        <v/>
      </c>
      <c r="M18" s="18" t="str" cm="1">
        <f t="array" ref="M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" s="19" t="str" cm="1">
        <f t="array" ref="N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IF(OR(IPRF_Lines_Edit[[#This Row],[Requested Qty]]="",IPRF_Lines_Edit[[#This Row],[Picked Qty]]=""),"",IPRF_Lines_Edit[[#This Row],[Requested Qty]]-IPRF_Lines_Edit[[#This Row],[Picked Qty]])</f>
        <v/>
      </c>
      <c r="M19" s="18" t="str" cm="1">
        <f t="array" ref="M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" s="19" t="str" cm="1">
        <f t="array" ref="N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IF(OR(IPRF_Lines_Edit[[#This Row],[Requested Qty]]="",IPRF_Lines_Edit[[#This Row],[Picked Qty]]=""),"",IPRF_Lines_Edit[[#This Row],[Requested Qty]]-IPRF_Lines_Edit[[#This Row],[Picked Qty]])</f>
        <v/>
      </c>
      <c r="M20" s="18" t="str" cm="1">
        <f t="array" ref="M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" s="19" t="str" cm="1">
        <f t="array" ref="N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IF(OR(IPRF_Lines_Edit[[#This Row],[Requested Qty]]="",IPRF_Lines_Edit[[#This Row],[Picked Qty]]=""),"",IPRF_Lines_Edit[[#This Row],[Requested Qty]]-IPRF_Lines_Edit[[#This Row],[Picked Qty]])</f>
        <v/>
      </c>
      <c r="M21" s="18" t="str" cm="1">
        <f t="array" ref="M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" s="19" t="str" cm="1">
        <f t="array" ref="N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IF(OR(IPRF_Lines_Edit[[#This Row],[Requested Qty]]="",IPRF_Lines_Edit[[#This Row],[Picked Qty]]=""),"",IPRF_Lines_Edit[[#This Row],[Requested Qty]]-IPRF_Lines_Edit[[#This Row],[Picked Qty]])</f>
        <v/>
      </c>
      <c r="M22" s="18" t="str" cm="1">
        <f t="array" ref="M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" s="19" t="str" cm="1">
        <f t="array" ref="N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IF(OR(IPRF_Lines_Edit[[#This Row],[Requested Qty]]="",IPRF_Lines_Edit[[#This Row],[Picked Qty]]=""),"",IPRF_Lines_Edit[[#This Row],[Requested Qty]]-IPRF_Lines_Edit[[#This Row],[Picked Qty]])</f>
        <v/>
      </c>
      <c r="M23" s="18" t="str" cm="1">
        <f t="array" ref="M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" s="19" t="str" cm="1">
        <f t="array" ref="N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IF(OR(IPRF_Lines_Edit[[#This Row],[Requested Qty]]="",IPRF_Lines_Edit[[#This Row],[Picked Qty]]=""),"",IPRF_Lines_Edit[[#This Row],[Requested Qty]]-IPRF_Lines_Edit[[#This Row],[Picked Qty]])</f>
        <v/>
      </c>
      <c r="M24" s="18" t="str" cm="1">
        <f t="array" ref="M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" s="19" t="str" cm="1">
        <f t="array" ref="N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IF(OR(IPRF_Lines_Edit[[#This Row],[Requested Qty]]="",IPRF_Lines_Edit[[#This Row],[Picked Qty]]=""),"",IPRF_Lines_Edit[[#This Row],[Requested Qty]]-IPRF_Lines_Edit[[#This Row],[Picked Qty]])</f>
        <v/>
      </c>
      <c r="M25" s="18" t="str" cm="1">
        <f t="array" ref="M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" s="19" t="str" cm="1">
        <f t="array" ref="N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IF(OR(IPRF_Lines_Edit[[#This Row],[Requested Qty]]="",IPRF_Lines_Edit[[#This Row],[Picked Qty]]=""),"",IPRF_Lines_Edit[[#This Row],[Requested Qty]]-IPRF_Lines_Edit[[#This Row],[Picked Qty]])</f>
        <v/>
      </c>
      <c r="M26" s="18" t="str" cm="1">
        <f t="array" ref="M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" s="19" t="str" cm="1">
        <f t="array" ref="N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IF(OR(IPRF_Lines_Edit[[#This Row],[Requested Qty]]="",IPRF_Lines_Edit[[#This Row],[Picked Qty]]=""),"",IPRF_Lines_Edit[[#This Row],[Requested Qty]]-IPRF_Lines_Edit[[#This Row],[Picked Qty]])</f>
        <v/>
      </c>
      <c r="M27" s="18" t="str" cm="1">
        <f t="array" ref="M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" s="19" t="str" cm="1">
        <f t="array" ref="N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IF(OR(IPRF_Lines_Edit[[#This Row],[Requested Qty]]="",IPRF_Lines_Edit[[#This Row],[Picked Qty]]=""),"",IPRF_Lines_Edit[[#This Row],[Requested Qty]]-IPRF_Lines_Edit[[#This Row],[Picked Qty]])</f>
        <v/>
      </c>
      <c r="M28" s="18" t="str" cm="1">
        <f t="array" ref="M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" s="19" t="str" cm="1">
        <f t="array" ref="N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IF(OR(IPRF_Lines_Edit[[#This Row],[Requested Qty]]="",IPRF_Lines_Edit[[#This Row],[Picked Qty]]=""),"",IPRF_Lines_Edit[[#This Row],[Requested Qty]]-IPRF_Lines_Edit[[#This Row],[Picked Qty]])</f>
        <v/>
      </c>
      <c r="M29" s="18" t="str" cm="1">
        <f t="array" ref="M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" s="19" t="str" cm="1">
        <f t="array" ref="N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IF(OR(IPRF_Lines_Edit[[#This Row],[Requested Qty]]="",IPRF_Lines_Edit[[#This Row],[Picked Qty]]=""),"",IPRF_Lines_Edit[[#This Row],[Requested Qty]]-IPRF_Lines_Edit[[#This Row],[Picked Qty]])</f>
        <v/>
      </c>
      <c r="M30" s="18" t="str" cm="1">
        <f t="array" ref="M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" s="19" t="str" cm="1">
        <f t="array" ref="N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IF(OR(IPRF_Lines_Edit[[#This Row],[Requested Qty]]="",IPRF_Lines_Edit[[#This Row],[Picked Qty]]=""),"",IPRF_Lines_Edit[[#This Row],[Requested Qty]]-IPRF_Lines_Edit[[#This Row],[Picked Qty]])</f>
        <v/>
      </c>
      <c r="M31" s="18" t="str" cm="1">
        <f t="array" ref="M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" s="19" t="str" cm="1">
        <f t="array" ref="N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IF(OR(IPRF_Lines_Edit[[#This Row],[Requested Qty]]="",IPRF_Lines_Edit[[#This Row],[Picked Qty]]=""),"",IPRF_Lines_Edit[[#This Row],[Requested Qty]]-IPRF_Lines_Edit[[#This Row],[Picked Qty]])</f>
        <v/>
      </c>
      <c r="M32" s="18" t="str" cm="1">
        <f t="array" ref="M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" s="19" t="str" cm="1">
        <f t="array" ref="N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IF(OR(IPRF_Lines_Edit[[#This Row],[Requested Qty]]="",IPRF_Lines_Edit[[#This Row],[Picked Qty]]=""),"",IPRF_Lines_Edit[[#This Row],[Requested Qty]]-IPRF_Lines_Edit[[#This Row],[Picked Qty]])</f>
        <v/>
      </c>
      <c r="M33" s="18" t="str" cm="1">
        <f t="array" ref="M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" s="19" t="str" cm="1">
        <f t="array" ref="N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IF(OR(IPRF_Lines_Edit[[#This Row],[Requested Qty]]="",IPRF_Lines_Edit[[#This Row],[Picked Qty]]=""),"",IPRF_Lines_Edit[[#This Row],[Requested Qty]]-IPRF_Lines_Edit[[#This Row],[Picked Qty]])</f>
        <v/>
      </c>
      <c r="M34" s="18" t="str" cm="1">
        <f t="array" ref="M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" s="19" t="str" cm="1">
        <f t="array" ref="N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IF(OR(IPRF_Lines_Edit[[#This Row],[Requested Qty]]="",IPRF_Lines_Edit[[#This Row],[Picked Qty]]=""),"",IPRF_Lines_Edit[[#This Row],[Requested Qty]]-IPRF_Lines_Edit[[#This Row],[Picked Qty]])</f>
        <v/>
      </c>
      <c r="M35" s="18" t="str" cm="1">
        <f t="array" ref="M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" s="19" t="str" cm="1">
        <f t="array" ref="N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IF(OR(IPRF_Lines_Edit[[#This Row],[Requested Qty]]="",IPRF_Lines_Edit[[#This Row],[Picked Qty]]=""),"",IPRF_Lines_Edit[[#This Row],[Requested Qty]]-IPRF_Lines_Edit[[#This Row],[Picked Qty]])</f>
        <v/>
      </c>
      <c r="M36" s="18" t="str" cm="1">
        <f t="array" ref="M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" s="19" t="str" cm="1">
        <f t="array" ref="N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IF(OR(IPRF_Lines_Edit[[#This Row],[Requested Qty]]="",IPRF_Lines_Edit[[#This Row],[Picked Qty]]=""),"",IPRF_Lines_Edit[[#This Row],[Requested Qty]]-IPRF_Lines_Edit[[#This Row],[Picked Qty]])</f>
        <v/>
      </c>
      <c r="M37" s="18" t="str" cm="1">
        <f t="array" ref="M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" s="19" t="str" cm="1">
        <f t="array" ref="N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IF(OR(IPRF_Lines_Edit[[#This Row],[Requested Qty]]="",IPRF_Lines_Edit[[#This Row],[Picked Qty]]=""),"",IPRF_Lines_Edit[[#This Row],[Requested Qty]]-IPRF_Lines_Edit[[#This Row],[Picked Qty]])</f>
        <v/>
      </c>
      <c r="M38" s="18" t="str" cm="1">
        <f t="array" ref="M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" s="19" t="str" cm="1">
        <f t="array" ref="N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IF(OR(IPRF_Lines_Edit[[#This Row],[Requested Qty]]="",IPRF_Lines_Edit[[#This Row],[Picked Qty]]=""),"",IPRF_Lines_Edit[[#This Row],[Requested Qty]]-IPRF_Lines_Edit[[#This Row],[Picked Qty]])</f>
        <v/>
      </c>
      <c r="M39" s="18" t="str" cm="1">
        <f t="array" ref="M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" s="19" t="str" cm="1">
        <f t="array" ref="N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IF(OR(IPRF_Lines_Edit[[#This Row],[Requested Qty]]="",IPRF_Lines_Edit[[#This Row],[Picked Qty]]=""),"",IPRF_Lines_Edit[[#This Row],[Requested Qty]]-IPRF_Lines_Edit[[#This Row],[Picked Qty]])</f>
        <v/>
      </c>
      <c r="M40" s="18" t="str" cm="1">
        <f t="array" ref="M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" s="19" t="str" cm="1">
        <f t="array" ref="N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IF(OR(IPRF_Lines_Edit[[#This Row],[Requested Qty]]="",IPRF_Lines_Edit[[#This Row],[Picked Qty]]=""),"",IPRF_Lines_Edit[[#This Row],[Requested Qty]]-IPRF_Lines_Edit[[#This Row],[Picked Qty]])</f>
        <v/>
      </c>
      <c r="M41" s="18" t="str" cm="1">
        <f t="array" ref="M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" s="19" t="str" cm="1">
        <f t="array" ref="N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IF(OR(IPRF_Lines_Edit[[#This Row],[Requested Qty]]="",IPRF_Lines_Edit[[#This Row],[Picked Qty]]=""),"",IPRF_Lines_Edit[[#This Row],[Requested Qty]]-IPRF_Lines_Edit[[#This Row],[Picked Qty]])</f>
        <v/>
      </c>
      <c r="M42" s="18" t="str" cm="1">
        <f t="array" ref="M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" s="19" t="str" cm="1">
        <f t="array" ref="N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IF(OR(IPRF_Lines_Edit[[#This Row],[Requested Qty]]="",IPRF_Lines_Edit[[#This Row],[Picked Qty]]=""),"",IPRF_Lines_Edit[[#This Row],[Requested Qty]]-IPRF_Lines_Edit[[#This Row],[Picked Qty]])</f>
        <v/>
      </c>
      <c r="M43" s="18" t="str" cm="1">
        <f t="array" ref="M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" s="19" t="str" cm="1">
        <f t="array" ref="N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IF(OR(IPRF_Lines_Edit[[#This Row],[Requested Qty]]="",IPRF_Lines_Edit[[#This Row],[Picked Qty]]=""),"",IPRF_Lines_Edit[[#This Row],[Requested Qty]]-IPRF_Lines_Edit[[#This Row],[Picked Qty]])</f>
        <v/>
      </c>
      <c r="M44" s="18" t="str" cm="1">
        <f t="array" ref="M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" s="19" t="str" cm="1">
        <f t="array" ref="N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IF(OR(IPRF_Lines_Edit[[#This Row],[Requested Qty]]="",IPRF_Lines_Edit[[#This Row],[Picked Qty]]=""),"",IPRF_Lines_Edit[[#This Row],[Requested Qty]]-IPRF_Lines_Edit[[#This Row],[Picked Qty]])</f>
        <v/>
      </c>
      <c r="M45" s="18" t="str" cm="1">
        <f t="array" ref="M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" s="19" t="str" cm="1">
        <f t="array" ref="N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IF(OR(IPRF_Lines_Edit[[#This Row],[Requested Qty]]="",IPRF_Lines_Edit[[#This Row],[Picked Qty]]=""),"",IPRF_Lines_Edit[[#This Row],[Requested Qty]]-IPRF_Lines_Edit[[#This Row],[Picked Qty]])</f>
        <v/>
      </c>
      <c r="M46" s="18" t="str" cm="1">
        <f t="array" ref="M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" s="19" t="str" cm="1">
        <f t="array" ref="N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IF(OR(IPRF_Lines_Edit[[#This Row],[Requested Qty]]="",IPRF_Lines_Edit[[#This Row],[Picked Qty]]=""),"",IPRF_Lines_Edit[[#This Row],[Requested Qty]]-IPRF_Lines_Edit[[#This Row],[Picked Qty]])</f>
        <v/>
      </c>
      <c r="M47" s="18" t="str" cm="1">
        <f t="array" ref="M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" s="19" t="str" cm="1">
        <f t="array" ref="N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IF(OR(IPRF_Lines_Edit[[#This Row],[Requested Qty]]="",IPRF_Lines_Edit[[#This Row],[Picked Qty]]=""),"",IPRF_Lines_Edit[[#This Row],[Requested Qty]]-IPRF_Lines_Edit[[#This Row],[Picked Qty]])</f>
        <v/>
      </c>
      <c r="M48" s="18" t="str" cm="1">
        <f t="array" ref="M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" s="19" t="str" cm="1">
        <f t="array" ref="N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IF(OR(IPRF_Lines_Edit[[#This Row],[Requested Qty]]="",IPRF_Lines_Edit[[#This Row],[Picked Qty]]=""),"",IPRF_Lines_Edit[[#This Row],[Requested Qty]]-IPRF_Lines_Edit[[#This Row],[Picked Qty]])</f>
        <v/>
      </c>
      <c r="M49" s="18" t="str" cm="1">
        <f t="array" ref="M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" s="19" t="str" cm="1">
        <f t="array" ref="N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IF(OR(IPRF_Lines_Edit[[#This Row],[Requested Qty]]="",IPRF_Lines_Edit[[#This Row],[Picked Qty]]=""),"",IPRF_Lines_Edit[[#This Row],[Requested Qty]]-IPRF_Lines_Edit[[#This Row],[Picked Qty]])</f>
        <v/>
      </c>
      <c r="M50" s="18" t="str" cm="1">
        <f t="array" ref="M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" s="19" t="str" cm="1">
        <f t="array" ref="N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IF(OR(IPRF_Lines_Edit[[#This Row],[Requested Qty]]="",IPRF_Lines_Edit[[#This Row],[Picked Qty]]=""),"",IPRF_Lines_Edit[[#This Row],[Requested Qty]]-IPRF_Lines_Edit[[#This Row],[Picked Qty]])</f>
        <v/>
      </c>
      <c r="M51" s="18" t="str" cm="1">
        <f t="array" ref="M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" s="19" t="str" cm="1">
        <f t="array" ref="N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IF(OR(IPRF_Lines_Edit[[#This Row],[Requested Qty]]="",IPRF_Lines_Edit[[#This Row],[Picked Qty]]=""),"",IPRF_Lines_Edit[[#This Row],[Requested Qty]]-IPRF_Lines_Edit[[#This Row],[Picked Qty]])</f>
        <v/>
      </c>
      <c r="M52" s="18" t="str" cm="1">
        <f t="array" ref="M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2" s="19" t="str" cm="1">
        <f t="array" ref="N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IF(OR(IPRF_Lines_Edit[[#This Row],[Requested Qty]]="",IPRF_Lines_Edit[[#This Row],[Picked Qty]]=""),"",IPRF_Lines_Edit[[#This Row],[Requested Qty]]-IPRF_Lines_Edit[[#This Row],[Picked Qty]])</f>
        <v/>
      </c>
      <c r="M53" s="18" t="str" cm="1">
        <f t="array" ref="M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3" s="19" t="str" cm="1">
        <f t="array" ref="N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IF(OR(IPRF_Lines_Edit[[#This Row],[Requested Qty]]="",IPRF_Lines_Edit[[#This Row],[Picked Qty]]=""),"",IPRF_Lines_Edit[[#This Row],[Requested Qty]]-IPRF_Lines_Edit[[#This Row],[Picked Qty]])</f>
        <v/>
      </c>
      <c r="M54" s="18" t="str" cm="1">
        <f t="array" ref="M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4" s="19" t="str" cm="1">
        <f t="array" ref="N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IF(OR(IPRF_Lines_Edit[[#This Row],[Requested Qty]]="",IPRF_Lines_Edit[[#This Row],[Picked Qty]]=""),"",IPRF_Lines_Edit[[#This Row],[Requested Qty]]-IPRF_Lines_Edit[[#This Row],[Picked Qty]])</f>
        <v/>
      </c>
      <c r="M55" s="18" t="str" cm="1">
        <f t="array" ref="M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5" s="19" t="str" cm="1">
        <f t="array" ref="N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IF(OR(IPRF_Lines_Edit[[#This Row],[Requested Qty]]="",IPRF_Lines_Edit[[#This Row],[Picked Qty]]=""),"",IPRF_Lines_Edit[[#This Row],[Requested Qty]]-IPRF_Lines_Edit[[#This Row],[Picked Qty]])</f>
        <v/>
      </c>
      <c r="M56" s="18" t="str" cm="1">
        <f t="array" ref="M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6" s="19" t="str" cm="1">
        <f t="array" ref="N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IF(OR(IPRF_Lines_Edit[[#This Row],[Requested Qty]]="",IPRF_Lines_Edit[[#This Row],[Picked Qty]]=""),"",IPRF_Lines_Edit[[#This Row],[Requested Qty]]-IPRF_Lines_Edit[[#This Row],[Picked Qty]])</f>
        <v/>
      </c>
      <c r="M57" s="18" t="str" cm="1">
        <f t="array" ref="M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7" s="19" t="str" cm="1">
        <f t="array" ref="N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IF(OR(IPRF_Lines_Edit[[#This Row],[Requested Qty]]="",IPRF_Lines_Edit[[#This Row],[Picked Qty]]=""),"",IPRF_Lines_Edit[[#This Row],[Requested Qty]]-IPRF_Lines_Edit[[#This Row],[Picked Qty]])</f>
        <v/>
      </c>
      <c r="M58" s="18" t="str" cm="1">
        <f t="array" ref="M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8" s="19" t="str" cm="1">
        <f t="array" ref="N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IF(OR(IPRF_Lines_Edit[[#This Row],[Requested Qty]]="",IPRF_Lines_Edit[[#This Row],[Picked Qty]]=""),"",IPRF_Lines_Edit[[#This Row],[Requested Qty]]-IPRF_Lines_Edit[[#This Row],[Picked Qty]])</f>
        <v/>
      </c>
      <c r="M59" s="18" t="str" cm="1">
        <f t="array" ref="M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9" s="19" t="str" cm="1">
        <f t="array" ref="N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IF(OR(IPRF_Lines_Edit[[#This Row],[Requested Qty]]="",IPRF_Lines_Edit[[#This Row],[Picked Qty]]=""),"",IPRF_Lines_Edit[[#This Row],[Requested Qty]]-IPRF_Lines_Edit[[#This Row],[Picked Qty]])</f>
        <v/>
      </c>
      <c r="M60" s="18" t="str" cm="1">
        <f t="array" ref="M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0" s="19" t="str" cm="1">
        <f t="array" ref="N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IF(OR(IPRF_Lines_Edit[[#This Row],[Requested Qty]]="",IPRF_Lines_Edit[[#This Row],[Picked Qty]]=""),"",IPRF_Lines_Edit[[#This Row],[Requested Qty]]-IPRF_Lines_Edit[[#This Row],[Picked Qty]])</f>
        <v/>
      </c>
      <c r="M61" s="18" t="str" cm="1">
        <f t="array" ref="M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1" s="19" t="str" cm="1">
        <f t="array" ref="N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IF(OR(IPRF_Lines_Edit[[#This Row],[Requested Qty]]="",IPRF_Lines_Edit[[#This Row],[Picked Qty]]=""),"",IPRF_Lines_Edit[[#This Row],[Requested Qty]]-IPRF_Lines_Edit[[#This Row],[Picked Qty]])</f>
        <v/>
      </c>
      <c r="M62" s="18" t="str" cm="1">
        <f t="array" ref="M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2" s="19" t="str" cm="1">
        <f t="array" ref="N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IF(OR(IPRF_Lines_Edit[[#This Row],[Requested Qty]]="",IPRF_Lines_Edit[[#This Row],[Picked Qty]]=""),"",IPRF_Lines_Edit[[#This Row],[Requested Qty]]-IPRF_Lines_Edit[[#This Row],[Picked Qty]])</f>
        <v/>
      </c>
      <c r="M63" s="18" t="str" cm="1">
        <f t="array" ref="M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3" s="19" t="str" cm="1">
        <f t="array" ref="N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IF(OR(IPRF_Lines_Edit[[#This Row],[Requested Qty]]="",IPRF_Lines_Edit[[#This Row],[Picked Qty]]=""),"",IPRF_Lines_Edit[[#This Row],[Requested Qty]]-IPRF_Lines_Edit[[#This Row],[Picked Qty]])</f>
        <v/>
      </c>
      <c r="M64" s="18" t="str" cm="1">
        <f t="array" ref="M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4" s="19" t="str" cm="1">
        <f t="array" ref="N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IF(OR(IPRF_Lines_Edit[[#This Row],[Requested Qty]]="",IPRF_Lines_Edit[[#This Row],[Picked Qty]]=""),"",IPRF_Lines_Edit[[#This Row],[Requested Qty]]-IPRF_Lines_Edit[[#This Row],[Picked Qty]])</f>
        <v/>
      </c>
      <c r="M65" s="18" t="str" cm="1">
        <f t="array" ref="M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5" s="19" t="str" cm="1">
        <f t="array" ref="N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IF(OR(IPRF_Lines_Edit[[#This Row],[Requested Qty]]="",IPRF_Lines_Edit[[#This Row],[Picked Qty]]=""),"",IPRF_Lines_Edit[[#This Row],[Requested Qty]]-IPRF_Lines_Edit[[#This Row],[Picked Qty]])</f>
        <v/>
      </c>
      <c r="M66" s="18" t="str" cm="1">
        <f t="array" ref="M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6" s="19" t="str" cm="1">
        <f t="array" ref="N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IF(OR(IPRF_Lines_Edit[[#This Row],[Requested Qty]]="",IPRF_Lines_Edit[[#This Row],[Picked Qty]]=""),"",IPRF_Lines_Edit[[#This Row],[Requested Qty]]-IPRF_Lines_Edit[[#This Row],[Picked Qty]])</f>
        <v/>
      </c>
      <c r="M67" s="18" t="str" cm="1">
        <f t="array" ref="M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7" s="19" t="str" cm="1">
        <f t="array" ref="N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IF(OR(IPRF_Lines_Edit[[#This Row],[Requested Qty]]="",IPRF_Lines_Edit[[#This Row],[Picked Qty]]=""),"",IPRF_Lines_Edit[[#This Row],[Requested Qty]]-IPRF_Lines_Edit[[#This Row],[Picked Qty]])</f>
        <v/>
      </c>
      <c r="M68" s="18" t="str" cm="1">
        <f t="array" ref="M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8" s="19" t="str" cm="1">
        <f t="array" ref="N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IF(OR(IPRF_Lines_Edit[[#This Row],[Requested Qty]]="",IPRF_Lines_Edit[[#This Row],[Picked Qty]]=""),"",IPRF_Lines_Edit[[#This Row],[Requested Qty]]-IPRF_Lines_Edit[[#This Row],[Picked Qty]])</f>
        <v/>
      </c>
      <c r="M69" s="18" t="str" cm="1">
        <f t="array" ref="M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9" s="19" t="str" cm="1">
        <f t="array" ref="N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IF(OR(IPRF_Lines_Edit[[#This Row],[Requested Qty]]="",IPRF_Lines_Edit[[#This Row],[Picked Qty]]=""),"",IPRF_Lines_Edit[[#This Row],[Requested Qty]]-IPRF_Lines_Edit[[#This Row],[Picked Qty]])</f>
        <v/>
      </c>
      <c r="M70" s="18" t="str" cm="1">
        <f t="array" ref="M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0" s="19" t="str" cm="1">
        <f t="array" ref="N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IF(OR(IPRF_Lines_Edit[[#This Row],[Requested Qty]]="",IPRF_Lines_Edit[[#This Row],[Picked Qty]]=""),"",IPRF_Lines_Edit[[#This Row],[Requested Qty]]-IPRF_Lines_Edit[[#This Row],[Picked Qty]])</f>
        <v/>
      </c>
      <c r="M71" s="18" t="str" cm="1">
        <f t="array" ref="M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1" s="19" t="str" cm="1">
        <f t="array" ref="N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IF(OR(IPRF_Lines_Edit[[#This Row],[Requested Qty]]="",IPRF_Lines_Edit[[#This Row],[Picked Qty]]=""),"",IPRF_Lines_Edit[[#This Row],[Requested Qty]]-IPRF_Lines_Edit[[#This Row],[Picked Qty]])</f>
        <v/>
      </c>
      <c r="M72" s="18" t="str" cm="1">
        <f t="array" ref="M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2" s="19" t="str" cm="1">
        <f t="array" ref="N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IF(OR(IPRF_Lines_Edit[[#This Row],[Requested Qty]]="",IPRF_Lines_Edit[[#This Row],[Picked Qty]]=""),"",IPRF_Lines_Edit[[#This Row],[Requested Qty]]-IPRF_Lines_Edit[[#This Row],[Picked Qty]])</f>
        <v/>
      </c>
      <c r="M73" s="18" t="str" cm="1">
        <f t="array" ref="M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3" s="19" t="str" cm="1">
        <f t="array" ref="N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IF(OR(IPRF_Lines_Edit[[#This Row],[Requested Qty]]="",IPRF_Lines_Edit[[#This Row],[Picked Qty]]=""),"",IPRF_Lines_Edit[[#This Row],[Requested Qty]]-IPRF_Lines_Edit[[#This Row],[Picked Qty]])</f>
        <v/>
      </c>
      <c r="M74" s="18" t="str" cm="1">
        <f t="array" ref="M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4" s="19" t="str" cm="1">
        <f t="array" ref="N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IF(OR(IPRF_Lines_Edit[[#This Row],[Requested Qty]]="",IPRF_Lines_Edit[[#This Row],[Picked Qty]]=""),"",IPRF_Lines_Edit[[#This Row],[Requested Qty]]-IPRF_Lines_Edit[[#This Row],[Picked Qty]])</f>
        <v/>
      </c>
      <c r="M75" s="18" t="str" cm="1">
        <f t="array" ref="M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5" s="19" t="str" cm="1">
        <f t="array" ref="N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IF(OR(IPRF_Lines_Edit[[#This Row],[Requested Qty]]="",IPRF_Lines_Edit[[#This Row],[Picked Qty]]=""),"",IPRF_Lines_Edit[[#This Row],[Requested Qty]]-IPRF_Lines_Edit[[#This Row],[Picked Qty]])</f>
        <v/>
      </c>
      <c r="M76" s="18" t="str" cm="1">
        <f t="array" ref="M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6" s="19" t="str" cm="1">
        <f t="array" ref="N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IF(OR(IPRF_Lines_Edit[[#This Row],[Requested Qty]]="",IPRF_Lines_Edit[[#This Row],[Picked Qty]]=""),"",IPRF_Lines_Edit[[#This Row],[Requested Qty]]-IPRF_Lines_Edit[[#This Row],[Picked Qty]])</f>
        <v/>
      </c>
      <c r="M77" s="18" t="str" cm="1">
        <f t="array" ref="M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7" s="19" t="str" cm="1">
        <f t="array" ref="N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IF(OR(IPRF_Lines_Edit[[#This Row],[Requested Qty]]="",IPRF_Lines_Edit[[#This Row],[Picked Qty]]=""),"",IPRF_Lines_Edit[[#This Row],[Requested Qty]]-IPRF_Lines_Edit[[#This Row],[Picked Qty]])</f>
        <v/>
      </c>
      <c r="M78" s="18" t="str" cm="1">
        <f t="array" ref="M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8" s="19" t="str" cm="1">
        <f t="array" ref="N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IF(OR(IPRF_Lines_Edit[[#This Row],[Requested Qty]]="",IPRF_Lines_Edit[[#This Row],[Picked Qty]]=""),"",IPRF_Lines_Edit[[#This Row],[Requested Qty]]-IPRF_Lines_Edit[[#This Row],[Picked Qty]])</f>
        <v/>
      </c>
      <c r="M79" s="18" t="str" cm="1">
        <f t="array" ref="M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9" s="19" t="str" cm="1">
        <f t="array" ref="N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IF(OR(IPRF_Lines_Edit[[#This Row],[Requested Qty]]="",IPRF_Lines_Edit[[#This Row],[Picked Qty]]=""),"",IPRF_Lines_Edit[[#This Row],[Requested Qty]]-IPRF_Lines_Edit[[#This Row],[Picked Qty]])</f>
        <v/>
      </c>
      <c r="M80" s="18" t="str" cm="1">
        <f t="array" ref="M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0" s="19" t="str" cm="1">
        <f t="array" ref="N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IF(OR(IPRF_Lines_Edit[[#This Row],[Requested Qty]]="",IPRF_Lines_Edit[[#This Row],[Picked Qty]]=""),"",IPRF_Lines_Edit[[#This Row],[Requested Qty]]-IPRF_Lines_Edit[[#This Row],[Picked Qty]])</f>
        <v/>
      </c>
      <c r="M81" s="18" t="str" cm="1">
        <f t="array" ref="M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1" s="19" t="str" cm="1">
        <f t="array" ref="N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IF(OR(IPRF_Lines_Edit[[#This Row],[Requested Qty]]="",IPRF_Lines_Edit[[#This Row],[Picked Qty]]=""),"",IPRF_Lines_Edit[[#This Row],[Requested Qty]]-IPRF_Lines_Edit[[#This Row],[Picked Qty]])</f>
        <v/>
      </c>
      <c r="M82" s="18" t="str" cm="1">
        <f t="array" ref="M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2" s="19" t="str" cm="1">
        <f t="array" ref="N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IF(OR(IPRF_Lines_Edit[[#This Row],[Requested Qty]]="",IPRF_Lines_Edit[[#This Row],[Picked Qty]]=""),"",IPRF_Lines_Edit[[#This Row],[Requested Qty]]-IPRF_Lines_Edit[[#This Row],[Picked Qty]])</f>
        <v/>
      </c>
      <c r="M83" s="18" t="str" cm="1">
        <f t="array" ref="M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3" s="19" t="str" cm="1">
        <f t="array" ref="N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IF(OR(IPRF_Lines_Edit[[#This Row],[Requested Qty]]="",IPRF_Lines_Edit[[#This Row],[Picked Qty]]=""),"",IPRF_Lines_Edit[[#This Row],[Requested Qty]]-IPRF_Lines_Edit[[#This Row],[Picked Qty]])</f>
        <v/>
      </c>
      <c r="M84" s="18" t="str" cm="1">
        <f t="array" ref="M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4" s="19" t="str" cm="1">
        <f t="array" ref="N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IF(OR(IPRF_Lines_Edit[[#This Row],[Requested Qty]]="",IPRF_Lines_Edit[[#This Row],[Picked Qty]]=""),"",IPRF_Lines_Edit[[#This Row],[Requested Qty]]-IPRF_Lines_Edit[[#This Row],[Picked Qty]])</f>
        <v/>
      </c>
      <c r="M85" s="18" t="str" cm="1">
        <f t="array" ref="M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5" s="19" t="str" cm="1">
        <f t="array" ref="N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IF(OR(IPRF_Lines_Edit[[#This Row],[Requested Qty]]="",IPRF_Lines_Edit[[#This Row],[Picked Qty]]=""),"",IPRF_Lines_Edit[[#This Row],[Requested Qty]]-IPRF_Lines_Edit[[#This Row],[Picked Qty]])</f>
        <v/>
      </c>
      <c r="M86" s="18" t="str" cm="1">
        <f t="array" ref="M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6" s="19" t="str" cm="1">
        <f t="array" ref="N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IF(OR(IPRF_Lines_Edit[[#This Row],[Requested Qty]]="",IPRF_Lines_Edit[[#This Row],[Picked Qty]]=""),"",IPRF_Lines_Edit[[#This Row],[Requested Qty]]-IPRF_Lines_Edit[[#This Row],[Picked Qty]])</f>
        <v/>
      </c>
      <c r="M87" s="18" t="str" cm="1">
        <f t="array" ref="M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7" s="19" t="str" cm="1">
        <f t="array" ref="N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IF(OR(IPRF_Lines_Edit[[#This Row],[Requested Qty]]="",IPRF_Lines_Edit[[#This Row],[Picked Qty]]=""),"",IPRF_Lines_Edit[[#This Row],[Requested Qty]]-IPRF_Lines_Edit[[#This Row],[Picked Qty]])</f>
        <v/>
      </c>
      <c r="M88" s="18" t="str" cm="1">
        <f t="array" ref="M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8" s="19" t="str" cm="1">
        <f t="array" ref="N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IF(OR(IPRF_Lines_Edit[[#This Row],[Requested Qty]]="",IPRF_Lines_Edit[[#This Row],[Picked Qty]]=""),"",IPRF_Lines_Edit[[#This Row],[Requested Qty]]-IPRF_Lines_Edit[[#This Row],[Picked Qty]])</f>
        <v/>
      </c>
      <c r="M89" s="18" t="str" cm="1">
        <f t="array" ref="M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9" s="19" t="str" cm="1">
        <f t="array" ref="N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IF(OR(IPRF_Lines_Edit[[#This Row],[Requested Qty]]="",IPRF_Lines_Edit[[#This Row],[Picked Qty]]=""),"",IPRF_Lines_Edit[[#This Row],[Requested Qty]]-IPRF_Lines_Edit[[#This Row],[Picked Qty]])</f>
        <v/>
      </c>
      <c r="M90" s="18" t="str" cm="1">
        <f t="array" ref="M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0" s="19" t="str" cm="1">
        <f t="array" ref="N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IF(OR(IPRF_Lines_Edit[[#This Row],[Requested Qty]]="",IPRF_Lines_Edit[[#This Row],[Picked Qty]]=""),"",IPRF_Lines_Edit[[#This Row],[Requested Qty]]-IPRF_Lines_Edit[[#This Row],[Picked Qty]])</f>
        <v/>
      </c>
      <c r="M91" s="18" t="str" cm="1">
        <f t="array" ref="M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1" s="19" t="str" cm="1">
        <f t="array" ref="N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IF(OR(IPRF_Lines_Edit[[#This Row],[Requested Qty]]="",IPRF_Lines_Edit[[#This Row],[Picked Qty]]=""),"",IPRF_Lines_Edit[[#This Row],[Requested Qty]]-IPRF_Lines_Edit[[#This Row],[Picked Qty]])</f>
        <v/>
      </c>
      <c r="M92" s="18" t="str" cm="1">
        <f t="array" ref="M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2" s="19" t="str" cm="1">
        <f t="array" ref="N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IF(OR(IPRF_Lines_Edit[[#This Row],[Requested Qty]]="",IPRF_Lines_Edit[[#This Row],[Picked Qty]]=""),"",IPRF_Lines_Edit[[#This Row],[Requested Qty]]-IPRF_Lines_Edit[[#This Row],[Picked Qty]])</f>
        <v/>
      </c>
      <c r="M93" s="18" t="str" cm="1">
        <f t="array" ref="M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3" s="19" t="str" cm="1">
        <f t="array" ref="N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IF(OR(IPRF_Lines_Edit[[#This Row],[Requested Qty]]="",IPRF_Lines_Edit[[#This Row],[Picked Qty]]=""),"",IPRF_Lines_Edit[[#This Row],[Requested Qty]]-IPRF_Lines_Edit[[#This Row],[Picked Qty]])</f>
        <v/>
      </c>
      <c r="M94" s="18" t="str" cm="1">
        <f t="array" ref="M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4" s="19" t="str" cm="1">
        <f t="array" ref="N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IF(OR(IPRF_Lines_Edit[[#This Row],[Requested Qty]]="",IPRF_Lines_Edit[[#This Row],[Picked Qty]]=""),"",IPRF_Lines_Edit[[#This Row],[Requested Qty]]-IPRF_Lines_Edit[[#This Row],[Picked Qty]])</f>
        <v/>
      </c>
      <c r="M95" s="18" t="str" cm="1">
        <f t="array" ref="M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5" s="19" t="str" cm="1">
        <f t="array" ref="N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IF(OR(IPRF_Lines_Edit[[#This Row],[Requested Qty]]="",IPRF_Lines_Edit[[#This Row],[Picked Qty]]=""),"",IPRF_Lines_Edit[[#This Row],[Requested Qty]]-IPRF_Lines_Edit[[#This Row],[Picked Qty]])</f>
        <v/>
      </c>
      <c r="M96" s="18" t="str" cm="1">
        <f t="array" ref="M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6" s="19" t="str" cm="1">
        <f t="array" ref="N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IF(OR(IPRF_Lines_Edit[[#This Row],[Requested Qty]]="",IPRF_Lines_Edit[[#This Row],[Picked Qty]]=""),"",IPRF_Lines_Edit[[#This Row],[Requested Qty]]-IPRF_Lines_Edit[[#This Row],[Picked Qty]])</f>
        <v/>
      </c>
      <c r="M97" s="18" t="str" cm="1">
        <f t="array" ref="M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7" s="19" t="str" cm="1">
        <f t="array" ref="N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IF(OR(IPRF_Lines_Edit[[#This Row],[Requested Qty]]="",IPRF_Lines_Edit[[#This Row],[Picked Qty]]=""),"",IPRF_Lines_Edit[[#This Row],[Requested Qty]]-IPRF_Lines_Edit[[#This Row],[Picked Qty]])</f>
        <v/>
      </c>
      <c r="M98" s="18" t="str" cm="1">
        <f t="array" ref="M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8" s="19" t="str" cm="1">
        <f t="array" ref="N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IF(OR(IPRF_Lines_Edit[[#This Row],[Requested Qty]]="",IPRF_Lines_Edit[[#This Row],[Picked Qty]]=""),"",IPRF_Lines_Edit[[#This Row],[Requested Qty]]-IPRF_Lines_Edit[[#This Row],[Picked Qty]])</f>
        <v/>
      </c>
      <c r="M99" s="18" t="str" cm="1">
        <f t="array" ref="M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9" s="19" t="str" cm="1">
        <f t="array" ref="N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IF(OR(IPRF_Lines_Edit[[#This Row],[Requested Qty]]="",IPRF_Lines_Edit[[#This Row],[Picked Qty]]=""),"",IPRF_Lines_Edit[[#This Row],[Requested Qty]]-IPRF_Lines_Edit[[#This Row],[Picked Qty]])</f>
        <v/>
      </c>
      <c r="M100" s="18" t="str" cm="1">
        <f t="array" ref="M1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0" s="19" t="str" cm="1">
        <f t="array" ref="N1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IF(OR(IPRF_Lines_Edit[[#This Row],[Requested Qty]]="",IPRF_Lines_Edit[[#This Row],[Picked Qty]]=""),"",IPRF_Lines_Edit[[#This Row],[Requested Qty]]-IPRF_Lines_Edit[[#This Row],[Picked Qty]])</f>
        <v/>
      </c>
      <c r="M101" s="18" t="str" cm="1">
        <f t="array" ref="M1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1" s="19" t="str" cm="1">
        <f t="array" ref="N1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IF(OR(IPRF_Lines_Edit[[#This Row],[Requested Qty]]="",IPRF_Lines_Edit[[#This Row],[Picked Qty]]=""),"",IPRF_Lines_Edit[[#This Row],[Requested Qty]]-IPRF_Lines_Edit[[#This Row],[Picked Qty]])</f>
        <v/>
      </c>
      <c r="M102" s="18" t="str" cm="1">
        <f t="array" ref="M1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2" s="19" t="str" cm="1">
        <f t="array" ref="N1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IF(OR(IPRF_Lines_Edit[[#This Row],[Requested Qty]]="",IPRF_Lines_Edit[[#This Row],[Picked Qty]]=""),"",IPRF_Lines_Edit[[#This Row],[Requested Qty]]-IPRF_Lines_Edit[[#This Row],[Picked Qty]])</f>
        <v/>
      </c>
      <c r="M103" s="18" t="str" cm="1">
        <f t="array" ref="M1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3" s="19" t="str" cm="1">
        <f t="array" ref="N1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IF(OR(IPRF_Lines_Edit[[#This Row],[Requested Qty]]="",IPRF_Lines_Edit[[#This Row],[Picked Qty]]=""),"",IPRF_Lines_Edit[[#This Row],[Requested Qty]]-IPRF_Lines_Edit[[#This Row],[Picked Qty]])</f>
        <v/>
      </c>
      <c r="M104" s="18" t="str" cm="1">
        <f t="array" ref="M1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4" s="19" t="str" cm="1">
        <f t="array" ref="N1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IF(OR(IPRF_Lines_Edit[[#This Row],[Requested Qty]]="",IPRF_Lines_Edit[[#This Row],[Picked Qty]]=""),"",IPRF_Lines_Edit[[#This Row],[Requested Qty]]-IPRF_Lines_Edit[[#This Row],[Picked Qty]])</f>
        <v/>
      </c>
      <c r="M105" s="18" t="str" cm="1">
        <f t="array" ref="M1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5" s="19" t="str" cm="1">
        <f t="array" ref="N1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IF(OR(IPRF_Lines_Edit[[#This Row],[Requested Qty]]="",IPRF_Lines_Edit[[#This Row],[Picked Qty]]=""),"",IPRF_Lines_Edit[[#This Row],[Requested Qty]]-IPRF_Lines_Edit[[#This Row],[Picked Qty]])</f>
        <v/>
      </c>
      <c r="M106" s="18" t="str" cm="1">
        <f t="array" ref="M1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6" s="19" t="str" cm="1">
        <f t="array" ref="N1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IF(OR(IPRF_Lines_Edit[[#This Row],[Requested Qty]]="",IPRF_Lines_Edit[[#This Row],[Picked Qty]]=""),"",IPRF_Lines_Edit[[#This Row],[Requested Qty]]-IPRF_Lines_Edit[[#This Row],[Picked Qty]])</f>
        <v/>
      </c>
      <c r="M107" s="18" t="str" cm="1">
        <f t="array" ref="M1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7" s="19" t="str" cm="1">
        <f t="array" ref="N1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IF(OR(IPRF_Lines_Edit[[#This Row],[Requested Qty]]="",IPRF_Lines_Edit[[#This Row],[Picked Qty]]=""),"",IPRF_Lines_Edit[[#This Row],[Requested Qty]]-IPRF_Lines_Edit[[#This Row],[Picked Qty]])</f>
        <v/>
      </c>
      <c r="M108" s="18" t="str" cm="1">
        <f t="array" ref="M1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8" s="19" t="str" cm="1">
        <f t="array" ref="N1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IF(OR(IPRF_Lines_Edit[[#This Row],[Requested Qty]]="",IPRF_Lines_Edit[[#This Row],[Picked Qty]]=""),"",IPRF_Lines_Edit[[#This Row],[Requested Qty]]-IPRF_Lines_Edit[[#This Row],[Picked Qty]])</f>
        <v/>
      </c>
      <c r="M109" s="18" t="str" cm="1">
        <f t="array" ref="M1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9" s="19" t="str" cm="1">
        <f t="array" ref="N1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IF(OR(IPRF_Lines_Edit[[#This Row],[Requested Qty]]="",IPRF_Lines_Edit[[#This Row],[Picked Qty]]=""),"",IPRF_Lines_Edit[[#This Row],[Requested Qty]]-IPRF_Lines_Edit[[#This Row],[Picked Qty]])</f>
        <v/>
      </c>
      <c r="M110" s="18" t="str" cm="1">
        <f t="array" ref="M1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0" s="19" t="str" cm="1">
        <f t="array" ref="N1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IF(OR(IPRF_Lines_Edit[[#This Row],[Requested Qty]]="",IPRF_Lines_Edit[[#This Row],[Picked Qty]]=""),"",IPRF_Lines_Edit[[#This Row],[Requested Qty]]-IPRF_Lines_Edit[[#This Row],[Picked Qty]])</f>
        <v/>
      </c>
      <c r="M111" s="18" t="str" cm="1">
        <f t="array" ref="M1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1" s="19" t="str" cm="1">
        <f t="array" ref="N1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IF(OR(IPRF_Lines_Edit[[#This Row],[Requested Qty]]="",IPRF_Lines_Edit[[#This Row],[Picked Qty]]=""),"",IPRF_Lines_Edit[[#This Row],[Requested Qty]]-IPRF_Lines_Edit[[#This Row],[Picked Qty]])</f>
        <v/>
      </c>
      <c r="M112" s="18" t="str" cm="1">
        <f t="array" ref="M1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2" s="19" t="str" cm="1">
        <f t="array" ref="N1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IF(OR(IPRF_Lines_Edit[[#This Row],[Requested Qty]]="",IPRF_Lines_Edit[[#This Row],[Picked Qty]]=""),"",IPRF_Lines_Edit[[#This Row],[Requested Qty]]-IPRF_Lines_Edit[[#This Row],[Picked Qty]])</f>
        <v/>
      </c>
      <c r="M113" s="18" t="str" cm="1">
        <f t="array" ref="M1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3" s="19" t="str" cm="1">
        <f t="array" ref="N1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IF(OR(IPRF_Lines_Edit[[#This Row],[Requested Qty]]="",IPRF_Lines_Edit[[#This Row],[Picked Qty]]=""),"",IPRF_Lines_Edit[[#This Row],[Requested Qty]]-IPRF_Lines_Edit[[#This Row],[Picked Qty]])</f>
        <v/>
      </c>
      <c r="M114" s="18" t="str" cm="1">
        <f t="array" ref="M1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4" s="19" t="str" cm="1">
        <f t="array" ref="N1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IF(OR(IPRF_Lines_Edit[[#This Row],[Requested Qty]]="",IPRF_Lines_Edit[[#This Row],[Picked Qty]]=""),"",IPRF_Lines_Edit[[#This Row],[Requested Qty]]-IPRF_Lines_Edit[[#This Row],[Picked Qty]])</f>
        <v/>
      </c>
      <c r="M115" s="18" t="str" cm="1">
        <f t="array" ref="M1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5" s="19" t="str" cm="1">
        <f t="array" ref="N1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IF(OR(IPRF_Lines_Edit[[#This Row],[Requested Qty]]="",IPRF_Lines_Edit[[#This Row],[Picked Qty]]=""),"",IPRF_Lines_Edit[[#This Row],[Requested Qty]]-IPRF_Lines_Edit[[#This Row],[Picked Qty]])</f>
        <v/>
      </c>
      <c r="M116" s="18" t="str" cm="1">
        <f t="array" ref="M1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6" s="19" t="str" cm="1">
        <f t="array" ref="N1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IF(OR(IPRF_Lines_Edit[[#This Row],[Requested Qty]]="",IPRF_Lines_Edit[[#This Row],[Picked Qty]]=""),"",IPRF_Lines_Edit[[#This Row],[Requested Qty]]-IPRF_Lines_Edit[[#This Row],[Picked Qty]])</f>
        <v/>
      </c>
      <c r="M117" s="18" t="str" cm="1">
        <f t="array" ref="M1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7" s="19" t="str" cm="1">
        <f t="array" ref="N1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IF(OR(IPRF_Lines_Edit[[#This Row],[Requested Qty]]="",IPRF_Lines_Edit[[#This Row],[Picked Qty]]=""),"",IPRF_Lines_Edit[[#This Row],[Requested Qty]]-IPRF_Lines_Edit[[#This Row],[Picked Qty]])</f>
        <v/>
      </c>
      <c r="M118" s="18" t="str" cm="1">
        <f t="array" ref="M1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8" s="19" t="str" cm="1">
        <f t="array" ref="N1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IF(OR(IPRF_Lines_Edit[[#This Row],[Requested Qty]]="",IPRF_Lines_Edit[[#This Row],[Picked Qty]]=""),"",IPRF_Lines_Edit[[#This Row],[Requested Qty]]-IPRF_Lines_Edit[[#This Row],[Picked Qty]])</f>
        <v/>
      </c>
      <c r="M119" s="18" t="str" cm="1">
        <f t="array" ref="M1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9" s="19" t="str" cm="1">
        <f t="array" ref="N1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IF(OR(IPRF_Lines_Edit[[#This Row],[Requested Qty]]="",IPRF_Lines_Edit[[#This Row],[Picked Qty]]=""),"",IPRF_Lines_Edit[[#This Row],[Requested Qty]]-IPRF_Lines_Edit[[#This Row],[Picked Qty]])</f>
        <v/>
      </c>
      <c r="M120" s="18" t="str" cm="1">
        <f t="array" ref="M1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0" s="19" t="str" cm="1">
        <f t="array" ref="N1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IF(OR(IPRF_Lines_Edit[[#This Row],[Requested Qty]]="",IPRF_Lines_Edit[[#This Row],[Picked Qty]]=""),"",IPRF_Lines_Edit[[#This Row],[Requested Qty]]-IPRF_Lines_Edit[[#This Row],[Picked Qty]])</f>
        <v/>
      </c>
      <c r="M121" s="18" t="str" cm="1">
        <f t="array" ref="M1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1" s="19" t="str" cm="1">
        <f t="array" ref="N1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IF(OR(IPRF_Lines_Edit[[#This Row],[Requested Qty]]="",IPRF_Lines_Edit[[#This Row],[Picked Qty]]=""),"",IPRF_Lines_Edit[[#This Row],[Requested Qty]]-IPRF_Lines_Edit[[#This Row],[Picked Qty]])</f>
        <v/>
      </c>
      <c r="M122" s="18" t="str" cm="1">
        <f t="array" ref="M1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2" s="19" t="str" cm="1">
        <f t="array" ref="N1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IF(OR(IPRF_Lines_Edit[[#This Row],[Requested Qty]]="",IPRF_Lines_Edit[[#This Row],[Picked Qty]]=""),"",IPRF_Lines_Edit[[#This Row],[Requested Qty]]-IPRF_Lines_Edit[[#This Row],[Picked Qty]])</f>
        <v/>
      </c>
      <c r="M123" s="18" t="str" cm="1">
        <f t="array" ref="M1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3" s="19" t="str" cm="1">
        <f t="array" ref="N1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IF(OR(IPRF_Lines_Edit[[#This Row],[Requested Qty]]="",IPRF_Lines_Edit[[#This Row],[Picked Qty]]=""),"",IPRF_Lines_Edit[[#This Row],[Requested Qty]]-IPRF_Lines_Edit[[#This Row],[Picked Qty]])</f>
        <v/>
      </c>
      <c r="M124" s="18" t="str" cm="1">
        <f t="array" ref="M1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4" s="19" t="str" cm="1">
        <f t="array" ref="N1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IF(OR(IPRF_Lines_Edit[[#This Row],[Requested Qty]]="",IPRF_Lines_Edit[[#This Row],[Picked Qty]]=""),"",IPRF_Lines_Edit[[#This Row],[Requested Qty]]-IPRF_Lines_Edit[[#This Row],[Picked Qty]])</f>
        <v/>
      </c>
      <c r="M125" s="18" t="str" cm="1">
        <f t="array" ref="M1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5" s="19" t="str" cm="1">
        <f t="array" ref="N1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IF(OR(IPRF_Lines_Edit[[#This Row],[Requested Qty]]="",IPRF_Lines_Edit[[#This Row],[Picked Qty]]=""),"",IPRF_Lines_Edit[[#This Row],[Requested Qty]]-IPRF_Lines_Edit[[#This Row],[Picked Qty]])</f>
        <v/>
      </c>
      <c r="M126" s="18" t="str" cm="1">
        <f t="array" ref="M1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6" s="19" t="str" cm="1">
        <f t="array" ref="N1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IF(OR(IPRF_Lines_Edit[[#This Row],[Requested Qty]]="",IPRF_Lines_Edit[[#This Row],[Picked Qty]]=""),"",IPRF_Lines_Edit[[#This Row],[Requested Qty]]-IPRF_Lines_Edit[[#This Row],[Picked Qty]])</f>
        <v/>
      </c>
      <c r="M127" s="18" t="str" cm="1">
        <f t="array" ref="M1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7" s="19" t="str" cm="1">
        <f t="array" ref="N1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IF(OR(IPRF_Lines_Edit[[#This Row],[Requested Qty]]="",IPRF_Lines_Edit[[#This Row],[Picked Qty]]=""),"",IPRF_Lines_Edit[[#This Row],[Requested Qty]]-IPRF_Lines_Edit[[#This Row],[Picked Qty]])</f>
        <v/>
      </c>
      <c r="M128" s="18" t="str" cm="1">
        <f t="array" ref="M1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8" s="19" t="str" cm="1">
        <f t="array" ref="N1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IF(OR(IPRF_Lines_Edit[[#This Row],[Requested Qty]]="",IPRF_Lines_Edit[[#This Row],[Picked Qty]]=""),"",IPRF_Lines_Edit[[#This Row],[Requested Qty]]-IPRF_Lines_Edit[[#This Row],[Picked Qty]])</f>
        <v/>
      </c>
      <c r="M129" s="18" t="str" cm="1">
        <f t="array" ref="M1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9" s="19" t="str" cm="1">
        <f t="array" ref="N1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IF(OR(IPRF_Lines_Edit[[#This Row],[Requested Qty]]="",IPRF_Lines_Edit[[#This Row],[Picked Qty]]=""),"",IPRF_Lines_Edit[[#This Row],[Requested Qty]]-IPRF_Lines_Edit[[#This Row],[Picked Qty]])</f>
        <v/>
      </c>
      <c r="M130" s="18" t="str" cm="1">
        <f t="array" ref="M1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0" s="19" t="str" cm="1">
        <f t="array" ref="N1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IF(OR(IPRF_Lines_Edit[[#This Row],[Requested Qty]]="",IPRF_Lines_Edit[[#This Row],[Picked Qty]]=""),"",IPRF_Lines_Edit[[#This Row],[Requested Qty]]-IPRF_Lines_Edit[[#This Row],[Picked Qty]])</f>
        <v/>
      </c>
      <c r="M131" s="18" t="str" cm="1">
        <f t="array" ref="M1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1" s="19" t="str" cm="1">
        <f t="array" ref="N1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IF(OR(IPRF_Lines_Edit[[#This Row],[Requested Qty]]="",IPRF_Lines_Edit[[#This Row],[Picked Qty]]=""),"",IPRF_Lines_Edit[[#This Row],[Requested Qty]]-IPRF_Lines_Edit[[#This Row],[Picked Qty]])</f>
        <v/>
      </c>
      <c r="M132" s="18" t="str" cm="1">
        <f t="array" ref="M1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2" s="19" t="str" cm="1">
        <f t="array" ref="N1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IF(OR(IPRF_Lines_Edit[[#This Row],[Requested Qty]]="",IPRF_Lines_Edit[[#This Row],[Picked Qty]]=""),"",IPRF_Lines_Edit[[#This Row],[Requested Qty]]-IPRF_Lines_Edit[[#This Row],[Picked Qty]])</f>
        <v/>
      </c>
      <c r="M133" s="18" t="str" cm="1">
        <f t="array" ref="M1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3" s="19" t="str" cm="1">
        <f t="array" ref="N1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IF(OR(IPRF_Lines_Edit[[#This Row],[Requested Qty]]="",IPRF_Lines_Edit[[#This Row],[Picked Qty]]=""),"",IPRF_Lines_Edit[[#This Row],[Requested Qty]]-IPRF_Lines_Edit[[#This Row],[Picked Qty]])</f>
        <v/>
      </c>
      <c r="M134" s="18" t="str" cm="1">
        <f t="array" ref="M1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4" s="19" t="str" cm="1">
        <f t="array" ref="N1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IF(OR(IPRF_Lines_Edit[[#This Row],[Requested Qty]]="",IPRF_Lines_Edit[[#This Row],[Picked Qty]]=""),"",IPRF_Lines_Edit[[#This Row],[Requested Qty]]-IPRF_Lines_Edit[[#This Row],[Picked Qty]])</f>
        <v/>
      </c>
      <c r="M135" s="18" t="str" cm="1">
        <f t="array" ref="M1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5" s="19" t="str" cm="1">
        <f t="array" ref="N1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IF(OR(IPRF_Lines_Edit[[#This Row],[Requested Qty]]="",IPRF_Lines_Edit[[#This Row],[Picked Qty]]=""),"",IPRF_Lines_Edit[[#This Row],[Requested Qty]]-IPRF_Lines_Edit[[#This Row],[Picked Qty]])</f>
        <v/>
      </c>
      <c r="M136" s="18" t="str" cm="1">
        <f t="array" ref="M1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6" s="19" t="str" cm="1">
        <f t="array" ref="N1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IF(OR(IPRF_Lines_Edit[[#This Row],[Requested Qty]]="",IPRF_Lines_Edit[[#This Row],[Picked Qty]]=""),"",IPRF_Lines_Edit[[#This Row],[Requested Qty]]-IPRF_Lines_Edit[[#This Row],[Picked Qty]])</f>
        <v/>
      </c>
      <c r="M137" s="18" t="str" cm="1">
        <f t="array" ref="M1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7" s="19" t="str" cm="1">
        <f t="array" ref="N1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IF(OR(IPRF_Lines_Edit[[#This Row],[Requested Qty]]="",IPRF_Lines_Edit[[#This Row],[Picked Qty]]=""),"",IPRF_Lines_Edit[[#This Row],[Requested Qty]]-IPRF_Lines_Edit[[#This Row],[Picked Qty]])</f>
        <v/>
      </c>
      <c r="M138" s="18" t="str" cm="1">
        <f t="array" ref="M1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8" s="19" t="str" cm="1">
        <f t="array" ref="N1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IF(OR(IPRF_Lines_Edit[[#This Row],[Requested Qty]]="",IPRF_Lines_Edit[[#This Row],[Picked Qty]]=""),"",IPRF_Lines_Edit[[#This Row],[Requested Qty]]-IPRF_Lines_Edit[[#This Row],[Picked Qty]])</f>
        <v/>
      </c>
      <c r="M139" s="18" t="str" cm="1">
        <f t="array" ref="M1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9" s="19" t="str" cm="1">
        <f t="array" ref="N1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IF(OR(IPRF_Lines_Edit[[#This Row],[Requested Qty]]="",IPRF_Lines_Edit[[#This Row],[Picked Qty]]=""),"",IPRF_Lines_Edit[[#This Row],[Requested Qty]]-IPRF_Lines_Edit[[#This Row],[Picked Qty]])</f>
        <v/>
      </c>
      <c r="M140" s="18" t="str" cm="1">
        <f t="array" ref="M1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0" s="19" t="str" cm="1">
        <f t="array" ref="N1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IF(OR(IPRF_Lines_Edit[[#This Row],[Requested Qty]]="",IPRF_Lines_Edit[[#This Row],[Picked Qty]]=""),"",IPRF_Lines_Edit[[#This Row],[Requested Qty]]-IPRF_Lines_Edit[[#This Row],[Picked Qty]])</f>
        <v/>
      </c>
      <c r="M141" s="18" t="str" cm="1">
        <f t="array" ref="M1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1" s="19" t="str" cm="1">
        <f t="array" ref="N1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IF(OR(IPRF_Lines_Edit[[#This Row],[Requested Qty]]="",IPRF_Lines_Edit[[#This Row],[Picked Qty]]=""),"",IPRF_Lines_Edit[[#This Row],[Requested Qty]]-IPRF_Lines_Edit[[#This Row],[Picked Qty]])</f>
        <v/>
      </c>
      <c r="M142" s="18" t="str" cm="1">
        <f t="array" ref="M1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2" s="19" t="str" cm="1">
        <f t="array" ref="N1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IF(OR(IPRF_Lines_Edit[[#This Row],[Requested Qty]]="",IPRF_Lines_Edit[[#This Row],[Picked Qty]]=""),"",IPRF_Lines_Edit[[#This Row],[Requested Qty]]-IPRF_Lines_Edit[[#This Row],[Picked Qty]])</f>
        <v/>
      </c>
      <c r="M143" s="18" t="str" cm="1">
        <f t="array" ref="M1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3" s="19" t="str" cm="1">
        <f t="array" ref="N1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IF(OR(IPRF_Lines_Edit[[#This Row],[Requested Qty]]="",IPRF_Lines_Edit[[#This Row],[Picked Qty]]=""),"",IPRF_Lines_Edit[[#This Row],[Requested Qty]]-IPRF_Lines_Edit[[#This Row],[Picked Qty]])</f>
        <v/>
      </c>
      <c r="M144" s="18" t="str" cm="1">
        <f t="array" ref="M1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4" s="19" t="str" cm="1">
        <f t="array" ref="N1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IF(OR(IPRF_Lines_Edit[[#This Row],[Requested Qty]]="",IPRF_Lines_Edit[[#This Row],[Picked Qty]]=""),"",IPRF_Lines_Edit[[#This Row],[Requested Qty]]-IPRF_Lines_Edit[[#This Row],[Picked Qty]])</f>
        <v/>
      </c>
      <c r="M145" s="18" t="str" cm="1">
        <f t="array" ref="M1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5" s="19" t="str" cm="1">
        <f t="array" ref="N1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IF(OR(IPRF_Lines_Edit[[#This Row],[Requested Qty]]="",IPRF_Lines_Edit[[#This Row],[Picked Qty]]=""),"",IPRF_Lines_Edit[[#This Row],[Requested Qty]]-IPRF_Lines_Edit[[#This Row],[Picked Qty]])</f>
        <v/>
      </c>
      <c r="M146" s="18" t="str" cm="1">
        <f t="array" ref="M1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6" s="19" t="str" cm="1">
        <f t="array" ref="N1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IF(OR(IPRF_Lines_Edit[[#This Row],[Requested Qty]]="",IPRF_Lines_Edit[[#This Row],[Picked Qty]]=""),"",IPRF_Lines_Edit[[#This Row],[Requested Qty]]-IPRF_Lines_Edit[[#This Row],[Picked Qty]])</f>
        <v/>
      </c>
      <c r="M147" s="18" t="str" cm="1">
        <f t="array" ref="M1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7" s="19" t="str" cm="1">
        <f t="array" ref="N1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IF(OR(IPRF_Lines_Edit[[#This Row],[Requested Qty]]="",IPRF_Lines_Edit[[#This Row],[Picked Qty]]=""),"",IPRF_Lines_Edit[[#This Row],[Requested Qty]]-IPRF_Lines_Edit[[#This Row],[Picked Qty]])</f>
        <v/>
      </c>
      <c r="M148" s="18" t="str" cm="1">
        <f t="array" ref="M1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8" s="19" t="str" cm="1">
        <f t="array" ref="N1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IF(OR(IPRF_Lines_Edit[[#This Row],[Requested Qty]]="",IPRF_Lines_Edit[[#This Row],[Picked Qty]]=""),"",IPRF_Lines_Edit[[#This Row],[Requested Qty]]-IPRF_Lines_Edit[[#This Row],[Picked Qty]])</f>
        <v/>
      </c>
      <c r="M149" s="18" t="str" cm="1">
        <f t="array" ref="M1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9" s="19" t="str" cm="1">
        <f t="array" ref="N1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IF(OR(IPRF_Lines_Edit[[#This Row],[Requested Qty]]="",IPRF_Lines_Edit[[#This Row],[Picked Qty]]=""),"",IPRF_Lines_Edit[[#This Row],[Requested Qty]]-IPRF_Lines_Edit[[#This Row],[Picked Qty]])</f>
        <v/>
      </c>
      <c r="M150" s="18" t="str" cm="1">
        <f t="array" ref="M1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0" s="19" t="str" cm="1">
        <f t="array" ref="N1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IF(OR(IPRF_Lines_Edit[[#This Row],[Requested Qty]]="",IPRF_Lines_Edit[[#This Row],[Picked Qty]]=""),"",IPRF_Lines_Edit[[#This Row],[Requested Qty]]-IPRF_Lines_Edit[[#This Row],[Picked Qty]])</f>
        <v/>
      </c>
      <c r="M151" s="18" t="str" cm="1">
        <f t="array" ref="M1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1" s="19" t="str" cm="1">
        <f t="array" ref="N1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IF(OR(IPRF_Lines_Edit[[#This Row],[Requested Qty]]="",IPRF_Lines_Edit[[#This Row],[Picked Qty]]=""),"",IPRF_Lines_Edit[[#This Row],[Requested Qty]]-IPRF_Lines_Edit[[#This Row],[Picked Qty]])</f>
        <v/>
      </c>
      <c r="M152" s="18" t="str" cm="1">
        <f t="array" ref="M1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2" s="19" t="str" cm="1">
        <f t="array" ref="N1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IF(OR(IPRF_Lines_Edit[[#This Row],[Requested Qty]]="",IPRF_Lines_Edit[[#This Row],[Picked Qty]]=""),"",IPRF_Lines_Edit[[#This Row],[Requested Qty]]-IPRF_Lines_Edit[[#This Row],[Picked Qty]])</f>
        <v/>
      </c>
      <c r="M153" s="18" t="str" cm="1">
        <f t="array" ref="M1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3" s="19" t="str" cm="1">
        <f t="array" ref="N1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IF(OR(IPRF_Lines_Edit[[#This Row],[Requested Qty]]="",IPRF_Lines_Edit[[#This Row],[Picked Qty]]=""),"",IPRF_Lines_Edit[[#This Row],[Requested Qty]]-IPRF_Lines_Edit[[#This Row],[Picked Qty]])</f>
        <v/>
      </c>
      <c r="M154" s="18" t="str" cm="1">
        <f t="array" ref="M1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4" s="19" t="str" cm="1">
        <f t="array" ref="N1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IF(OR(IPRF_Lines_Edit[[#This Row],[Requested Qty]]="",IPRF_Lines_Edit[[#This Row],[Picked Qty]]=""),"",IPRF_Lines_Edit[[#This Row],[Requested Qty]]-IPRF_Lines_Edit[[#This Row],[Picked Qty]])</f>
        <v/>
      </c>
      <c r="M155" s="18" t="str" cm="1">
        <f t="array" ref="M1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5" s="19" t="str" cm="1">
        <f t="array" ref="N1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IF(OR(IPRF_Lines_Edit[[#This Row],[Requested Qty]]="",IPRF_Lines_Edit[[#This Row],[Picked Qty]]=""),"",IPRF_Lines_Edit[[#This Row],[Requested Qty]]-IPRF_Lines_Edit[[#This Row],[Picked Qty]])</f>
        <v/>
      </c>
      <c r="M156" s="18" t="str" cm="1">
        <f t="array" ref="M1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6" s="19" t="str" cm="1">
        <f t="array" ref="N1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IF(OR(IPRF_Lines_Edit[[#This Row],[Requested Qty]]="",IPRF_Lines_Edit[[#This Row],[Picked Qty]]=""),"",IPRF_Lines_Edit[[#This Row],[Requested Qty]]-IPRF_Lines_Edit[[#This Row],[Picked Qty]])</f>
        <v/>
      </c>
      <c r="M157" s="18" t="str" cm="1">
        <f t="array" ref="M1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7" s="19" t="str" cm="1">
        <f t="array" ref="N1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IF(OR(IPRF_Lines_Edit[[#This Row],[Requested Qty]]="",IPRF_Lines_Edit[[#This Row],[Picked Qty]]=""),"",IPRF_Lines_Edit[[#This Row],[Requested Qty]]-IPRF_Lines_Edit[[#This Row],[Picked Qty]])</f>
        <v/>
      </c>
      <c r="M158" s="18" t="str" cm="1">
        <f t="array" ref="M1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8" s="19" t="str" cm="1">
        <f t="array" ref="N1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IF(OR(IPRF_Lines_Edit[[#This Row],[Requested Qty]]="",IPRF_Lines_Edit[[#This Row],[Picked Qty]]=""),"",IPRF_Lines_Edit[[#This Row],[Requested Qty]]-IPRF_Lines_Edit[[#This Row],[Picked Qty]])</f>
        <v/>
      </c>
      <c r="M159" s="18" t="str" cm="1">
        <f t="array" ref="M1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9" s="19" t="str" cm="1">
        <f t="array" ref="N1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IF(OR(IPRF_Lines_Edit[[#This Row],[Requested Qty]]="",IPRF_Lines_Edit[[#This Row],[Picked Qty]]=""),"",IPRF_Lines_Edit[[#This Row],[Requested Qty]]-IPRF_Lines_Edit[[#This Row],[Picked Qty]])</f>
        <v/>
      </c>
      <c r="M160" s="18" t="str" cm="1">
        <f t="array" ref="M1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0" s="19" t="str" cm="1">
        <f t="array" ref="N1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IF(OR(IPRF_Lines_Edit[[#This Row],[Requested Qty]]="",IPRF_Lines_Edit[[#This Row],[Picked Qty]]=""),"",IPRF_Lines_Edit[[#This Row],[Requested Qty]]-IPRF_Lines_Edit[[#This Row],[Picked Qty]])</f>
        <v/>
      </c>
      <c r="M161" s="18" t="str" cm="1">
        <f t="array" ref="M1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1" s="19" t="str" cm="1">
        <f t="array" ref="N1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IF(OR(IPRF_Lines_Edit[[#This Row],[Requested Qty]]="",IPRF_Lines_Edit[[#This Row],[Picked Qty]]=""),"",IPRF_Lines_Edit[[#This Row],[Requested Qty]]-IPRF_Lines_Edit[[#This Row],[Picked Qty]])</f>
        <v/>
      </c>
      <c r="M162" s="18" t="str" cm="1">
        <f t="array" ref="M1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2" s="19" t="str" cm="1">
        <f t="array" ref="N1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IF(OR(IPRF_Lines_Edit[[#This Row],[Requested Qty]]="",IPRF_Lines_Edit[[#This Row],[Picked Qty]]=""),"",IPRF_Lines_Edit[[#This Row],[Requested Qty]]-IPRF_Lines_Edit[[#This Row],[Picked Qty]])</f>
        <v/>
      </c>
      <c r="M163" s="18" t="str" cm="1">
        <f t="array" ref="M1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3" s="19" t="str" cm="1">
        <f t="array" ref="N1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IF(OR(IPRF_Lines_Edit[[#This Row],[Requested Qty]]="",IPRF_Lines_Edit[[#This Row],[Picked Qty]]=""),"",IPRF_Lines_Edit[[#This Row],[Requested Qty]]-IPRF_Lines_Edit[[#This Row],[Picked Qty]])</f>
        <v/>
      </c>
      <c r="M164" s="18" t="str" cm="1">
        <f t="array" ref="M1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4" s="19" t="str" cm="1">
        <f t="array" ref="N1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IF(OR(IPRF_Lines_Edit[[#This Row],[Requested Qty]]="",IPRF_Lines_Edit[[#This Row],[Picked Qty]]=""),"",IPRF_Lines_Edit[[#This Row],[Requested Qty]]-IPRF_Lines_Edit[[#This Row],[Picked Qty]])</f>
        <v/>
      </c>
      <c r="M165" s="18" t="str" cm="1">
        <f t="array" ref="M1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5" s="19" t="str" cm="1">
        <f t="array" ref="N1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IF(OR(IPRF_Lines_Edit[[#This Row],[Requested Qty]]="",IPRF_Lines_Edit[[#This Row],[Picked Qty]]=""),"",IPRF_Lines_Edit[[#This Row],[Requested Qty]]-IPRF_Lines_Edit[[#This Row],[Picked Qty]])</f>
        <v/>
      </c>
      <c r="M166" s="18" t="str" cm="1">
        <f t="array" ref="M1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6" s="19" t="str" cm="1">
        <f t="array" ref="N1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IF(OR(IPRF_Lines_Edit[[#This Row],[Requested Qty]]="",IPRF_Lines_Edit[[#This Row],[Picked Qty]]=""),"",IPRF_Lines_Edit[[#This Row],[Requested Qty]]-IPRF_Lines_Edit[[#This Row],[Picked Qty]])</f>
        <v/>
      </c>
      <c r="M167" s="18" t="str" cm="1">
        <f t="array" ref="M1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7" s="19" t="str" cm="1">
        <f t="array" ref="N1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IF(OR(IPRF_Lines_Edit[[#This Row],[Requested Qty]]="",IPRF_Lines_Edit[[#This Row],[Picked Qty]]=""),"",IPRF_Lines_Edit[[#This Row],[Requested Qty]]-IPRF_Lines_Edit[[#This Row],[Picked Qty]])</f>
        <v/>
      </c>
      <c r="M168" s="18" t="str" cm="1">
        <f t="array" ref="M1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8" s="19" t="str" cm="1">
        <f t="array" ref="N1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IF(OR(IPRF_Lines_Edit[[#This Row],[Requested Qty]]="",IPRF_Lines_Edit[[#This Row],[Picked Qty]]=""),"",IPRF_Lines_Edit[[#This Row],[Requested Qty]]-IPRF_Lines_Edit[[#This Row],[Picked Qty]])</f>
        <v/>
      </c>
      <c r="M169" s="18" t="str" cm="1">
        <f t="array" ref="M1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9" s="19" t="str" cm="1">
        <f t="array" ref="N1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IF(OR(IPRF_Lines_Edit[[#This Row],[Requested Qty]]="",IPRF_Lines_Edit[[#This Row],[Picked Qty]]=""),"",IPRF_Lines_Edit[[#This Row],[Requested Qty]]-IPRF_Lines_Edit[[#This Row],[Picked Qty]])</f>
        <v/>
      </c>
      <c r="M170" s="18" t="str" cm="1">
        <f t="array" ref="M1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0" s="19" t="str" cm="1">
        <f t="array" ref="N1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IF(OR(IPRF_Lines_Edit[[#This Row],[Requested Qty]]="",IPRF_Lines_Edit[[#This Row],[Picked Qty]]=""),"",IPRF_Lines_Edit[[#This Row],[Requested Qty]]-IPRF_Lines_Edit[[#This Row],[Picked Qty]])</f>
        <v/>
      </c>
      <c r="M171" s="18" t="str" cm="1">
        <f t="array" ref="M1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1" s="19" t="str" cm="1">
        <f t="array" ref="N1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IF(OR(IPRF_Lines_Edit[[#This Row],[Requested Qty]]="",IPRF_Lines_Edit[[#This Row],[Picked Qty]]=""),"",IPRF_Lines_Edit[[#This Row],[Requested Qty]]-IPRF_Lines_Edit[[#This Row],[Picked Qty]])</f>
        <v/>
      </c>
      <c r="M172" s="18" t="str" cm="1">
        <f t="array" ref="M1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2" s="19" t="str" cm="1">
        <f t="array" ref="N1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IF(OR(IPRF_Lines_Edit[[#This Row],[Requested Qty]]="",IPRF_Lines_Edit[[#This Row],[Picked Qty]]=""),"",IPRF_Lines_Edit[[#This Row],[Requested Qty]]-IPRF_Lines_Edit[[#This Row],[Picked Qty]])</f>
        <v/>
      </c>
      <c r="M173" s="18" t="str" cm="1">
        <f t="array" ref="M1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3" s="19" t="str" cm="1">
        <f t="array" ref="N1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IF(OR(IPRF_Lines_Edit[[#This Row],[Requested Qty]]="",IPRF_Lines_Edit[[#This Row],[Picked Qty]]=""),"",IPRF_Lines_Edit[[#This Row],[Requested Qty]]-IPRF_Lines_Edit[[#This Row],[Picked Qty]])</f>
        <v/>
      </c>
      <c r="M174" s="18" t="str" cm="1">
        <f t="array" ref="M1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4" s="19" t="str" cm="1">
        <f t="array" ref="N1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IF(OR(IPRF_Lines_Edit[[#This Row],[Requested Qty]]="",IPRF_Lines_Edit[[#This Row],[Picked Qty]]=""),"",IPRF_Lines_Edit[[#This Row],[Requested Qty]]-IPRF_Lines_Edit[[#This Row],[Picked Qty]])</f>
        <v/>
      </c>
      <c r="M175" s="18" t="str" cm="1">
        <f t="array" ref="M1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5" s="19" t="str" cm="1">
        <f t="array" ref="N1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IF(OR(IPRF_Lines_Edit[[#This Row],[Requested Qty]]="",IPRF_Lines_Edit[[#This Row],[Picked Qty]]=""),"",IPRF_Lines_Edit[[#This Row],[Requested Qty]]-IPRF_Lines_Edit[[#This Row],[Picked Qty]])</f>
        <v/>
      </c>
      <c r="M176" s="18" t="str" cm="1">
        <f t="array" ref="M1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6" s="19" t="str" cm="1">
        <f t="array" ref="N1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IF(OR(IPRF_Lines_Edit[[#This Row],[Requested Qty]]="",IPRF_Lines_Edit[[#This Row],[Picked Qty]]=""),"",IPRF_Lines_Edit[[#This Row],[Requested Qty]]-IPRF_Lines_Edit[[#This Row],[Picked Qty]])</f>
        <v/>
      </c>
      <c r="M177" s="18" t="str" cm="1">
        <f t="array" ref="M1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7" s="19" t="str" cm="1">
        <f t="array" ref="N1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IF(OR(IPRF_Lines_Edit[[#This Row],[Requested Qty]]="",IPRF_Lines_Edit[[#This Row],[Picked Qty]]=""),"",IPRF_Lines_Edit[[#This Row],[Requested Qty]]-IPRF_Lines_Edit[[#This Row],[Picked Qty]])</f>
        <v/>
      </c>
      <c r="M178" s="18" t="str" cm="1">
        <f t="array" ref="M1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8" s="19" t="str" cm="1">
        <f t="array" ref="N1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IF(OR(IPRF_Lines_Edit[[#This Row],[Requested Qty]]="",IPRF_Lines_Edit[[#This Row],[Picked Qty]]=""),"",IPRF_Lines_Edit[[#This Row],[Requested Qty]]-IPRF_Lines_Edit[[#This Row],[Picked Qty]])</f>
        <v/>
      </c>
      <c r="M179" s="18" t="str" cm="1">
        <f t="array" ref="M1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9" s="19" t="str" cm="1">
        <f t="array" ref="N1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IF(OR(IPRF_Lines_Edit[[#This Row],[Requested Qty]]="",IPRF_Lines_Edit[[#This Row],[Picked Qty]]=""),"",IPRF_Lines_Edit[[#This Row],[Requested Qty]]-IPRF_Lines_Edit[[#This Row],[Picked Qty]])</f>
        <v/>
      </c>
      <c r="M180" s="18" t="str" cm="1">
        <f t="array" ref="M1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0" s="19" t="str" cm="1">
        <f t="array" ref="N1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IF(OR(IPRF_Lines_Edit[[#This Row],[Requested Qty]]="",IPRF_Lines_Edit[[#This Row],[Picked Qty]]=""),"",IPRF_Lines_Edit[[#This Row],[Requested Qty]]-IPRF_Lines_Edit[[#This Row],[Picked Qty]])</f>
        <v/>
      </c>
      <c r="M181" s="18" t="str" cm="1">
        <f t="array" ref="M1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1" s="19" t="str" cm="1">
        <f t="array" ref="N1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IF(OR(IPRF_Lines_Edit[[#This Row],[Requested Qty]]="",IPRF_Lines_Edit[[#This Row],[Picked Qty]]=""),"",IPRF_Lines_Edit[[#This Row],[Requested Qty]]-IPRF_Lines_Edit[[#This Row],[Picked Qty]])</f>
        <v/>
      </c>
      <c r="M182" s="18" t="str" cm="1">
        <f t="array" ref="M1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2" s="19" t="str" cm="1">
        <f t="array" ref="N1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IF(OR(IPRF_Lines_Edit[[#This Row],[Requested Qty]]="",IPRF_Lines_Edit[[#This Row],[Picked Qty]]=""),"",IPRF_Lines_Edit[[#This Row],[Requested Qty]]-IPRF_Lines_Edit[[#This Row],[Picked Qty]])</f>
        <v/>
      </c>
      <c r="M183" s="18" t="str" cm="1">
        <f t="array" ref="M1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3" s="19" t="str" cm="1">
        <f t="array" ref="N1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IF(OR(IPRF_Lines_Edit[[#This Row],[Requested Qty]]="",IPRF_Lines_Edit[[#This Row],[Picked Qty]]=""),"",IPRF_Lines_Edit[[#This Row],[Requested Qty]]-IPRF_Lines_Edit[[#This Row],[Picked Qty]])</f>
        <v/>
      </c>
      <c r="M184" s="18" t="str" cm="1">
        <f t="array" ref="M1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4" s="19" t="str" cm="1">
        <f t="array" ref="N1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IF(OR(IPRF_Lines_Edit[[#This Row],[Requested Qty]]="",IPRF_Lines_Edit[[#This Row],[Picked Qty]]=""),"",IPRF_Lines_Edit[[#This Row],[Requested Qty]]-IPRF_Lines_Edit[[#This Row],[Picked Qty]])</f>
        <v/>
      </c>
      <c r="M185" s="18" t="str" cm="1">
        <f t="array" ref="M1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5" s="19" t="str" cm="1">
        <f t="array" ref="N1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IF(OR(IPRF_Lines_Edit[[#This Row],[Requested Qty]]="",IPRF_Lines_Edit[[#This Row],[Picked Qty]]=""),"",IPRF_Lines_Edit[[#This Row],[Requested Qty]]-IPRF_Lines_Edit[[#This Row],[Picked Qty]])</f>
        <v/>
      </c>
      <c r="M186" s="18" t="str" cm="1">
        <f t="array" ref="M1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6" s="19" t="str" cm="1">
        <f t="array" ref="N1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IF(OR(IPRF_Lines_Edit[[#This Row],[Requested Qty]]="",IPRF_Lines_Edit[[#This Row],[Picked Qty]]=""),"",IPRF_Lines_Edit[[#This Row],[Requested Qty]]-IPRF_Lines_Edit[[#This Row],[Picked Qty]])</f>
        <v/>
      </c>
      <c r="M187" s="18" t="str" cm="1">
        <f t="array" ref="M1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7" s="19" t="str" cm="1">
        <f t="array" ref="N1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IF(OR(IPRF_Lines_Edit[[#This Row],[Requested Qty]]="",IPRF_Lines_Edit[[#This Row],[Picked Qty]]=""),"",IPRF_Lines_Edit[[#This Row],[Requested Qty]]-IPRF_Lines_Edit[[#This Row],[Picked Qty]])</f>
        <v/>
      </c>
      <c r="M188" s="18" t="str" cm="1">
        <f t="array" ref="M1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8" s="19" t="str" cm="1">
        <f t="array" ref="N1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IF(OR(IPRF_Lines_Edit[[#This Row],[Requested Qty]]="",IPRF_Lines_Edit[[#This Row],[Picked Qty]]=""),"",IPRF_Lines_Edit[[#This Row],[Requested Qty]]-IPRF_Lines_Edit[[#This Row],[Picked Qty]])</f>
        <v/>
      </c>
      <c r="M189" s="18" t="str" cm="1">
        <f t="array" ref="M1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9" s="19" t="str" cm="1">
        <f t="array" ref="N1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IF(OR(IPRF_Lines_Edit[[#This Row],[Requested Qty]]="",IPRF_Lines_Edit[[#This Row],[Picked Qty]]=""),"",IPRF_Lines_Edit[[#This Row],[Requested Qty]]-IPRF_Lines_Edit[[#This Row],[Picked Qty]])</f>
        <v/>
      </c>
      <c r="M190" s="18" t="str" cm="1">
        <f t="array" ref="M1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0" s="19" t="str" cm="1">
        <f t="array" ref="N1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IF(OR(IPRF_Lines_Edit[[#This Row],[Requested Qty]]="",IPRF_Lines_Edit[[#This Row],[Picked Qty]]=""),"",IPRF_Lines_Edit[[#This Row],[Requested Qty]]-IPRF_Lines_Edit[[#This Row],[Picked Qty]])</f>
        <v/>
      </c>
      <c r="M191" s="18" t="str" cm="1">
        <f t="array" ref="M1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1" s="19" t="str" cm="1">
        <f t="array" ref="N1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IF(OR(IPRF_Lines_Edit[[#This Row],[Requested Qty]]="",IPRF_Lines_Edit[[#This Row],[Picked Qty]]=""),"",IPRF_Lines_Edit[[#This Row],[Requested Qty]]-IPRF_Lines_Edit[[#This Row],[Picked Qty]])</f>
        <v/>
      </c>
      <c r="M192" s="18" t="str" cm="1">
        <f t="array" ref="M1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2" s="19" t="str" cm="1">
        <f t="array" ref="N1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IF(OR(IPRF_Lines_Edit[[#This Row],[Requested Qty]]="",IPRF_Lines_Edit[[#This Row],[Picked Qty]]=""),"",IPRF_Lines_Edit[[#This Row],[Requested Qty]]-IPRF_Lines_Edit[[#This Row],[Picked Qty]])</f>
        <v/>
      </c>
      <c r="M193" s="18" t="str" cm="1">
        <f t="array" ref="M1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3" s="19" t="str" cm="1">
        <f t="array" ref="N1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IF(OR(IPRF_Lines_Edit[[#This Row],[Requested Qty]]="",IPRF_Lines_Edit[[#This Row],[Picked Qty]]=""),"",IPRF_Lines_Edit[[#This Row],[Requested Qty]]-IPRF_Lines_Edit[[#This Row],[Picked Qty]])</f>
        <v/>
      </c>
      <c r="M194" s="18" t="str" cm="1">
        <f t="array" ref="M1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4" s="19" t="str" cm="1">
        <f t="array" ref="N1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IF(OR(IPRF_Lines_Edit[[#This Row],[Requested Qty]]="",IPRF_Lines_Edit[[#This Row],[Picked Qty]]=""),"",IPRF_Lines_Edit[[#This Row],[Requested Qty]]-IPRF_Lines_Edit[[#This Row],[Picked Qty]])</f>
        <v/>
      </c>
      <c r="M195" s="18" t="str" cm="1">
        <f t="array" ref="M1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5" s="19" t="str" cm="1">
        <f t="array" ref="N1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IF(OR(IPRF_Lines_Edit[[#This Row],[Requested Qty]]="",IPRF_Lines_Edit[[#This Row],[Picked Qty]]=""),"",IPRF_Lines_Edit[[#This Row],[Requested Qty]]-IPRF_Lines_Edit[[#This Row],[Picked Qty]])</f>
        <v/>
      </c>
      <c r="M196" s="18" t="str" cm="1">
        <f t="array" ref="M1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6" s="19" t="str" cm="1">
        <f t="array" ref="N1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IF(OR(IPRF_Lines_Edit[[#This Row],[Requested Qty]]="",IPRF_Lines_Edit[[#This Row],[Picked Qty]]=""),"",IPRF_Lines_Edit[[#This Row],[Requested Qty]]-IPRF_Lines_Edit[[#This Row],[Picked Qty]])</f>
        <v/>
      </c>
      <c r="M197" s="18" t="str" cm="1">
        <f t="array" ref="M1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7" s="19" t="str" cm="1">
        <f t="array" ref="N1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IF(OR(IPRF_Lines_Edit[[#This Row],[Requested Qty]]="",IPRF_Lines_Edit[[#This Row],[Picked Qty]]=""),"",IPRF_Lines_Edit[[#This Row],[Requested Qty]]-IPRF_Lines_Edit[[#This Row],[Picked Qty]])</f>
        <v/>
      </c>
      <c r="M198" s="18" t="str" cm="1">
        <f t="array" ref="M1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8" s="19" t="str" cm="1">
        <f t="array" ref="N1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IF(OR(IPRF_Lines_Edit[[#This Row],[Requested Qty]]="",IPRF_Lines_Edit[[#This Row],[Picked Qty]]=""),"",IPRF_Lines_Edit[[#This Row],[Requested Qty]]-IPRF_Lines_Edit[[#This Row],[Picked Qty]])</f>
        <v/>
      </c>
      <c r="M199" s="18" t="str" cm="1">
        <f t="array" ref="M1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9" s="19" t="str" cm="1">
        <f t="array" ref="N1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IF(OR(IPRF_Lines_Edit[[#This Row],[Requested Qty]]="",IPRF_Lines_Edit[[#This Row],[Picked Qty]]=""),"",IPRF_Lines_Edit[[#This Row],[Requested Qty]]-IPRF_Lines_Edit[[#This Row],[Picked Qty]])</f>
        <v/>
      </c>
      <c r="M200" s="18" t="str" cm="1">
        <f t="array" ref="M2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0" s="19" t="str" cm="1">
        <f t="array" ref="N2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IF(OR(IPRF_Lines_Edit[[#This Row],[Requested Qty]]="",IPRF_Lines_Edit[[#This Row],[Picked Qty]]=""),"",IPRF_Lines_Edit[[#This Row],[Requested Qty]]-IPRF_Lines_Edit[[#This Row],[Picked Qty]])</f>
        <v/>
      </c>
      <c r="M201" s="18" t="str" cm="1">
        <f t="array" ref="M2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1" s="19" t="str" cm="1">
        <f t="array" ref="N2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IF(OR(IPRF_Lines_Edit[[#This Row],[Requested Qty]]="",IPRF_Lines_Edit[[#This Row],[Picked Qty]]=""),"",IPRF_Lines_Edit[[#This Row],[Requested Qty]]-IPRF_Lines_Edit[[#This Row],[Picked Qty]])</f>
        <v/>
      </c>
      <c r="M202" s="18" t="str" cm="1">
        <f t="array" ref="M2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2" s="19" t="str" cm="1">
        <f t="array" ref="N2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IF(OR(IPRF_Lines_Edit[[#This Row],[Requested Qty]]="",IPRF_Lines_Edit[[#This Row],[Picked Qty]]=""),"",IPRF_Lines_Edit[[#This Row],[Requested Qty]]-IPRF_Lines_Edit[[#This Row],[Picked Qty]])</f>
        <v/>
      </c>
      <c r="M203" s="18" t="str" cm="1">
        <f t="array" ref="M2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3" s="19" t="str" cm="1">
        <f t="array" ref="N2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IF(OR(IPRF_Lines_Edit[[#This Row],[Requested Qty]]="",IPRF_Lines_Edit[[#This Row],[Picked Qty]]=""),"",IPRF_Lines_Edit[[#This Row],[Requested Qty]]-IPRF_Lines_Edit[[#This Row],[Picked Qty]])</f>
        <v/>
      </c>
      <c r="M204" s="18" t="str" cm="1">
        <f t="array" ref="M2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4" s="19" t="str" cm="1">
        <f t="array" ref="N2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IF(OR(IPRF_Lines_Edit[[#This Row],[Requested Qty]]="",IPRF_Lines_Edit[[#This Row],[Picked Qty]]=""),"",IPRF_Lines_Edit[[#This Row],[Requested Qty]]-IPRF_Lines_Edit[[#This Row],[Picked Qty]])</f>
        <v/>
      </c>
      <c r="M205" s="18" t="str" cm="1">
        <f t="array" ref="M2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5" s="19" t="str" cm="1">
        <f t="array" ref="N2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IF(OR(IPRF_Lines_Edit[[#This Row],[Requested Qty]]="",IPRF_Lines_Edit[[#This Row],[Picked Qty]]=""),"",IPRF_Lines_Edit[[#This Row],[Requested Qty]]-IPRF_Lines_Edit[[#This Row],[Picked Qty]])</f>
        <v/>
      </c>
      <c r="M206" s="18" t="str" cm="1">
        <f t="array" ref="M2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6" s="19" t="str" cm="1">
        <f t="array" ref="N2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IF(OR(IPRF_Lines_Edit[[#This Row],[Requested Qty]]="",IPRF_Lines_Edit[[#This Row],[Picked Qty]]=""),"",IPRF_Lines_Edit[[#This Row],[Requested Qty]]-IPRF_Lines_Edit[[#This Row],[Picked Qty]])</f>
        <v/>
      </c>
      <c r="M207" s="18" t="str" cm="1">
        <f t="array" ref="M2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7" s="19" t="str" cm="1">
        <f t="array" ref="N2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IF(OR(IPRF_Lines_Edit[[#This Row],[Requested Qty]]="",IPRF_Lines_Edit[[#This Row],[Picked Qty]]=""),"",IPRF_Lines_Edit[[#This Row],[Requested Qty]]-IPRF_Lines_Edit[[#This Row],[Picked Qty]])</f>
        <v/>
      </c>
      <c r="M208" s="18" t="str" cm="1">
        <f t="array" ref="M2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8" s="19" t="str" cm="1">
        <f t="array" ref="N2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IF(OR(IPRF_Lines_Edit[[#This Row],[Requested Qty]]="",IPRF_Lines_Edit[[#This Row],[Picked Qty]]=""),"",IPRF_Lines_Edit[[#This Row],[Requested Qty]]-IPRF_Lines_Edit[[#This Row],[Picked Qty]])</f>
        <v/>
      </c>
      <c r="M209" s="18" t="str" cm="1">
        <f t="array" ref="M2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9" s="19" t="str" cm="1">
        <f t="array" ref="N2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IF(OR(IPRF_Lines_Edit[[#This Row],[Requested Qty]]="",IPRF_Lines_Edit[[#This Row],[Picked Qty]]=""),"",IPRF_Lines_Edit[[#This Row],[Requested Qty]]-IPRF_Lines_Edit[[#This Row],[Picked Qty]])</f>
        <v/>
      </c>
      <c r="M210" s="18" t="str" cm="1">
        <f t="array" ref="M2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0" s="19" t="str" cm="1">
        <f t="array" ref="N2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IF(OR(IPRF_Lines_Edit[[#This Row],[Requested Qty]]="",IPRF_Lines_Edit[[#This Row],[Picked Qty]]=""),"",IPRF_Lines_Edit[[#This Row],[Requested Qty]]-IPRF_Lines_Edit[[#This Row],[Picked Qty]])</f>
        <v/>
      </c>
      <c r="M211" s="18" t="str" cm="1">
        <f t="array" ref="M2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1" s="19" t="str" cm="1">
        <f t="array" ref="N2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IF(OR(IPRF_Lines_Edit[[#This Row],[Requested Qty]]="",IPRF_Lines_Edit[[#This Row],[Picked Qty]]=""),"",IPRF_Lines_Edit[[#This Row],[Requested Qty]]-IPRF_Lines_Edit[[#This Row],[Picked Qty]])</f>
        <v/>
      </c>
      <c r="M212" s="18" t="str" cm="1">
        <f t="array" ref="M2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2" s="19" t="str" cm="1">
        <f t="array" ref="N2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IF(OR(IPRF_Lines_Edit[[#This Row],[Requested Qty]]="",IPRF_Lines_Edit[[#This Row],[Picked Qty]]=""),"",IPRF_Lines_Edit[[#This Row],[Requested Qty]]-IPRF_Lines_Edit[[#This Row],[Picked Qty]])</f>
        <v/>
      </c>
      <c r="M213" s="18" t="str" cm="1">
        <f t="array" ref="M2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3" s="19" t="str" cm="1">
        <f t="array" ref="N2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IF(OR(IPRF_Lines_Edit[[#This Row],[Requested Qty]]="",IPRF_Lines_Edit[[#This Row],[Picked Qty]]=""),"",IPRF_Lines_Edit[[#This Row],[Requested Qty]]-IPRF_Lines_Edit[[#This Row],[Picked Qty]])</f>
        <v/>
      </c>
      <c r="M214" s="18" t="str" cm="1">
        <f t="array" ref="M2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4" s="19" t="str" cm="1">
        <f t="array" ref="N2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IF(OR(IPRF_Lines_Edit[[#This Row],[Requested Qty]]="",IPRF_Lines_Edit[[#This Row],[Picked Qty]]=""),"",IPRF_Lines_Edit[[#This Row],[Requested Qty]]-IPRF_Lines_Edit[[#This Row],[Picked Qty]])</f>
        <v/>
      </c>
      <c r="M215" s="18" t="str" cm="1">
        <f t="array" ref="M2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5" s="19" t="str" cm="1">
        <f t="array" ref="N2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IF(OR(IPRF_Lines_Edit[[#This Row],[Requested Qty]]="",IPRF_Lines_Edit[[#This Row],[Picked Qty]]=""),"",IPRF_Lines_Edit[[#This Row],[Requested Qty]]-IPRF_Lines_Edit[[#This Row],[Picked Qty]])</f>
        <v/>
      </c>
      <c r="M216" s="18" t="str" cm="1">
        <f t="array" ref="M2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6" s="19" t="str" cm="1">
        <f t="array" ref="N2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IF(OR(IPRF_Lines_Edit[[#This Row],[Requested Qty]]="",IPRF_Lines_Edit[[#This Row],[Picked Qty]]=""),"",IPRF_Lines_Edit[[#This Row],[Requested Qty]]-IPRF_Lines_Edit[[#This Row],[Picked Qty]])</f>
        <v/>
      </c>
      <c r="M217" s="18" t="str" cm="1">
        <f t="array" ref="M2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7" s="19" t="str" cm="1">
        <f t="array" ref="N2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IF(OR(IPRF_Lines_Edit[[#This Row],[Requested Qty]]="",IPRF_Lines_Edit[[#This Row],[Picked Qty]]=""),"",IPRF_Lines_Edit[[#This Row],[Requested Qty]]-IPRF_Lines_Edit[[#This Row],[Picked Qty]])</f>
        <v/>
      </c>
      <c r="M218" s="18" t="str" cm="1">
        <f t="array" ref="M2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8" s="19" t="str" cm="1">
        <f t="array" ref="N2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IF(OR(IPRF_Lines_Edit[[#This Row],[Requested Qty]]="",IPRF_Lines_Edit[[#This Row],[Picked Qty]]=""),"",IPRF_Lines_Edit[[#This Row],[Requested Qty]]-IPRF_Lines_Edit[[#This Row],[Picked Qty]])</f>
        <v/>
      </c>
      <c r="M219" s="18" t="str" cm="1">
        <f t="array" ref="M2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9" s="19" t="str" cm="1">
        <f t="array" ref="N2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IF(OR(IPRF_Lines_Edit[[#This Row],[Requested Qty]]="",IPRF_Lines_Edit[[#This Row],[Picked Qty]]=""),"",IPRF_Lines_Edit[[#This Row],[Requested Qty]]-IPRF_Lines_Edit[[#This Row],[Picked Qty]])</f>
        <v/>
      </c>
      <c r="M220" s="18" t="str" cm="1">
        <f t="array" ref="M2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0" s="19" t="str" cm="1">
        <f t="array" ref="N2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IF(OR(IPRF_Lines_Edit[[#This Row],[Requested Qty]]="",IPRF_Lines_Edit[[#This Row],[Picked Qty]]=""),"",IPRF_Lines_Edit[[#This Row],[Requested Qty]]-IPRF_Lines_Edit[[#This Row],[Picked Qty]])</f>
        <v/>
      </c>
      <c r="M221" s="18" t="str" cm="1">
        <f t="array" ref="M2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1" s="19" t="str" cm="1">
        <f t="array" ref="N2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IF(OR(IPRF_Lines_Edit[[#This Row],[Requested Qty]]="",IPRF_Lines_Edit[[#This Row],[Picked Qty]]=""),"",IPRF_Lines_Edit[[#This Row],[Requested Qty]]-IPRF_Lines_Edit[[#This Row],[Picked Qty]])</f>
        <v/>
      </c>
      <c r="M222" s="18" t="str" cm="1">
        <f t="array" ref="M2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2" s="19" t="str" cm="1">
        <f t="array" ref="N2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IF(OR(IPRF_Lines_Edit[[#This Row],[Requested Qty]]="",IPRF_Lines_Edit[[#This Row],[Picked Qty]]=""),"",IPRF_Lines_Edit[[#This Row],[Requested Qty]]-IPRF_Lines_Edit[[#This Row],[Picked Qty]])</f>
        <v/>
      </c>
      <c r="M223" s="18" t="str" cm="1">
        <f t="array" ref="M2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3" s="19" t="str" cm="1">
        <f t="array" ref="N2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IF(OR(IPRF_Lines_Edit[[#This Row],[Requested Qty]]="",IPRF_Lines_Edit[[#This Row],[Picked Qty]]=""),"",IPRF_Lines_Edit[[#This Row],[Requested Qty]]-IPRF_Lines_Edit[[#This Row],[Picked Qty]])</f>
        <v/>
      </c>
      <c r="M224" s="18" t="str" cm="1">
        <f t="array" ref="M2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4" s="19" t="str" cm="1">
        <f t="array" ref="N2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IF(OR(IPRF_Lines_Edit[[#This Row],[Requested Qty]]="",IPRF_Lines_Edit[[#This Row],[Picked Qty]]=""),"",IPRF_Lines_Edit[[#This Row],[Requested Qty]]-IPRF_Lines_Edit[[#This Row],[Picked Qty]])</f>
        <v/>
      </c>
      <c r="M225" s="18" t="str" cm="1">
        <f t="array" ref="M2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5" s="19" t="str" cm="1">
        <f t="array" ref="N2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IF(OR(IPRF_Lines_Edit[[#This Row],[Requested Qty]]="",IPRF_Lines_Edit[[#This Row],[Picked Qty]]=""),"",IPRF_Lines_Edit[[#This Row],[Requested Qty]]-IPRF_Lines_Edit[[#This Row],[Picked Qty]])</f>
        <v/>
      </c>
      <c r="M226" s="18" t="str" cm="1">
        <f t="array" ref="M2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6" s="19" t="str" cm="1">
        <f t="array" ref="N2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IF(OR(IPRF_Lines_Edit[[#This Row],[Requested Qty]]="",IPRF_Lines_Edit[[#This Row],[Picked Qty]]=""),"",IPRF_Lines_Edit[[#This Row],[Requested Qty]]-IPRF_Lines_Edit[[#This Row],[Picked Qty]])</f>
        <v/>
      </c>
      <c r="M227" s="18" t="str" cm="1">
        <f t="array" ref="M2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7" s="19" t="str" cm="1">
        <f t="array" ref="N2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IF(OR(IPRF_Lines_Edit[[#This Row],[Requested Qty]]="",IPRF_Lines_Edit[[#This Row],[Picked Qty]]=""),"",IPRF_Lines_Edit[[#This Row],[Requested Qty]]-IPRF_Lines_Edit[[#This Row],[Picked Qty]])</f>
        <v/>
      </c>
      <c r="M228" s="18" t="str" cm="1">
        <f t="array" ref="M2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8" s="19" t="str" cm="1">
        <f t="array" ref="N2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IF(OR(IPRF_Lines_Edit[[#This Row],[Requested Qty]]="",IPRF_Lines_Edit[[#This Row],[Picked Qty]]=""),"",IPRF_Lines_Edit[[#This Row],[Requested Qty]]-IPRF_Lines_Edit[[#This Row],[Picked Qty]])</f>
        <v/>
      </c>
      <c r="M229" s="18" t="str" cm="1">
        <f t="array" ref="M2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9" s="19" t="str" cm="1">
        <f t="array" ref="N2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IF(OR(IPRF_Lines_Edit[[#This Row],[Requested Qty]]="",IPRF_Lines_Edit[[#This Row],[Picked Qty]]=""),"",IPRF_Lines_Edit[[#This Row],[Requested Qty]]-IPRF_Lines_Edit[[#This Row],[Picked Qty]])</f>
        <v/>
      </c>
      <c r="M230" s="18" t="str" cm="1">
        <f t="array" ref="M2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0" s="19" t="str" cm="1">
        <f t="array" ref="N2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IF(OR(IPRF_Lines_Edit[[#This Row],[Requested Qty]]="",IPRF_Lines_Edit[[#This Row],[Picked Qty]]=""),"",IPRF_Lines_Edit[[#This Row],[Requested Qty]]-IPRF_Lines_Edit[[#This Row],[Picked Qty]])</f>
        <v/>
      </c>
      <c r="M231" s="18" t="str" cm="1">
        <f t="array" ref="M2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1" s="19" t="str" cm="1">
        <f t="array" ref="N2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IF(OR(IPRF_Lines_Edit[[#This Row],[Requested Qty]]="",IPRF_Lines_Edit[[#This Row],[Picked Qty]]=""),"",IPRF_Lines_Edit[[#This Row],[Requested Qty]]-IPRF_Lines_Edit[[#This Row],[Picked Qty]])</f>
        <v/>
      </c>
      <c r="M232" s="18" t="str" cm="1">
        <f t="array" ref="M2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2" s="19" t="str" cm="1">
        <f t="array" ref="N2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IF(OR(IPRF_Lines_Edit[[#This Row],[Requested Qty]]="",IPRF_Lines_Edit[[#This Row],[Picked Qty]]=""),"",IPRF_Lines_Edit[[#This Row],[Requested Qty]]-IPRF_Lines_Edit[[#This Row],[Picked Qty]])</f>
        <v/>
      </c>
      <c r="M233" s="18" t="str" cm="1">
        <f t="array" ref="M2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3" s="19" t="str" cm="1">
        <f t="array" ref="N2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IF(OR(IPRF_Lines_Edit[[#This Row],[Requested Qty]]="",IPRF_Lines_Edit[[#This Row],[Picked Qty]]=""),"",IPRF_Lines_Edit[[#This Row],[Requested Qty]]-IPRF_Lines_Edit[[#This Row],[Picked Qty]])</f>
        <v/>
      </c>
      <c r="M234" s="18" t="str" cm="1">
        <f t="array" ref="M2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4" s="19" t="str" cm="1">
        <f t="array" ref="N2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IF(OR(IPRF_Lines_Edit[[#This Row],[Requested Qty]]="",IPRF_Lines_Edit[[#This Row],[Picked Qty]]=""),"",IPRF_Lines_Edit[[#This Row],[Requested Qty]]-IPRF_Lines_Edit[[#This Row],[Picked Qty]])</f>
        <v/>
      </c>
      <c r="M235" s="18" t="str" cm="1">
        <f t="array" ref="M2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5" s="19" t="str" cm="1">
        <f t="array" ref="N2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IF(OR(IPRF_Lines_Edit[[#This Row],[Requested Qty]]="",IPRF_Lines_Edit[[#This Row],[Picked Qty]]=""),"",IPRF_Lines_Edit[[#This Row],[Requested Qty]]-IPRF_Lines_Edit[[#This Row],[Picked Qty]])</f>
        <v/>
      </c>
      <c r="M236" s="18" t="str" cm="1">
        <f t="array" ref="M2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6" s="19" t="str" cm="1">
        <f t="array" ref="N2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IF(OR(IPRF_Lines_Edit[[#This Row],[Requested Qty]]="",IPRF_Lines_Edit[[#This Row],[Picked Qty]]=""),"",IPRF_Lines_Edit[[#This Row],[Requested Qty]]-IPRF_Lines_Edit[[#This Row],[Picked Qty]])</f>
        <v/>
      </c>
      <c r="M237" s="18" t="str" cm="1">
        <f t="array" ref="M2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7" s="19" t="str" cm="1">
        <f t="array" ref="N2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IF(OR(IPRF_Lines_Edit[[#This Row],[Requested Qty]]="",IPRF_Lines_Edit[[#This Row],[Picked Qty]]=""),"",IPRF_Lines_Edit[[#This Row],[Requested Qty]]-IPRF_Lines_Edit[[#This Row],[Picked Qty]])</f>
        <v/>
      </c>
      <c r="M238" s="18" t="str" cm="1">
        <f t="array" ref="M2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8" s="19" t="str" cm="1">
        <f t="array" ref="N2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IF(OR(IPRF_Lines_Edit[[#This Row],[Requested Qty]]="",IPRF_Lines_Edit[[#This Row],[Picked Qty]]=""),"",IPRF_Lines_Edit[[#This Row],[Requested Qty]]-IPRF_Lines_Edit[[#This Row],[Picked Qty]])</f>
        <v/>
      </c>
      <c r="M239" s="18" t="str" cm="1">
        <f t="array" ref="M2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9" s="19" t="str" cm="1">
        <f t="array" ref="N2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IF(OR(IPRF_Lines_Edit[[#This Row],[Requested Qty]]="",IPRF_Lines_Edit[[#This Row],[Picked Qty]]=""),"",IPRF_Lines_Edit[[#This Row],[Requested Qty]]-IPRF_Lines_Edit[[#This Row],[Picked Qty]])</f>
        <v/>
      </c>
      <c r="M240" s="18" t="str" cm="1">
        <f t="array" ref="M2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0" s="19" t="str" cm="1">
        <f t="array" ref="N2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IF(OR(IPRF_Lines_Edit[[#This Row],[Requested Qty]]="",IPRF_Lines_Edit[[#This Row],[Picked Qty]]=""),"",IPRF_Lines_Edit[[#This Row],[Requested Qty]]-IPRF_Lines_Edit[[#This Row],[Picked Qty]])</f>
        <v/>
      </c>
      <c r="M241" s="18" t="str" cm="1">
        <f t="array" ref="M2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1" s="19" t="str" cm="1">
        <f t="array" ref="N2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IF(OR(IPRF_Lines_Edit[[#This Row],[Requested Qty]]="",IPRF_Lines_Edit[[#This Row],[Picked Qty]]=""),"",IPRF_Lines_Edit[[#This Row],[Requested Qty]]-IPRF_Lines_Edit[[#This Row],[Picked Qty]])</f>
        <v/>
      </c>
      <c r="M242" s="18" t="str" cm="1">
        <f t="array" ref="M2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2" s="19" t="str" cm="1">
        <f t="array" ref="N2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IF(OR(IPRF_Lines_Edit[[#This Row],[Requested Qty]]="",IPRF_Lines_Edit[[#This Row],[Picked Qty]]=""),"",IPRF_Lines_Edit[[#This Row],[Requested Qty]]-IPRF_Lines_Edit[[#This Row],[Picked Qty]])</f>
        <v/>
      </c>
      <c r="M243" s="18" t="str" cm="1">
        <f t="array" ref="M2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3" s="19" t="str" cm="1">
        <f t="array" ref="N2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IF(OR(IPRF_Lines_Edit[[#This Row],[Requested Qty]]="",IPRF_Lines_Edit[[#This Row],[Picked Qty]]=""),"",IPRF_Lines_Edit[[#This Row],[Requested Qty]]-IPRF_Lines_Edit[[#This Row],[Picked Qty]])</f>
        <v/>
      </c>
      <c r="M244" s="18" t="str" cm="1">
        <f t="array" ref="M2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4" s="19" t="str" cm="1">
        <f t="array" ref="N2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IF(OR(IPRF_Lines_Edit[[#This Row],[Requested Qty]]="",IPRF_Lines_Edit[[#This Row],[Picked Qty]]=""),"",IPRF_Lines_Edit[[#This Row],[Requested Qty]]-IPRF_Lines_Edit[[#This Row],[Picked Qty]])</f>
        <v/>
      </c>
      <c r="M245" s="18" t="str" cm="1">
        <f t="array" ref="M2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5" s="19" t="str" cm="1">
        <f t="array" ref="N2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IF(OR(IPRF_Lines_Edit[[#This Row],[Requested Qty]]="",IPRF_Lines_Edit[[#This Row],[Picked Qty]]=""),"",IPRF_Lines_Edit[[#This Row],[Requested Qty]]-IPRF_Lines_Edit[[#This Row],[Picked Qty]])</f>
        <v/>
      </c>
      <c r="M246" s="18" t="str" cm="1">
        <f t="array" ref="M2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6" s="19" t="str" cm="1">
        <f t="array" ref="N2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IF(OR(IPRF_Lines_Edit[[#This Row],[Requested Qty]]="",IPRF_Lines_Edit[[#This Row],[Picked Qty]]=""),"",IPRF_Lines_Edit[[#This Row],[Requested Qty]]-IPRF_Lines_Edit[[#This Row],[Picked Qty]])</f>
        <v/>
      </c>
      <c r="M247" s="18" t="str" cm="1">
        <f t="array" ref="M2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7" s="19" t="str" cm="1">
        <f t="array" ref="N2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IF(OR(IPRF_Lines_Edit[[#This Row],[Requested Qty]]="",IPRF_Lines_Edit[[#This Row],[Picked Qty]]=""),"",IPRF_Lines_Edit[[#This Row],[Requested Qty]]-IPRF_Lines_Edit[[#This Row],[Picked Qty]])</f>
        <v/>
      </c>
      <c r="M248" s="18" t="str" cm="1">
        <f t="array" ref="M2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8" s="19" t="str" cm="1">
        <f t="array" ref="N2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IF(OR(IPRF_Lines_Edit[[#This Row],[Requested Qty]]="",IPRF_Lines_Edit[[#This Row],[Picked Qty]]=""),"",IPRF_Lines_Edit[[#This Row],[Requested Qty]]-IPRF_Lines_Edit[[#This Row],[Picked Qty]])</f>
        <v/>
      </c>
      <c r="M249" s="18" t="str" cm="1">
        <f t="array" ref="M2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9" s="19" t="str" cm="1">
        <f t="array" ref="N2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IF(OR(IPRF_Lines_Edit[[#This Row],[Requested Qty]]="",IPRF_Lines_Edit[[#This Row],[Picked Qty]]=""),"",IPRF_Lines_Edit[[#This Row],[Requested Qty]]-IPRF_Lines_Edit[[#This Row],[Picked Qty]])</f>
        <v/>
      </c>
      <c r="M250" s="18" t="str" cm="1">
        <f t="array" ref="M2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0" s="19" t="str" cm="1">
        <f t="array" ref="N2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IF(OR(IPRF_Lines_Edit[[#This Row],[Requested Qty]]="",IPRF_Lines_Edit[[#This Row],[Picked Qty]]=""),"",IPRF_Lines_Edit[[#This Row],[Requested Qty]]-IPRF_Lines_Edit[[#This Row],[Picked Qty]])</f>
        <v/>
      </c>
      <c r="M251" s="18" t="str" cm="1">
        <f t="array" ref="M2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1" s="19" t="str" cm="1">
        <f t="array" ref="N2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IF(OR(IPRF_Lines_Edit[[#This Row],[Requested Qty]]="",IPRF_Lines_Edit[[#This Row],[Picked Qty]]=""),"",IPRF_Lines_Edit[[#This Row],[Requested Qty]]-IPRF_Lines_Edit[[#This Row],[Picked Qty]])</f>
        <v/>
      </c>
      <c r="M252" s="18" t="str" cm="1">
        <f t="array" ref="M2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2" s="19" t="str" cm="1">
        <f t="array" ref="N2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IF(OR(IPRF_Lines_Edit[[#This Row],[Requested Qty]]="",IPRF_Lines_Edit[[#This Row],[Picked Qty]]=""),"",IPRF_Lines_Edit[[#This Row],[Requested Qty]]-IPRF_Lines_Edit[[#This Row],[Picked Qty]])</f>
        <v/>
      </c>
      <c r="M253" s="18" t="str" cm="1">
        <f t="array" ref="M2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3" s="19" t="str" cm="1">
        <f t="array" ref="N2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IF(OR(IPRF_Lines_Edit[[#This Row],[Requested Qty]]="",IPRF_Lines_Edit[[#This Row],[Picked Qty]]=""),"",IPRF_Lines_Edit[[#This Row],[Requested Qty]]-IPRF_Lines_Edit[[#This Row],[Picked Qty]])</f>
        <v/>
      </c>
      <c r="M254" s="18" t="str" cm="1">
        <f t="array" ref="M2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4" s="19" t="str" cm="1">
        <f t="array" ref="N2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IF(OR(IPRF_Lines_Edit[[#This Row],[Requested Qty]]="",IPRF_Lines_Edit[[#This Row],[Picked Qty]]=""),"",IPRF_Lines_Edit[[#This Row],[Requested Qty]]-IPRF_Lines_Edit[[#This Row],[Picked Qty]])</f>
        <v/>
      </c>
      <c r="M255" s="18" t="str" cm="1">
        <f t="array" ref="M2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5" s="19" t="str" cm="1">
        <f t="array" ref="N2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IF(OR(IPRF_Lines_Edit[[#This Row],[Requested Qty]]="",IPRF_Lines_Edit[[#This Row],[Picked Qty]]=""),"",IPRF_Lines_Edit[[#This Row],[Requested Qty]]-IPRF_Lines_Edit[[#This Row],[Picked Qty]])</f>
        <v/>
      </c>
      <c r="M256" s="18" t="str" cm="1">
        <f t="array" ref="M2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6" s="19" t="str" cm="1">
        <f t="array" ref="N2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IF(OR(IPRF_Lines_Edit[[#This Row],[Requested Qty]]="",IPRF_Lines_Edit[[#This Row],[Picked Qty]]=""),"",IPRF_Lines_Edit[[#This Row],[Requested Qty]]-IPRF_Lines_Edit[[#This Row],[Picked Qty]])</f>
        <v/>
      </c>
      <c r="M257" s="18" t="str" cm="1">
        <f t="array" ref="M2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7" s="19" t="str" cm="1">
        <f t="array" ref="N2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IF(OR(IPRF_Lines_Edit[[#This Row],[Requested Qty]]="",IPRF_Lines_Edit[[#This Row],[Picked Qty]]=""),"",IPRF_Lines_Edit[[#This Row],[Requested Qty]]-IPRF_Lines_Edit[[#This Row],[Picked Qty]])</f>
        <v/>
      </c>
      <c r="M258" s="18" t="str" cm="1">
        <f t="array" ref="M2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8" s="19" t="str" cm="1">
        <f t="array" ref="N2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IF(OR(IPRF_Lines_Edit[[#This Row],[Requested Qty]]="",IPRF_Lines_Edit[[#This Row],[Picked Qty]]=""),"",IPRF_Lines_Edit[[#This Row],[Requested Qty]]-IPRF_Lines_Edit[[#This Row],[Picked Qty]])</f>
        <v/>
      </c>
      <c r="M259" s="18" t="str" cm="1">
        <f t="array" ref="M2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9" s="19" t="str" cm="1">
        <f t="array" ref="N2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IF(OR(IPRF_Lines_Edit[[#This Row],[Requested Qty]]="",IPRF_Lines_Edit[[#This Row],[Picked Qty]]=""),"",IPRF_Lines_Edit[[#This Row],[Requested Qty]]-IPRF_Lines_Edit[[#This Row],[Picked Qty]])</f>
        <v/>
      </c>
      <c r="M260" s="18" t="str" cm="1">
        <f t="array" ref="M2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0" s="19" t="str" cm="1">
        <f t="array" ref="N2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IF(OR(IPRF_Lines_Edit[[#This Row],[Requested Qty]]="",IPRF_Lines_Edit[[#This Row],[Picked Qty]]=""),"",IPRF_Lines_Edit[[#This Row],[Requested Qty]]-IPRF_Lines_Edit[[#This Row],[Picked Qty]])</f>
        <v/>
      </c>
      <c r="M261" s="18" t="str" cm="1">
        <f t="array" ref="M2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1" s="19" t="str" cm="1">
        <f t="array" ref="N2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IF(OR(IPRF_Lines_Edit[[#This Row],[Requested Qty]]="",IPRF_Lines_Edit[[#This Row],[Picked Qty]]=""),"",IPRF_Lines_Edit[[#This Row],[Requested Qty]]-IPRF_Lines_Edit[[#This Row],[Picked Qty]])</f>
        <v/>
      </c>
      <c r="M262" s="18" t="str" cm="1">
        <f t="array" ref="M2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2" s="19" t="str" cm="1">
        <f t="array" ref="N2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IF(OR(IPRF_Lines_Edit[[#This Row],[Requested Qty]]="",IPRF_Lines_Edit[[#This Row],[Picked Qty]]=""),"",IPRF_Lines_Edit[[#This Row],[Requested Qty]]-IPRF_Lines_Edit[[#This Row],[Picked Qty]])</f>
        <v/>
      </c>
      <c r="M263" s="18" t="str" cm="1">
        <f t="array" ref="M2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3" s="19" t="str" cm="1">
        <f t="array" ref="N2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IF(OR(IPRF_Lines_Edit[[#This Row],[Requested Qty]]="",IPRF_Lines_Edit[[#This Row],[Picked Qty]]=""),"",IPRF_Lines_Edit[[#This Row],[Requested Qty]]-IPRF_Lines_Edit[[#This Row],[Picked Qty]])</f>
        <v/>
      </c>
      <c r="M264" s="18" t="str" cm="1">
        <f t="array" ref="M2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4" s="19" t="str" cm="1">
        <f t="array" ref="N2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IF(OR(IPRF_Lines_Edit[[#This Row],[Requested Qty]]="",IPRF_Lines_Edit[[#This Row],[Picked Qty]]=""),"",IPRF_Lines_Edit[[#This Row],[Requested Qty]]-IPRF_Lines_Edit[[#This Row],[Picked Qty]])</f>
        <v/>
      </c>
      <c r="M265" s="18" t="str" cm="1">
        <f t="array" ref="M2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5" s="19" t="str" cm="1">
        <f t="array" ref="N2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IF(OR(IPRF_Lines_Edit[[#This Row],[Requested Qty]]="",IPRF_Lines_Edit[[#This Row],[Picked Qty]]=""),"",IPRF_Lines_Edit[[#This Row],[Requested Qty]]-IPRF_Lines_Edit[[#This Row],[Picked Qty]])</f>
        <v/>
      </c>
      <c r="M266" s="18" t="str" cm="1">
        <f t="array" ref="M2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6" s="19" t="str" cm="1">
        <f t="array" ref="N2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IF(OR(IPRF_Lines_Edit[[#This Row],[Requested Qty]]="",IPRF_Lines_Edit[[#This Row],[Picked Qty]]=""),"",IPRF_Lines_Edit[[#This Row],[Requested Qty]]-IPRF_Lines_Edit[[#This Row],[Picked Qty]])</f>
        <v/>
      </c>
      <c r="M267" s="18" t="str" cm="1">
        <f t="array" ref="M2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7" s="19" t="str" cm="1">
        <f t="array" ref="N2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IF(OR(IPRF_Lines_Edit[[#This Row],[Requested Qty]]="",IPRF_Lines_Edit[[#This Row],[Picked Qty]]=""),"",IPRF_Lines_Edit[[#This Row],[Requested Qty]]-IPRF_Lines_Edit[[#This Row],[Picked Qty]])</f>
        <v/>
      </c>
      <c r="M268" s="18" t="str" cm="1">
        <f t="array" ref="M2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8" s="19" t="str" cm="1">
        <f t="array" ref="N2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IF(OR(IPRF_Lines_Edit[[#This Row],[Requested Qty]]="",IPRF_Lines_Edit[[#This Row],[Picked Qty]]=""),"",IPRF_Lines_Edit[[#This Row],[Requested Qty]]-IPRF_Lines_Edit[[#This Row],[Picked Qty]])</f>
        <v/>
      </c>
      <c r="M269" s="18" t="str" cm="1">
        <f t="array" ref="M2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9" s="19" t="str" cm="1">
        <f t="array" ref="N2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IF(OR(IPRF_Lines_Edit[[#This Row],[Requested Qty]]="",IPRF_Lines_Edit[[#This Row],[Picked Qty]]=""),"",IPRF_Lines_Edit[[#This Row],[Requested Qty]]-IPRF_Lines_Edit[[#This Row],[Picked Qty]])</f>
        <v/>
      </c>
      <c r="M270" s="18" t="str" cm="1">
        <f t="array" ref="M2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0" s="19" t="str" cm="1">
        <f t="array" ref="N2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IF(OR(IPRF_Lines_Edit[[#This Row],[Requested Qty]]="",IPRF_Lines_Edit[[#This Row],[Picked Qty]]=""),"",IPRF_Lines_Edit[[#This Row],[Requested Qty]]-IPRF_Lines_Edit[[#This Row],[Picked Qty]])</f>
        <v/>
      </c>
      <c r="M271" s="18" t="str" cm="1">
        <f t="array" ref="M2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1" s="19" t="str" cm="1">
        <f t="array" ref="N2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IF(OR(IPRF_Lines_Edit[[#This Row],[Requested Qty]]="",IPRF_Lines_Edit[[#This Row],[Picked Qty]]=""),"",IPRF_Lines_Edit[[#This Row],[Requested Qty]]-IPRF_Lines_Edit[[#This Row],[Picked Qty]])</f>
        <v/>
      </c>
      <c r="M272" s="18" t="str" cm="1">
        <f t="array" ref="M2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2" s="19" t="str" cm="1">
        <f t="array" ref="N2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IF(OR(IPRF_Lines_Edit[[#This Row],[Requested Qty]]="",IPRF_Lines_Edit[[#This Row],[Picked Qty]]=""),"",IPRF_Lines_Edit[[#This Row],[Requested Qty]]-IPRF_Lines_Edit[[#This Row],[Picked Qty]])</f>
        <v/>
      </c>
      <c r="M273" s="18" t="str" cm="1">
        <f t="array" ref="M2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3" s="19" t="str" cm="1">
        <f t="array" ref="N2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IF(OR(IPRF_Lines_Edit[[#This Row],[Requested Qty]]="",IPRF_Lines_Edit[[#This Row],[Picked Qty]]=""),"",IPRF_Lines_Edit[[#This Row],[Requested Qty]]-IPRF_Lines_Edit[[#This Row],[Picked Qty]])</f>
        <v/>
      </c>
      <c r="M274" s="18" t="str" cm="1">
        <f t="array" ref="M2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4" s="19" t="str" cm="1">
        <f t="array" ref="N2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IF(OR(IPRF_Lines_Edit[[#This Row],[Requested Qty]]="",IPRF_Lines_Edit[[#This Row],[Picked Qty]]=""),"",IPRF_Lines_Edit[[#This Row],[Requested Qty]]-IPRF_Lines_Edit[[#This Row],[Picked Qty]])</f>
        <v/>
      </c>
      <c r="M275" s="18" t="str" cm="1">
        <f t="array" ref="M2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5" s="19" t="str" cm="1">
        <f t="array" ref="N2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IF(OR(IPRF_Lines_Edit[[#This Row],[Requested Qty]]="",IPRF_Lines_Edit[[#This Row],[Picked Qty]]=""),"",IPRF_Lines_Edit[[#This Row],[Requested Qty]]-IPRF_Lines_Edit[[#This Row],[Picked Qty]])</f>
        <v/>
      </c>
      <c r="M276" s="18" t="str" cm="1">
        <f t="array" ref="M2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6" s="19" t="str" cm="1">
        <f t="array" ref="N2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IF(OR(IPRF_Lines_Edit[[#This Row],[Requested Qty]]="",IPRF_Lines_Edit[[#This Row],[Picked Qty]]=""),"",IPRF_Lines_Edit[[#This Row],[Requested Qty]]-IPRF_Lines_Edit[[#This Row],[Picked Qty]])</f>
        <v/>
      </c>
      <c r="M277" s="18" t="str" cm="1">
        <f t="array" ref="M2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7" s="19" t="str" cm="1">
        <f t="array" ref="N2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IF(OR(IPRF_Lines_Edit[[#This Row],[Requested Qty]]="",IPRF_Lines_Edit[[#This Row],[Picked Qty]]=""),"",IPRF_Lines_Edit[[#This Row],[Requested Qty]]-IPRF_Lines_Edit[[#This Row],[Picked Qty]])</f>
        <v/>
      </c>
      <c r="M278" s="18" t="str" cm="1">
        <f t="array" ref="M2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8" s="19" t="str" cm="1">
        <f t="array" ref="N2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IF(OR(IPRF_Lines_Edit[[#This Row],[Requested Qty]]="",IPRF_Lines_Edit[[#This Row],[Picked Qty]]=""),"",IPRF_Lines_Edit[[#This Row],[Requested Qty]]-IPRF_Lines_Edit[[#This Row],[Picked Qty]])</f>
        <v/>
      </c>
      <c r="M279" s="18" t="str" cm="1">
        <f t="array" ref="M2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9" s="19" t="str" cm="1">
        <f t="array" ref="N2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IF(OR(IPRF_Lines_Edit[[#This Row],[Requested Qty]]="",IPRF_Lines_Edit[[#This Row],[Picked Qty]]=""),"",IPRF_Lines_Edit[[#This Row],[Requested Qty]]-IPRF_Lines_Edit[[#This Row],[Picked Qty]])</f>
        <v/>
      </c>
      <c r="M280" s="18" t="str" cm="1">
        <f t="array" ref="M2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0" s="19" t="str" cm="1">
        <f t="array" ref="N2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IF(OR(IPRF_Lines_Edit[[#This Row],[Requested Qty]]="",IPRF_Lines_Edit[[#This Row],[Picked Qty]]=""),"",IPRF_Lines_Edit[[#This Row],[Requested Qty]]-IPRF_Lines_Edit[[#This Row],[Picked Qty]])</f>
        <v/>
      </c>
      <c r="M281" s="18" t="str" cm="1">
        <f t="array" ref="M2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1" s="19" t="str" cm="1">
        <f t="array" ref="N2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IF(OR(IPRF_Lines_Edit[[#This Row],[Requested Qty]]="",IPRF_Lines_Edit[[#This Row],[Picked Qty]]=""),"",IPRF_Lines_Edit[[#This Row],[Requested Qty]]-IPRF_Lines_Edit[[#This Row],[Picked Qty]])</f>
        <v/>
      </c>
      <c r="M282" s="18" t="str" cm="1">
        <f t="array" ref="M2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2" s="19" t="str" cm="1">
        <f t="array" ref="N2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IF(OR(IPRF_Lines_Edit[[#This Row],[Requested Qty]]="",IPRF_Lines_Edit[[#This Row],[Picked Qty]]=""),"",IPRF_Lines_Edit[[#This Row],[Requested Qty]]-IPRF_Lines_Edit[[#This Row],[Picked Qty]])</f>
        <v/>
      </c>
      <c r="M283" s="18" t="str" cm="1">
        <f t="array" ref="M2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3" s="19" t="str" cm="1">
        <f t="array" ref="N2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IF(OR(IPRF_Lines_Edit[[#This Row],[Requested Qty]]="",IPRF_Lines_Edit[[#This Row],[Picked Qty]]=""),"",IPRF_Lines_Edit[[#This Row],[Requested Qty]]-IPRF_Lines_Edit[[#This Row],[Picked Qty]])</f>
        <v/>
      </c>
      <c r="M284" s="18" t="str" cm="1">
        <f t="array" ref="M2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4" s="19" t="str" cm="1">
        <f t="array" ref="N2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IF(OR(IPRF_Lines_Edit[[#This Row],[Requested Qty]]="",IPRF_Lines_Edit[[#This Row],[Picked Qty]]=""),"",IPRF_Lines_Edit[[#This Row],[Requested Qty]]-IPRF_Lines_Edit[[#This Row],[Picked Qty]])</f>
        <v/>
      </c>
      <c r="M285" s="18" t="str" cm="1">
        <f t="array" ref="M2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5" s="19" t="str" cm="1">
        <f t="array" ref="N2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IF(OR(IPRF_Lines_Edit[[#This Row],[Requested Qty]]="",IPRF_Lines_Edit[[#This Row],[Picked Qty]]=""),"",IPRF_Lines_Edit[[#This Row],[Requested Qty]]-IPRF_Lines_Edit[[#This Row],[Picked Qty]])</f>
        <v/>
      </c>
      <c r="M286" s="18" t="str" cm="1">
        <f t="array" ref="M2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6" s="19" t="str" cm="1">
        <f t="array" ref="N2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IF(OR(IPRF_Lines_Edit[[#This Row],[Requested Qty]]="",IPRF_Lines_Edit[[#This Row],[Picked Qty]]=""),"",IPRF_Lines_Edit[[#This Row],[Requested Qty]]-IPRF_Lines_Edit[[#This Row],[Picked Qty]])</f>
        <v/>
      </c>
      <c r="M287" s="18" t="str" cm="1">
        <f t="array" ref="M2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7" s="19" t="str" cm="1">
        <f t="array" ref="N2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IF(OR(IPRF_Lines_Edit[[#This Row],[Requested Qty]]="",IPRF_Lines_Edit[[#This Row],[Picked Qty]]=""),"",IPRF_Lines_Edit[[#This Row],[Requested Qty]]-IPRF_Lines_Edit[[#This Row],[Picked Qty]])</f>
        <v/>
      </c>
      <c r="M288" s="18" t="str" cm="1">
        <f t="array" ref="M2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8" s="19" t="str" cm="1">
        <f t="array" ref="N2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IF(OR(IPRF_Lines_Edit[[#This Row],[Requested Qty]]="",IPRF_Lines_Edit[[#This Row],[Picked Qty]]=""),"",IPRF_Lines_Edit[[#This Row],[Requested Qty]]-IPRF_Lines_Edit[[#This Row],[Picked Qty]])</f>
        <v/>
      </c>
      <c r="M289" s="18" t="str" cm="1">
        <f t="array" ref="M2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9" s="19" t="str" cm="1">
        <f t="array" ref="N2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IF(OR(IPRF_Lines_Edit[[#This Row],[Requested Qty]]="",IPRF_Lines_Edit[[#This Row],[Picked Qty]]=""),"",IPRF_Lines_Edit[[#This Row],[Requested Qty]]-IPRF_Lines_Edit[[#This Row],[Picked Qty]])</f>
        <v/>
      </c>
      <c r="M290" s="18" t="str" cm="1">
        <f t="array" ref="M2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0" s="19" t="str" cm="1">
        <f t="array" ref="N2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IF(OR(IPRF_Lines_Edit[[#This Row],[Requested Qty]]="",IPRF_Lines_Edit[[#This Row],[Picked Qty]]=""),"",IPRF_Lines_Edit[[#This Row],[Requested Qty]]-IPRF_Lines_Edit[[#This Row],[Picked Qty]])</f>
        <v/>
      </c>
      <c r="M291" s="18" t="str" cm="1">
        <f t="array" ref="M2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1" s="19" t="str" cm="1">
        <f t="array" ref="N2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IF(OR(IPRF_Lines_Edit[[#This Row],[Requested Qty]]="",IPRF_Lines_Edit[[#This Row],[Picked Qty]]=""),"",IPRF_Lines_Edit[[#This Row],[Requested Qty]]-IPRF_Lines_Edit[[#This Row],[Picked Qty]])</f>
        <v/>
      </c>
      <c r="M292" s="18" t="str" cm="1">
        <f t="array" ref="M2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2" s="19" t="str" cm="1">
        <f t="array" ref="N2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IF(OR(IPRF_Lines_Edit[[#This Row],[Requested Qty]]="",IPRF_Lines_Edit[[#This Row],[Picked Qty]]=""),"",IPRF_Lines_Edit[[#This Row],[Requested Qty]]-IPRF_Lines_Edit[[#This Row],[Picked Qty]])</f>
        <v/>
      </c>
      <c r="M293" s="18" t="str" cm="1">
        <f t="array" ref="M2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3" s="19" t="str" cm="1">
        <f t="array" ref="N2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IF(OR(IPRF_Lines_Edit[[#This Row],[Requested Qty]]="",IPRF_Lines_Edit[[#This Row],[Picked Qty]]=""),"",IPRF_Lines_Edit[[#This Row],[Requested Qty]]-IPRF_Lines_Edit[[#This Row],[Picked Qty]])</f>
        <v/>
      </c>
      <c r="M294" s="18" t="str" cm="1">
        <f t="array" ref="M2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4" s="19" t="str" cm="1">
        <f t="array" ref="N2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IF(OR(IPRF_Lines_Edit[[#This Row],[Requested Qty]]="",IPRF_Lines_Edit[[#This Row],[Picked Qty]]=""),"",IPRF_Lines_Edit[[#This Row],[Requested Qty]]-IPRF_Lines_Edit[[#This Row],[Picked Qty]])</f>
        <v/>
      </c>
      <c r="M295" s="18" t="str" cm="1">
        <f t="array" ref="M2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5" s="19" t="str" cm="1">
        <f t="array" ref="N2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IF(OR(IPRF_Lines_Edit[[#This Row],[Requested Qty]]="",IPRF_Lines_Edit[[#This Row],[Picked Qty]]=""),"",IPRF_Lines_Edit[[#This Row],[Requested Qty]]-IPRF_Lines_Edit[[#This Row],[Picked Qty]])</f>
        <v/>
      </c>
      <c r="M296" s="18" t="str" cm="1">
        <f t="array" ref="M2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6" s="19" t="str" cm="1">
        <f t="array" ref="N2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IF(OR(IPRF_Lines_Edit[[#This Row],[Requested Qty]]="",IPRF_Lines_Edit[[#This Row],[Picked Qty]]=""),"",IPRF_Lines_Edit[[#This Row],[Requested Qty]]-IPRF_Lines_Edit[[#This Row],[Picked Qty]])</f>
        <v/>
      </c>
      <c r="M297" s="18" t="str" cm="1">
        <f t="array" ref="M2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7" s="19" t="str" cm="1">
        <f t="array" ref="N2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IF(OR(IPRF_Lines_Edit[[#This Row],[Requested Qty]]="",IPRF_Lines_Edit[[#This Row],[Picked Qty]]=""),"",IPRF_Lines_Edit[[#This Row],[Requested Qty]]-IPRF_Lines_Edit[[#This Row],[Picked Qty]])</f>
        <v/>
      </c>
      <c r="M298" s="18" t="str" cm="1">
        <f t="array" ref="M2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8" s="19" t="str" cm="1">
        <f t="array" ref="N2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IF(OR(IPRF_Lines_Edit[[#This Row],[Requested Qty]]="",IPRF_Lines_Edit[[#This Row],[Picked Qty]]=""),"",IPRF_Lines_Edit[[#This Row],[Requested Qty]]-IPRF_Lines_Edit[[#This Row],[Picked Qty]])</f>
        <v/>
      </c>
      <c r="M299" s="18" t="str" cm="1">
        <f t="array" ref="M2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9" s="19" t="str" cm="1">
        <f t="array" ref="N2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IF(OR(IPRF_Lines_Edit[[#This Row],[Requested Qty]]="",IPRF_Lines_Edit[[#This Row],[Picked Qty]]=""),"",IPRF_Lines_Edit[[#This Row],[Requested Qty]]-IPRF_Lines_Edit[[#This Row],[Picked Qty]])</f>
        <v/>
      </c>
      <c r="M300" s="18" t="str" cm="1">
        <f t="array" ref="M3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0" s="19" t="str" cm="1">
        <f t="array" ref="N3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IF(OR(IPRF_Lines_Edit[[#This Row],[Requested Qty]]="",IPRF_Lines_Edit[[#This Row],[Picked Qty]]=""),"",IPRF_Lines_Edit[[#This Row],[Requested Qty]]-IPRF_Lines_Edit[[#This Row],[Picked Qty]])</f>
        <v/>
      </c>
      <c r="M301" s="18" t="str" cm="1">
        <f t="array" ref="M3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1" s="19" t="str" cm="1">
        <f t="array" ref="N3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IF(OR(IPRF_Lines_Edit[[#This Row],[Requested Qty]]="",IPRF_Lines_Edit[[#This Row],[Picked Qty]]=""),"",IPRF_Lines_Edit[[#This Row],[Requested Qty]]-IPRF_Lines_Edit[[#This Row],[Picked Qty]])</f>
        <v/>
      </c>
      <c r="M302" s="18" t="str" cm="1">
        <f t="array" ref="M3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2" s="19" t="str" cm="1">
        <f t="array" ref="N3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IF(OR(IPRF_Lines_Edit[[#This Row],[Requested Qty]]="",IPRF_Lines_Edit[[#This Row],[Picked Qty]]=""),"",IPRF_Lines_Edit[[#This Row],[Requested Qty]]-IPRF_Lines_Edit[[#This Row],[Picked Qty]])</f>
        <v/>
      </c>
      <c r="M303" s="18" t="str" cm="1">
        <f t="array" ref="M3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3" s="19" t="str" cm="1">
        <f t="array" ref="N3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IF(OR(IPRF_Lines_Edit[[#This Row],[Requested Qty]]="",IPRF_Lines_Edit[[#This Row],[Picked Qty]]=""),"",IPRF_Lines_Edit[[#This Row],[Requested Qty]]-IPRF_Lines_Edit[[#This Row],[Picked Qty]])</f>
        <v/>
      </c>
      <c r="M304" s="18" t="str" cm="1">
        <f t="array" ref="M3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4" s="19" t="str" cm="1">
        <f t="array" ref="N3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IF(OR(IPRF_Lines_Edit[[#This Row],[Requested Qty]]="",IPRF_Lines_Edit[[#This Row],[Picked Qty]]=""),"",IPRF_Lines_Edit[[#This Row],[Requested Qty]]-IPRF_Lines_Edit[[#This Row],[Picked Qty]])</f>
        <v/>
      </c>
      <c r="M305" s="18" t="str" cm="1">
        <f t="array" ref="M3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5" s="19" t="str" cm="1">
        <f t="array" ref="N3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IF(OR(IPRF_Lines_Edit[[#This Row],[Requested Qty]]="",IPRF_Lines_Edit[[#This Row],[Picked Qty]]=""),"",IPRF_Lines_Edit[[#This Row],[Requested Qty]]-IPRF_Lines_Edit[[#This Row],[Picked Qty]])</f>
        <v/>
      </c>
      <c r="M306" s="18" t="str" cm="1">
        <f t="array" ref="M3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6" s="19" t="str" cm="1">
        <f t="array" ref="N3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IF(OR(IPRF_Lines_Edit[[#This Row],[Requested Qty]]="",IPRF_Lines_Edit[[#This Row],[Picked Qty]]=""),"",IPRF_Lines_Edit[[#This Row],[Requested Qty]]-IPRF_Lines_Edit[[#This Row],[Picked Qty]])</f>
        <v/>
      </c>
      <c r="M307" s="18" t="str" cm="1">
        <f t="array" ref="M3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7" s="19" t="str" cm="1">
        <f t="array" ref="N3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IF(OR(IPRF_Lines_Edit[[#This Row],[Requested Qty]]="",IPRF_Lines_Edit[[#This Row],[Picked Qty]]=""),"",IPRF_Lines_Edit[[#This Row],[Requested Qty]]-IPRF_Lines_Edit[[#This Row],[Picked Qty]])</f>
        <v/>
      </c>
      <c r="M308" s="18" t="str" cm="1">
        <f t="array" ref="M3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8" s="19" t="str" cm="1">
        <f t="array" ref="N3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IF(OR(IPRF_Lines_Edit[[#This Row],[Requested Qty]]="",IPRF_Lines_Edit[[#This Row],[Picked Qty]]=""),"",IPRF_Lines_Edit[[#This Row],[Requested Qty]]-IPRF_Lines_Edit[[#This Row],[Picked Qty]])</f>
        <v/>
      </c>
      <c r="M309" s="18" t="str" cm="1">
        <f t="array" ref="M3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9" s="19" t="str" cm="1">
        <f t="array" ref="N3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IF(OR(IPRF_Lines_Edit[[#This Row],[Requested Qty]]="",IPRF_Lines_Edit[[#This Row],[Picked Qty]]=""),"",IPRF_Lines_Edit[[#This Row],[Requested Qty]]-IPRF_Lines_Edit[[#This Row],[Picked Qty]])</f>
        <v/>
      </c>
      <c r="M310" s="18" t="str" cm="1">
        <f t="array" ref="M3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0" s="19" t="str" cm="1">
        <f t="array" ref="N3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IF(OR(IPRF_Lines_Edit[[#This Row],[Requested Qty]]="",IPRF_Lines_Edit[[#This Row],[Picked Qty]]=""),"",IPRF_Lines_Edit[[#This Row],[Requested Qty]]-IPRF_Lines_Edit[[#This Row],[Picked Qty]])</f>
        <v/>
      </c>
      <c r="M311" s="18" t="str" cm="1">
        <f t="array" ref="M3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1" s="19" t="str" cm="1">
        <f t="array" ref="N3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IF(OR(IPRF_Lines_Edit[[#This Row],[Requested Qty]]="",IPRF_Lines_Edit[[#This Row],[Picked Qty]]=""),"",IPRF_Lines_Edit[[#This Row],[Requested Qty]]-IPRF_Lines_Edit[[#This Row],[Picked Qty]])</f>
        <v/>
      </c>
      <c r="M312" s="18" t="str" cm="1">
        <f t="array" ref="M3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2" s="19" t="str" cm="1">
        <f t="array" ref="N3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IF(OR(IPRF_Lines_Edit[[#This Row],[Requested Qty]]="",IPRF_Lines_Edit[[#This Row],[Picked Qty]]=""),"",IPRF_Lines_Edit[[#This Row],[Requested Qty]]-IPRF_Lines_Edit[[#This Row],[Picked Qty]])</f>
        <v/>
      </c>
      <c r="M313" s="18" t="str" cm="1">
        <f t="array" ref="M3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3" s="19" t="str" cm="1">
        <f t="array" ref="N3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IF(OR(IPRF_Lines_Edit[[#This Row],[Requested Qty]]="",IPRF_Lines_Edit[[#This Row],[Picked Qty]]=""),"",IPRF_Lines_Edit[[#This Row],[Requested Qty]]-IPRF_Lines_Edit[[#This Row],[Picked Qty]])</f>
        <v/>
      </c>
      <c r="M314" s="18" t="str" cm="1">
        <f t="array" ref="M3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4" s="19" t="str" cm="1">
        <f t="array" ref="N3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IF(OR(IPRF_Lines_Edit[[#This Row],[Requested Qty]]="",IPRF_Lines_Edit[[#This Row],[Picked Qty]]=""),"",IPRF_Lines_Edit[[#This Row],[Requested Qty]]-IPRF_Lines_Edit[[#This Row],[Picked Qty]])</f>
        <v/>
      </c>
      <c r="M315" s="18" t="str" cm="1">
        <f t="array" ref="M3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5" s="19" t="str" cm="1">
        <f t="array" ref="N3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IF(OR(IPRF_Lines_Edit[[#This Row],[Requested Qty]]="",IPRF_Lines_Edit[[#This Row],[Picked Qty]]=""),"",IPRF_Lines_Edit[[#This Row],[Requested Qty]]-IPRF_Lines_Edit[[#This Row],[Picked Qty]])</f>
        <v/>
      </c>
      <c r="M316" s="18" t="str" cm="1">
        <f t="array" ref="M3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6" s="19" t="str" cm="1">
        <f t="array" ref="N3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IF(OR(IPRF_Lines_Edit[[#This Row],[Requested Qty]]="",IPRF_Lines_Edit[[#This Row],[Picked Qty]]=""),"",IPRF_Lines_Edit[[#This Row],[Requested Qty]]-IPRF_Lines_Edit[[#This Row],[Picked Qty]])</f>
        <v/>
      </c>
      <c r="M317" s="18" t="str" cm="1">
        <f t="array" ref="M3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7" s="19" t="str" cm="1">
        <f t="array" ref="N3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IF(OR(IPRF_Lines_Edit[[#This Row],[Requested Qty]]="",IPRF_Lines_Edit[[#This Row],[Picked Qty]]=""),"",IPRF_Lines_Edit[[#This Row],[Requested Qty]]-IPRF_Lines_Edit[[#This Row],[Picked Qty]])</f>
        <v/>
      </c>
      <c r="M318" s="18" t="str" cm="1">
        <f t="array" ref="M3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8" s="19" t="str" cm="1">
        <f t="array" ref="N3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IF(OR(IPRF_Lines_Edit[[#This Row],[Requested Qty]]="",IPRF_Lines_Edit[[#This Row],[Picked Qty]]=""),"",IPRF_Lines_Edit[[#This Row],[Requested Qty]]-IPRF_Lines_Edit[[#This Row],[Picked Qty]])</f>
        <v/>
      </c>
      <c r="M319" s="18" t="str" cm="1">
        <f t="array" ref="M3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9" s="19" t="str" cm="1">
        <f t="array" ref="N3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IF(OR(IPRF_Lines_Edit[[#This Row],[Requested Qty]]="",IPRF_Lines_Edit[[#This Row],[Picked Qty]]=""),"",IPRF_Lines_Edit[[#This Row],[Requested Qty]]-IPRF_Lines_Edit[[#This Row],[Picked Qty]])</f>
        <v/>
      </c>
      <c r="M320" s="18" t="str" cm="1">
        <f t="array" ref="M3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0" s="19" t="str" cm="1">
        <f t="array" ref="N3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IF(OR(IPRF_Lines_Edit[[#This Row],[Requested Qty]]="",IPRF_Lines_Edit[[#This Row],[Picked Qty]]=""),"",IPRF_Lines_Edit[[#This Row],[Requested Qty]]-IPRF_Lines_Edit[[#This Row],[Picked Qty]])</f>
        <v/>
      </c>
      <c r="M321" s="18" t="str" cm="1">
        <f t="array" ref="M3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1" s="19" t="str" cm="1">
        <f t="array" ref="N3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IF(OR(IPRF_Lines_Edit[[#This Row],[Requested Qty]]="",IPRF_Lines_Edit[[#This Row],[Picked Qty]]=""),"",IPRF_Lines_Edit[[#This Row],[Requested Qty]]-IPRF_Lines_Edit[[#This Row],[Picked Qty]])</f>
        <v/>
      </c>
      <c r="M322" s="18" t="str" cm="1">
        <f t="array" ref="M3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2" s="19" t="str" cm="1">
        <f t="array" ref="N3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IF(OR(IPRF_Lines_Edit[[#This Row],[Requested Qty]]="",IPRF_Lines_Edit[[#This Row],[Picked Qty]]=""),"",IPRF_Lines_Edit[[#This Row],[Requested Qty]]-IPRF_Lines_Edit[[#This Row],[Picked Qty]])</f>
        <v/>
      </c>
      <c r="M323" s="18" t="str" cm="1">
        <f t="array" ref="M3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3" s="19" t="str" cm="1">
        <f t="array" ref="N3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IF(OR(IPRF_Lines_Edit[[#This Row],[Requested Qty]]="",IPRF_Lines_Edit[[#This Row],[Picked Qty]]=""),"",IPRF_Lines_Edit[[#This Row],[Requested Qty]]-IPRF_Lines_Edit[[#This Row],[Picked Qty]])</f>
        <v/>
      </c>
      <c r="M324" s="18" t="str" cm="1">
        <f t="array" ref="M3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4" s="19" t="str" cm="1">
        <f t="array" ref="N3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IF(OR(IPRF_Lines_Edit[[#This Row],[Requested Qty]]="",IPRF_Lines_Edit[[#This Row],[Picked Qty]]=""),"",IPRF_Lines_Edit[[#This Row],[Requested Qty]]-IPRF_Lines_Edit[[#This Row],[Picked Qty]])</f>
        <v/>
      </c>
      <c r="M325" s="18" t="str" cm="1">
        <f t="array" ref="M3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5" s="19" t="str" cm="1">
        <f t="array" ref="N3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IF(OR(IPRF_Lines_Edit[[#This Row],[Requested Qty]]="",IPRF_Lines_Edit[[#This Row],[Picked Qty]]=""),"",IPRF_Lines_Edit[[#This Row],[Requested Qty]]-IPRF_Lines_Edit[[#This Row],[Picked Qty]])</f>
        <v/>
      </c>
      <c r="M326" s="18" t="str" cm="1">
        <f t="array" ref="M3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6" s="19" t="str" cm="1">
        <f t="array" ref="N3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IF(OR(IPRF_Lines_Edit[[#This Row],[Requested Qty]]="",IPRF_Lines_Edit[[#This Row],[Picked Qty]]=""),"",IPRF_Lines_Edit[[#This Row],[Requested Qty]]-IPRF_Lines_Edit[[#This Row],[Picked Qty]])</f>
        <v/>
      </c>
      <c r="M327" s="18" t="str" cm="1">
        <f t="array" ref="M3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7" s="19" t="str" cm="1">
        <f t="array" ref="N3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IF(OR(IPRF_Lines_Edit[[#This Row],[Requested Qty]]="",IPRF_Lines_Edit[[#This Row],[Picked Qty]]=""),"",IPRF_Lines_Edit[[#This Row],[Requested Qty]]-IPRF_Lines_Edit[[#This Row],[Picked Qty]])</f>
        <v/>
      </c>
      <c r="M328" s="18" t="str" cm="1">
        <f t="array" ref="M3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8" s="19" t="str" cm="1">
        <f t="array" ref="N3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IF(OR(IPRF_Lines_Edit[[#This Row],[Requested Qty]]="",IPRF_Lines_Edit[[#This Row],[Picked Qty]]=""),"",IPRF_Lines_Edit[[#This Row],[Requested Qty]]-IPRF_Lines_Edit[[#This Row],[Picked Qty]])</f>
        <v/>
      </c>
      <c r="M329" s="18" t="str" cm="1">
        <f t="array" ref="M3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9" s="19" t="str" cm="1">
        <f t="array" ref="N3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IF(OR(IPRF_Lines_Edit[[#This Row],[Requested Qty]]="",IPRF_Lines_Edit[[#This Row],[Picked Qty]]=""),"",IPRF_Lines_Edit[[#This Row],[Requested Qty]]-IPRF_Lines_Edit[[#This Row],[Picked Qty]])</f>
        <v/>
      </c>
      <c r="M330" s="18" t="str" cm="1">
        <f t="array" ref="M3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0" s="19" t="str" cm="1">
        <f t="array" ref="N3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IF(OR(IPRF_Lines_Edit[[#This Row],[Requested Qty]]="",IPRF_Lines_Edit[[#This Row],[Picked Qty]]=""),"",IPRF_Lines_Edit[[#This Row],[Requested Qty]]-IPRF_Lines_Edit[[#This Row],[Picked Qty]])</f>
        <v/>
      </c>
      <c r="M331" s="18" t="str" cm="1">
        <f t="array" ref="M3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1" s="19" t="str" cm="1">
        <f t="array" ref="N3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IF(OR(IPRF_Lines_Edit[[#This Row],[Requested Qty]]="",IPRF_Lines_Edit[[#This Row],[Picked Qty]]=""),"",IPRF_Lines_Edit[[#This Row],[Requested Qty]]-IPRF_Lines_Edit[[#This Row],[Picked Qty]])</f>
        <v/>
      </c>
      <c r="M332" s="18" t="str" cm="1">
        <f t="array" ref="M3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2" s="19" t="str" cm="1">
        <f t="array" ref="N3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IF(OR(IPRF_Lines_Edit[[#This Row],[Requested Qty]]="",IPRF_Lines_Edit[[#This Row],[Picked Qty]]=""),"",IPRF_Lines_Edit[[#This Row],[Requested Qty]]-IPRF_Lines_Edit[[#This Row],[Picked Qty]])</f>
        <v/>
      </c>
      <c r="M333" s="18" t="str" cm="1">
        <f t="array" ref="M3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3" s="19" t="str" cm="1">
        <f t="array" ref="N3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IF(OR(IPRF_Lines_Edit[[#This Row],[Requested Qty]]="",IPRF_Lines_Edit[[#This Row],[Picked Qty]]=""),"",IPRF_Lines_Edit[[#This Row],[Requested Qty]]-IPRF_Lines_Edit[[#This Row],[Picked Qty]])</f>
        <v/>
      </c>
      <c r="M334" s="18" t="str" cm="1">
        <f t="array" ref="M3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4" s="19" t="str" cm="1">
        <f t="array" ref="N3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IF(OR(IPRF_Lines_Edit[[#This Row],[Requested Qty]]="",IPRF_Lines_Edit[[#This Row],[Picked Qty]]=""),"",IPRF_Lines_Edit[[#This Row],[Requested Qty]]-IPRF_Lines_Edit[[#This Row],[Picked Qty]])</f>
        <v/>
      </c>
      <c r="M335" s="18" t="str" cm="1">
        <f t="array" ref="M3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5" s="19" t="str" cm="1">
        <f t="array" ref="N3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IF(OR(IPRF_Lines_Edit[[#This Row],[Requested Qty]]="",IPRF_Lines_Edit[[#This Row],[Picked Qty]]=""),"",IPRF_Lines_Edit[[#This Row],[Requested Qty]]-IPRF_Lines_Edit[[#This Row],[Picked Qty]])</f>
        <v/>
      </c>
      <c r="M336" s="18" t="str" cm="1">
        <f t="array" ref="M3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6" s="19" t="str" cm="1">
        <f t="array" ref="N3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IF(OR(IPRF_Lines_Edit[[#This Row],[Requested Qty]]="",IPRF_Lines_Edit[[#This Row],[Picked Qty]]=""),"",IPRF_Lines_Edit[[#This Row],[Requested Qty]]-IPRF_Lines_Edit[[#This Row],[Picked Qty]])</f>
        <v/>
      </c>
      <c r="M337" s="18" t="str" cm="1">
        <f t="array" ref="M3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7" s="19" t="str" cm="1">
        <f t="array" ref="N3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IF(OR(IPRF_Lines_Edit[[#This Row],[Requested Qty]]="",IPRF_Lines_Edit[[#This Row],[Picked Qty]]=""),"",IPRF_Lines_Edit[[#This Row],[Requested Qty]]-IPRF_Lines_Edit[[#This Row],[Picked Qty]])</f>
        <v/>
      </c>
      <c r="M338" s="18" t="str" cm="1">
        <f t="array" ref="M3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8" s="19" t="str" cm="1">
        <f t="array" ref="N3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IF(OR(IPRF_Lines_Edit[[#This Row],[Requested Qty]]="",IPRF_Lines_Edit[[#This Row],[Picked Qty]]=""),"",IPRF_Lines_Edit[[#This Row],[Requested Qty]]-IPRF_Lines_Edit[[#This Row],[Picked Qty]])</f>
        <v/>
      </c>
      <c r="M339" s="18" t="str" cm="1">
        <f t="array" ref="M3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9" s="19" t="str" cm="1">
        <f t="array" ref="N3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IF(OR(IPRF_Lines_Edit[[#This Row],[Requested Qty]]="",IPRF_Lines_Edit[[#This Row],[Picked Qty]]=""),"",IPRF_Lines_Edit[[#This Row],[Requested Qty]]-IPRF_Lines_Edit[[#This Row],[Picked Qty]])</f>
        <v/>
      </c>
      <c r="M340" s="18" t="str" cm="1">
        <f t="array" ref="M3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0" s="19" t="str" cm="1">
        <f t="array" ref="N3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IF(OR(IPRF_Lines_Edit[[#This Row],[Requested Qty]]="",IPRF_Lines_Edit[[#This Row],[Picked Qty]]=""),"",IPRF_Lines_Edit[[#This Row],[Requested Qty]]-IPRF_Lines_Edit[[#This Row],[Picked Qty]])</f>
        <v/>
      </c>
      <c r="M341" s="18" t="str" cm="1">
        <f t="array" ref="M3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1" s="19" t="str" cm="1">
        <f t="array" ref="N3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IF(OR(IPRF_Lines_Edit[[#This Row],[Requested Qty]]="",IPRF_Lines_Edit[[#This Row],[Picked Qty]]=""),"",IPRF_Lines_Edit[[#This Row],[Requested Qty]]-IPRF_Lines_Edit[[#This Row],[Picked Qty]])</f>
        <v/>
      </c>
      <c r="M342" s="18" t="str" cm="1">
        <f t="array" ref="M3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2" s="19" t="str" cm="1">
        <f t="array" ref="N3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IF(OR(IPRF_Lines_Edit[[#This Row],[Requested Qty]]="",IPRF_Lines_Edit[[#This Row],[Picked Qty]]=""),"",IPRF_Lines_Edit[[#This Row],[Requested Qty]]-IPRF_Lines_Edit[[#This Row],[Picked Qty]])</f>
        <v/>
      </c>
      <c r="M343" s="18" t="str" cm="1">
        <f t="array" ref="M3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3" s="19" t="str" cm="1">
        <f t="array" ref="N3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IF(OR(IPRF_Lines_Edit[[#This Row],[Requested Qty]]="",IPRF_Lines_Edit[[#This Row],[Picked Qty]]=""),"",IPRF_Lines_Edit[[#This Row],[Requested Qty]]-IPRF_Lines_Edit[[#This Row],[Picked Qty]])</f>
        <v/>
      </c>
      <c r="M344" s="18" t="str" cm="1">
        <f t="array" ref="M3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4" s="19" t="str" cm="1">
        <f t="array" ref="N3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IF(OR(IPRF_Lines_Edit[[#This Row],[Requested Qty]]="",IPRF_Lines_Edit[[#This Row],[Picked Qty]]=""),"",IPRF_Lines_Edit[[#This Row],[Requested Qty]]-IPRF_Lines_Edit[[#This Row],[Picked Qty]])</f>
        <v/>
      </c>
      <c r="M345" s="18" t="str" cm="1">
        <f t="array" ref="M3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5" s="19" t="str" cm="1">
        <f t="array" ref="N3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IF(OR(IPRF_Lines_Edit[[#This Row],[Requested Qty]]="",IPRF_Lines_Edit[[#This Row],[Picked Qty]]=""),"",IPRF_Lines_Edit[[#This Row],[Requested Qty]]-IPRF_Lines_Edit[[#This Row],[Picked Qty]])</f>
        <v/>
      </c>
      <c r="M346" s="18" t="str" cm="1">
        <f t="array" ref="M3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6" s="19" t="str" cm="1">
        <f t="array" ref="N3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IF(OR(IPRF_Lines_Edit[[#This Row],[Requested Qty]]="",IPRF_Lines_Edit[[#This Row],[Picked Qty]]=""),"",IPRF_Lines_Edit[[#This Row],[Requested Qty]]-IPRF_Lines_Edit[[#This Row],[Picked Qty]])</f>
        <v/>
      </c>
      <c r="M347" s="18" t="str" cm="1">
        <f t="array" ref="M3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7" s="19" t="str" cm="1">
        <f t="array" ref="N3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IF(OR(IPRF_Lines_Edit[[#This Row],[Requested Qty]]="",IPRF_Lines_Edit[[#This Row],[Picked Qty]]=""),"",IPRF_Lines_Edit[[#This Row],[Requested Qty]]-IPRF_Lines_Edit[[#This Row],[Picked Qty]])</f>
        <v/>
      </c>
      <c r="M348" s="18" t="str" cm="1">
        <f t="array" ref="M3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8" s="19" t="str" cm="1">
        <f t="array" ref="N3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IF(OR(IPRF_Lines_Edit[[#This Row],[Requested Qty]]="",IPRF_Lines_Edit[[#This Row],[Picked Qty]]=""),"",IPRF_Lines_Edit[[#This Row],[Requested Qty]]-IPRF_Lines_Edit[[#This Row],[Picked Qty]])</f>
        <v/>
      </c>
      <c r="M349" s="18" t="str" cm="1">
        <f t="array" ref="M3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9" s="19" t="str" cm="1">
        <f t="array" ref="N3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IF(OR(IPRF_Lines_Edit[[#This Row],[Requested Qty]]="",IPRF_Lines_Edit[[#This Row],[Picked Qty]]=""),"",IPRF_Lines_Edit[[#This Row],[Requested Qty]]-IPRF_Lines_Edit[[#This Row],[Picked Qty]])</f>
        <v/>
      </c>
      <c r="M350" s="18" t="str" cm="1">
        <f t="array" ref="M3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0" s="19" t="str" cm="1">
        <f t="array" ref="N3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IF(OR(IPRF_Lines_Edit[[#This Row],[Requested Qty]]="",IPRF_Lines_Edit[[#This Row],[Picked Qty]]=""),"",IPRF_Lines_Edit[[#This Row],[Requested Qty]]-IPRF_Lines_Edit[[#This Row],[Picked Qty]])</f>
        <v/>
      </c>
      <c r="M351" s="18" t="str" cm="1">
        <f t="array" ref="M3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1" s="19" t="str" cm="1">
        <f t="array" ref="N3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IF(OR(IPRF_Lines_Edit[[#This Row],[Requested Qty]]="",IPRF_Lines_Edit[[#This Row],[Picked Qty]]=""),"",IPRF_Lines_Edit[[#This Row],[Requested Qty]]-IPRF_Lines_Edit[[#This Row],[Picked Qty]])</f>
        <v/>
      </c>
      <c r="M352" s="18" t="str" cm="1">
        <f t="array" ref="M3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2" s="19" t="str" cm="1">
        <f t="array" ref="N3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IF(OR(IPRF_Lines_Edit[[#This Row],[Requested Qty]]="",IPRF_Lines_Edit[[#This Row],[Picked Qty]]=""),"",IPRF_Lines_Edit[[#This Row],[Requested Qty]]-IPRF_Lines_Edit[[#This Row],[Picked Qty]])</f>
        <v/>
      </c>
      <c r="M353" s="18" t="str" cm="1">
        <f t="array" ref="M3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3" s="19" t="str" cm="1">
        <f t="array" ref="N3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IF(OR(IPRF_Lines_Edit[[#This Row],[Requested Qty]]="",IPRF_Lines_Edit[[#This Row],[Picked Qty]]=""),"",IPRF_Lines_Edit[[#This Row],[Requested Qty]]-IPRF_Lines_Edit[[#This Row],[Picked Qty]])</f>
        <v/>
      </c>
      <c r="M354" s="18" t="str" cm="1">
        <f t="array" ref="M3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4" s="19" t="str" cm="1">
        <f t="array" ref="N3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IF(OR(IPRF_Lines_Edit[[#This Row],[Requested Qty]]="",IPRF_Lines_Edit[[#This Row],[Picked Qty]]=""),"",IPRF_Lines_Edit[[#This Row],[Requested Qty]]-IPRF_Lines_Edit[[#This Row],[Picked Qty]])</f>
        <v/>
      </c>
      <c r="M355" s="18" t="str" cm="1">
        <f t="array" ref="M3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5" s="19" t="str" cm="1">
        <f t="array" ref="N3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IF(OR(IPRF_Lines_Edit[[#This Row],[Requested Qty]]="",IPRF_Lines_Edit[[#This Row],[Picked Qty]]=""),"",IPRF_Lines_Edit[[#This Row],[Requested Qty]]-IPRF_Lines_Edit[[#This Row],[Picked Qty]])</f>
        <v/>
      </c>
      <c r="M356" s="18" t="str" cm="1">
        <f t="array" ref="M3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6" s="19" t="str" cm="1">
        <f t="array" ref="N3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IF(OR(IPRF_Lines_Edit[[#This Row],[Requested Qty]]="",IPRF_Lines_Edit[[#This Row],[Picked Qty]]=""),"",IPRF_Lines_Edit[[#This Row],[Requested Qty]]-IPRF_Lines_Edit[[#This Row],[Picked Qty]])</f>
        <v/>
      </c>
      <c r="M357" s="18" t="str" cm="1">
        <f t="array" ref="M3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7" s="19" t="str" cm="1">
        <f t="array" ref="N3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IF(OR(IPRF_Lines_Edit[[#This Row],[Requested Qty]]="",IPRF_Lines_Edit[[#This Row],[Picked Qty]]=""),"",IPRF_Lines_Edit[[#This Row],[Requested Qty]]-IPRF_Lines_Edit[[#This Row],[Picked Qty]])</f>
        <v/>
      </c>
      <c r="M358" s="18" t="str" cm="1">
        <f t="array" ref="M3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8" s="19" t="str" cm="1">
        <f t="array" ref="N3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IF(OR(IPRF_Lines_Edit[[#This Row],[Requested Qty]]="",IPRF_Lines_Edit[[#This Row],[Picked Qty]]=""),"",IPRF_Lines_Edit[[#This Row],[Requested Qty]]-IPRF_Lines_Edit[[#This Row],[Picked Qty]])</f>
        <v/>
      </c>
      <c r="M359" s="18" t="str" cm="1">
        <f t="array" ref="M3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9" s="19" t="str" cm="1">
        <f t="array" ref="N3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IF(OR(IPRF_Lines_Edit[[#This Row],[Requested Qty]]="",IPRF_Lines_Edit[[#This Row],[Picked Qty]]=""),"",IPRF_Lines_Edit[[#This Row],[Requested Qty]]-IPRF_Lines_Edit[[#This Row],[Picked Qty]])</f>
        <v/>
      </c>
      <c r="M360" s="18" t="str" cm="1">
        <f t="array" ref="M3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0" s="19" t="str" cm="1">
        <f t="array" ref="N3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IF(OR(IPRF_Lines_Edit[[#This Row],[Requested Qty]]="",IPRF_Lines_Edit[[#This Row],[Picked Qty]]=""),"",IPRF_Lines_Edit[[#This Row],[Requested Qty]]-IPRF_Lines_Edit[[#This Row],[Picked Qty]])</f>
        <v/>
      </c>
      <c r="M361" s="18" t="str" cm="1">
        <f t="array" ref="M3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1" s="19" t="str" cm="1">
        <f t="array" ref="N3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IF(OR(IPRF_Lines_Edit[[#This Row],[Requested Qty]]="",IPRF_Lines_Edit[[#This Row],[Picked Qty]]=""),"",IPRF_Lines_Edit[[#This Row],[Requested Qty]]-IPRF_Lines_Edit[[#This Row],[Picked Qty]])</f>
        <v/>
      </c>
      <c r="M362" s="18" t="str" cm="1">
        <f t="array" ref="M3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2" s="19" t="str" cm="1">
        <f t="array" ref="N3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IF(OR(IPRF_Lines_Edit[[#This Row],[Requested Qty]]="",IPRF_Lines_Edit[[#This Row],[Picked Qty]]=""),"",IPRF_Lines_Edit[[#This Row],[Requested Qty]]-IPRF_Lines_Edit[[#This Row],[Picked Qty]])</f>
        <v/>
      </c>
      <c r="M363" s="18" t="str" cm="1">
        <f t="array" ref="M3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3" s="19" t="str" cm="1">
        <f t="array" ref="N3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IF(OR(IPRF_Lines_Edit[[#This Row],[Requested Qty]]="",IPRF_Lines_Edit[[#This Row],[Picked Qty]]=""),"",IPRF_Lines_Edit[[#This Row],[Requested Qty]]-IPRF_Lines_Edit[[#This Row],[Picked Qty]])</f>
        <v/>
      </c>
      <c r="M364" s="18" t="str" cm="1">
        <f t="array" ref="M3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4" s="19" t="str" cm="1">
        <f t="array" ref="N3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IF(OR(IPRF_Lines_Edit[[#This Row],[Requested Qty]]="",IPRF_Lines_Edit[[#This Row],[Picked Qty]]=""),"",IPRF_Lines_Edit[[#This Row],[Requested Qty]]-IPRF_Lines_Edit[[#This Row],[Picked Qty]])</f>
        <v/>
      </c>
      <c r="M365" s="18" t="str" cm="1">
        <f t="array" ref="M3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5" s="19" t="str" cm="1">
        <f t="array" ref="N3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IF(OR(IPRF_Lines_Edit[[#This Row],[Requested Qty]]="",IPRF_Lines_Edit[[#This Row],[Picked Qty]]=""),"",IPRF_Lines_Edit[[#This Row],[Requested Qty]]-IPRF_Lines_Edit[[#This Row],[Picked Qty]])</f>
        <v/>
      </c>
      <c r="M366" s="18" t="str" cm="1">
        <f t="array" ref="M3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6" s="19" t="str" cm="1">
        <f t="array" ref="N3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IF(OR(IPRF_Lines_Edit[[#This Row],[Requested Qty]]="",IPRF_Lines_Edit[[#This Row],[Picked Qty]]=""),"",IPRF_Lines_Edit[[#This Row],[Requested Qty]]-IPRF_Lines_Edit[[#This Row],[Picked Qty]])</f>
        <v/>
      </c>
      <c r="M367" s="18" t="str" cm="1">
        <f t="array" ref="M3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7" s="19" t="str" cm="1">
        <f t="array" ref="N3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IF(OR(IPRF_Lines_Edit[[#This Row],[Requested Qty]]="",IPRF_Lines_Edit[[#This Row],[Picked Qty]]=""),"",IPRF_Lines_Edit[[#This Row],[Requested Qty]]-IPRF_Lines_Edit[[#This Row],[Picked Qty]])</f>
        <v/>
      </c>
      <c r="M368" s="18" t="str" cm="1">
        <f t="array" ref="M3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8" s="19" t="str" cm="1">
        <f t="array" ref="N3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IF(OR(IPRF_Lines_Edit[[#This Row],[Requested Qty]]="",IPRF_Lines_Edit[[#This Row],[Picked Qty]]=""),"",IPRF_Lines_Edit[[#This Row],[Requested Qty]]-IPRF_Lines_Edit[[#This Row],[Picked Qty]])</f>
        <v/>
      </c>
      <c r="M369" s="18" t="str" cm="1">
        <f t="array" ref="M3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9" s="19" t="str" cm="1">
        <f t="array" ref="N3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IF(OR(IPRF_Lines_Edit[[#This Row],[Requested Qty]]="",IPRF_Lines_Edit[[#This Row],[Picked Qty]]=""),"",IPRF_Lines_Edit[[#This Row],[Requested Qty]]-IPRF_Lines_Edit[[#This Row],[Picked Qty]])</f>
        <v/>
      </c>
      <c r="M370" s="18" t="str" cm="1">
        <f t="array" ref="M3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0" s="19" t="str" cm="1">
        <f t="array" ref="N3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IF(OR(IPRF_Lines_Edit[[#This Row],[Requested Qty]]="",IPRF_Lines_Edit[[#This Row],[Picked Qty]]=""),"",IPRF_Lines_Edit[[#This Row],[Requested Qty]]-IPRF_Lines_Edit[[#This Row],[Picked Qty]])</f>
        <v/>
      </c>
      <c r="M371" s="18" t="str" cm="1">
        <f t="array" ref="M3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1" s="19" t="str" cm="1">
        <f t="array" ref="N3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IF(OR(IPRF_Lines_Edit[[#This Row],[Requested Qty]]="",IPRF_Lines_Edit[[#This Row],[Picked Qty]]=""),"",IPRF_Lines_Edit[[#This Row],[Requested Qty]]-IPRF_Lines_Edit[[#This Row],[Picked Qty]])</f>
        <v/>
      </c>
      <c r="M372" s="18" t="str" cm="1">
        <f t="array" ref="M3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2" s="19" t="str" cm="1">
        <f t="array" ref="N3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IF(OR(IPRF_Lines_Edit[[#This Row],[Requested Qty]]="",IPRF_Lines_Edit[[#This Row],[Picked Qty]]=""),"",IPRF_Lines_Edit[[#This Row],[Requested Qty]]-IPRF_Lines_Edit[[#This Row],[Picked Qty]])</f>
        <v/>
      </c>
      <c r="M373" s="18" t="str" cm="1">
        <f t="array" ref="M3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3" s="19" t="str" cm="1">
        <f t="array" ref="N3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IF(OR(IPRF_Lines_Edit[[#This Row],[Requested Qty]]="",IPRF_Lines_Edit[[#This Row],[Picked Qty]]=""),"",IPRF_Lines_Edit[[#This Row],[Requested Qty]]-IPRF_Lines_Edit[[#This Row],[Picked Qty]])</f>
        <v/>
      </c>
      <c r="M374" s="18" t="str" cm="1">
        <f t="array" ref="M3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4" s="19" t="str" cm="1">
        <f t="array" ref="N3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IF(OR(IPRF_Lines_Edit[[#This Row],[Requested Qty]]="",IPRF_Lines_Edit[[#This Row],[Picked Qty]]=""),"",IPRF_Lines_Edit[[#This Row],[Requested Qty]]-IPRF_Lines_Edit[[#This Row],[Picked Qty]])</f>
        <v/>
      </c>
      <c r="M375" s="18" t="str" cm="1">
        <f t="array" ref="M3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5" s="19" t="str" cm="1">
        <f t="array" ref="N3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IF(OR(IPRF_Lines_Edit[[#This Row],[Requested Qty]]="",IPRF_Lines_Edit[[#This Row],[Picked Qty]]=""),"",IPRF_Lines_Edit[[#This Row],[Requested Qty]]-IPRF_Lines_Edit[[#This Row],[Picked Qty]])</f>
        <v/>
      </c>
      <c r="M376" s="18" t="str" cm="1">
        <f t="array" ref="M3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6" s="19" t="str" cm="1">
        <f t="array" ref="N3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IF(OR(IPRF_Lines_Edit[[#This Row],[Requested Qty]]="",IPRF_Lines_Edit[[#This Row],[Picked Qty]]=""),"",IPRF_Lines_Edit[[#This Row],[Requested Qty]]-IPRF_Lines_Edit[[#This Row],[Picked Qty]])</f>
        <v/>
      </c>
      <c r="M377" s="18" t="str" cm="1">
        <f t="array" ref="M3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7" s="19" t="str" cm="1">
        <f t="array" ref="N3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IF(OR(IPRF_Lines_Edit[[#This Row],[Requested Qty]]="",IPRF_Lines_Edit[[#This Row],[Picked Qty]]=""),"",IPRF_Lines_Edit[[#This Row],[Requested Qty]]-IPRF_Lines_Edit[[#This Row],[Picked Qty]])</f>
        <v/>
      </c>
      <c r="M378" s="18" t="str" cm="1">
        <f t="array" ref="M3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8" s="19" t="str" cm="1">
        <f t="array" ref="N3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IF(OR(IPRF_Lines_Edit[[#This Row],[Requested Qty]]="",IPRF_Lines_Edit[[#This Row],[Picked Qty]]=""),"",IPRF_Lines_Edit[[#This Row],[Requested Qty]]-IPRF_Lines_Edit[[#This Row],[Picked Qty]])</f>
        <v/>
      </c>
      <c r="M379" s="18" t="str" cm="1">
        <f t="array" ref="M3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9" s="19" t="str" cm="1">
        <f t="array" ref="N3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IF(OR(IPRF_Lines_Edit[[#This Row],[Requested Qty]]="",IPRF_Lines_Edit[[#This Row],[Picked Qty]]=""),"",IPRF_Lines_Edit[[#This Row],[Requested Qty]]-IPRF_Lines_Edit[[#This Row],[Picked Qty]])</f>
        <v/>
      </c>
      <c r="M380" s="18" t="str" cm="1">
        <f t="array" ref="M3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0" s="19" t="str" cm="1">
        <f t="array" ref="N3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IF(OR(IPRF_Lines_Edit[[#This Row],[Requested Qty]]="",IPRF_Lines_Edit[[#This Row],[Picked Qty]]=""),"",IPRF_Lines_Edit[[#This Row],[Requested Qty]]-IPRF_Lines_Edit[[#This Row],[Picked Qty]])</f>
        <v/>
      </c>
      <c r="M381" s="18" t="str" cm="1">
        <f t="array" ref="M3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1" s="19" t="str" cm="1">
        <f t="array" ref="N3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IF(OR(IPRF_Lines_Edit[[#This Row],[Requested Qty]]="",IPRF_Lines_Edit[[#This Row],[Picked Qty]]=""),"",IPRF_Lines_Edit[[#This Row],[Requested Qty]]-IPRF_Lines_Edit[[#This Row],[Picked Qty]])</f>
        <v/>
      </c>
      <c r="M382" s="18" t="str" cm="1">
        <f t="array" ref="M3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2" s="19" t="str" cm="1">
        <f t="array" ref="N3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IF(OR(IPRF_Lines_Edit[[#This Row],[Requested Qty]]="",IPRF_Lines_Edit[[#This Row],[Picked Qty]]=""),"",IPRF_Lines_Edit[[#This Row],[Requested Qty]]-IPRF_Lines_Edit[[#This Row],[Picked Qty]])</f>
        <v/>
      </c>
      <c r="M383" s="18" t="str" cm="1">
        <f t="array" ref="M3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3" s="19" t="str" cm="1">
        <f t="array" ref="N3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IF(OR(IPRF_Lines_Edit[[#This Row],[Requested Qty]]="",IPRF_Lines_Edit[[#This Row],[Picked Qty]]=""),"",IPRF_Lines_Edit[[#This Row],[Requested Qty]]-IPRF_Lines_Edit[[#This Row],[Picked Qty]])</f>
        <v/>
      </c>
      <c r="M384" s="18" t="str" cm="1">
        <f t="array" ref="M3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4" s="19" t="str" cm="1">
        <f t="array" ref="N3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IF(OR(IPRF_Lines_Edit[[#This Row],[Requested Qty]]="",IPRF_Lines_Edit[[#This Row],[Picked Qty]]=""),"",IPRF_Lines_Edit[[#This Row],[Requested Qty]]-IPRF_Lines_Edit[[#This Row],[Picked Qty]])</f>
        <v/>
      </c>
      <c r="M385" s="18" t="str" cm="1">
        <f t="array" ref="M3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5" s="19" t="str" cm="1">
        <f t="array" ref="N3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IF(OR(IPRF_Lines_Edit[[#This Row],[Requested Qty]]="",IPRF_Lines_Edit[[#This Row],[Picked Qty]]=""),"",IPRF_Lines_Edit[[#This Row],[Requested Qty]]-IPRF_Lines_Edit[[#This Row],[Picked Qty]])</f>
        <v/>
      </c>
      <c r="M386" s="18" t="str" cm="1">
        <f t="array" ref="M3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6" s="19" t="str" cm="1">
        <f t="array" ref="N3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IF(OR(IPRF_Lines_Edit[[#This Row],[Requested Qty]]="",IPRF_Lines_Edit[[#This Row],[Picked Qty]]=""),"",IPRF_Lines_Edit[[#This Row],[Requested Qty]]-IPRF_Lines_Edit[[#This Row],[Picked Qty]])</f>
        <v/>
      </c>
      <c r="M387" s="18" t="str" cm="1">
        <f t="array" ref="M3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7" s="19" t="str" cm="1">
        <f t="array" ref="N3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IF(OR(IPRF_Lines_Edit[[#This Row],[Requested Qty]]="",IPRF_Lines_Edit[[#This Row],[Picked Qty]]=""),"",IPRF_Lines_Edit[[#This Row],[Requested Qty]]-IPRF_Lines_Edit[[#This Row],[Picked Qty]])</f>
        <v/>
      </c>
      <c r="M388" s="18" t="str" cm="1">
        <f t="array" ref="M3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8" s="19" t="str" cm="1">
        <f t="array" ref="N3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IF(OR(IPRF_Lines_Edit[[#This Row],[Requested Qty]]="",IPRF_Lines_Edit[[#This Row],[Picked Qty]]=""),"",IPRF_Lines_Edit[[#This Row],[Requested Qty]]-IPRF_Lines_Edit[[#This Row],[Picked Qty]])</f>
        <v/>
      </c>
      <c r="M389" s="18" t="str" cm="1">
        <f t="array" ref="M3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9" s="19" t="str" cm="1">
        <f t="array" ref="N3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IF(OR(IPRF_Lines_Edit[[#This Row],[Requested Qty]]="",IPRF_Lines_Edit[[#This Row],[Picked Qty]]=""),"",IPRF_Lines_Edit[[#This Row],[Requested Qty]]-IPRF_Lines_Edit[[#This Row],[Picked Qty]])</f>
        <v/>
      </c>
      <c r="M390" s="18" t="str" cm="1">
        <f t="array" ref="M3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0" s="19" t="str" cm="1">
        <f t="array" ref="N3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IF(OR(IPRF_Lines_Edit[[#This Row],[Requested Qty]]="",IPRF_Lines_Edit[[#This Row],[Picked Qty]]=""),"",IPRF_Lines_Edit[[#This Row],[Requested Qty]]-IPRF_Lines_Edit[[#This Row],[Picked Qty]])</f>
        <v/>
      </c>
      <c r="M391" s="18" t="str" cm="1">
        <f t="array" ref="M3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1" s="19" t="str" cm="1">
        <f t="array" ref="N3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IF(OR(IPRF_Lines_Edit[[#This Row],[Requested Qty]]="",IPRF_Lines_Edit[[#This Row],[Picked Qty]]=""),"",IPRF_Lines_Edit[[#This Row],[Requested Qty]]-IPRF_Lines_Edit[[#This Row],[Picked Qty]])</f>
        <v/>
      </c>
      <c r="M392" s="18" t="str" cm="1">
        <f t="array" ref="M3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2" s="19" t="str" cm="1">
        <f t="array" ref="N3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IF(OR(IPRF_Lines_Edit[[#This Row],[Requested Qty]]="",IPRF_Lines_Edit[[#This Row],[Picked Qty]]=""),"",IPRF_Lines_Edit[[#This Row],[Requested Qty]]-IPRF_Lines_Edit[[#This Row],[Picked Qty]])</f>
        <v/>
      </c>
      <c r="M393" s="18" t="str" cm="1">
        <f t="array" ref="M3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3" s="19" t="str" cm="1">
        <f t="array" ref="N3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IF(OR(IPRF_Lines_Edit[[#This Row],[Requested Qty]]="",IPRF_Lines_Edit[[#This Row],[Picked Qty]]=""),"",IPRF_Lines_Edit[[#This Row],[Requested Qty]]-IPRF_Lines_Edit[[#This Row],[Picked Qty]])</f>
        <v/>
      </c>
      <c r="M394" s="18" t="str" cm="1">
        <f t="array" ref="M3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4" s="19" t="str" cm="1">
        <f t="array" ref="N3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IF(OR(IPRF_Lines_Edit[[#This Row],[Requested Qty]]="",IPRF_Lines_Edit[[#This Row],[Picked Qty]]=""),"",IPRF_Lines_Edit[[#This Row],[Requested Qty]]-IPRF_Lines_Edit[[#This Row],[Picked Qty]])</f>
        <v/>
      </c>
      <c r="M395" s="18" t="str" cm="1">
        <f t="array" ref="M3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5" s="19" t="str" cm="1">
        <f t="array" ref="N3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IF(OR(IPRF_Lines_Edit[[#This Row],[Requested Qty]]="",IPRF_Lines_Edit[[#This Row],[Picked Qty]]=""),"",IPRF_Lines_Edit[[#This Row],[Requested Qty]]-IPRF_Lines_Edit[[#This Row],[Picked Qty]])</f>
        <v/>
      </c>
      <c r="M396" s="18" t="str" cm="1">
        <f t="array" ref="M3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6" s="19" t="str" cm="1">
        <f t="array" ref="N3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IF(OR(IPRF_Lines_Edit[[#This Row],[Requested Qty]]="",IPRF_Lines_Edit[[#This Row],[Picked Qty]]=""),"",IPRF_Lines_Edit[[#This Row],[Requested Qty]]-IPRF_Lines_Edit[[#This Row],[Picked Qty]])</f>
        <v/>
      </c>
      <c r="M397" s="18" t="str" cm="1">
        <f t="array" ref="M3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7" s="19" t="str" cm="1">
        <f t="array" ref="N3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IF(OR(IPRF_Lines_Edit[[#This Row],[Requested Qty]]="",IPRF_Lines_Edit[[#This Row],[Picked Qty]]=""),"",IPRF_Lines_Edit[[#This Row],[Requested Qty]]-IPRF_Lines_Edit[[#This Row],[Picked Qty]])</f>
        <v/>
      </c>
      <c r="M398" s="18" t="str" cm="1">
        <f t="array" ref="M3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8" s="19" t="str" cm="1">
        <f t="array" ref="N3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IF(OR(IPRF_Lines_Edit[[#This Row],[Requested Qty]]="",IPRF_Lines_Edit[[#This Row],[Picked Qty]]=""),"",IPRF_Lines_Edit[[#This Row],[Requested Qty]]-IPRF_Lines_Edit[[#This Row],[Picked Qty]])</f>
        <v/>
      </c>
      <c r="M399" s="18" t="str" cm="1">
        <f t="array" ref="M3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9" s="19" t="str" cm="1">
        <f t="array" ref="N3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IF(OR(IPRF_Lines_Edit[[#This Row],[Requested Qty]]="",IPRF_Lines_Edit[[#This Row],[Picked Qty]]=""),"",IPRF_Lines_Edit[[#This Row],[Requested Qty]]-IPRF_Lines_Edit[[#This Row],[Picked Qty]])</f>
        <v/>
      </c>
      <c r="M400" s="18" t="str" cm="1">
        <f t="array" ref="M4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0" s="19" t="str" cm="1">
        <f t="array" ref="N4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IF(OR(IPRF_Lines_Edit[[#This Row],[Requested Qty]]="",IPRF_Lines_Edit[[#This Row],[Picked Qty]]=""),"",IPRF_Lines_Edit[[#This Row],[Requested Qty]]-IPRF_Lines_Edit[[#This Row],[Picked Qty]])</f>
        <v/>
      </c>
      <c r="M401" s="18" t="str" cm="1">
        <f t="array" ref="M4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1" s="19" t="str" cm="1">
        <f t="array" ref="N4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IF(OR(IPRF_Lines_Edit[[#This Row],[Requested Qty]]="",IPRF_Lines_Edit[[#This Row],[Picked Qty]]=""),"",IPRF_Lines_Edit[[#This Row],[Requested Qty]]-IPRF_Lines_Edit[[#This Row],[Picked Qty]])</f>
        <v/>
      </c>
      <c r="M402" s="18" t="str" cm="1">
        <f t="array" ref="M4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2" s="19" t="str" cm="1">
        <f t="array" ref="N4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IF(OR(IPRF_Lines_Edit[[#This Row],[Requested Qty]]="",IPRF_Lines_Edit[[#This Row],[Picked Qty]]=""),"",IPRF_Lines_Edit[[#This Row],[Requested Qty]]-IPRF_Lines_Edit[[#This Row],[Picked Qty]])</f>
        <v/>
      </c>
      <c r="M403" s="18" t="str" cm="1">
        <f t="array" ref="M4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3" s="19" t="str" cm="1">
        <f t="array" ref="N4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IF(OR(IPRF_Lines_Edit[[#This Row],[Requested Qty]]="",IPRF_Lines_Edit[[#This Row],[Picked Qty]]=""),"",IPRF_Lines_Edit[[#This Row],[Requested Qty]]-IPRF_Lines_Edit[[#This Row],[Picked Qty]])</f>
        <v/>
      </c>
      <c r="M404" s="18" t="str" cm="1">
        <f t="array" ref="M4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4" s="19" t="str" cm="1">
        <f t="array" ref="N4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IF(OR(IPRF_Lines_Edit[[#This Row],[Requested Qty]]="",IPRF_Lines_Edit[[#This Row],[Picked Qty]]=""),"",IPRF_Lines_Edit[[#This Row],[Requested Qty]]-IPRF_Lines_Edit[[#This Row],[Picked Qty]])</f>
        <v/>
      </c>
      <c r="M405" s="18" t="str" cm="1">
        <f t="array" ref="M4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5" s="19" t="str" cm="1">
        <f t="array" ref="N4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IF(OR(IPRF_Lines_Edit[[#This Row],[Requested Qty]]="",IPRF_Lines_Edit[[#This Row],[Picked Qty]]=""),"",IPRF_Lines_Edit[[#This Row],[Requested Qty]]-IPRF_Lines_Edit[[#This Row],[Picked Qty]])</f>
        <v/>
      </c>
      <c r="M406" s="18" t="str" cm="1">
        <f t="array" ref="M4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6" s="19" t="str" cm="1">
        <f t="array" ref="N4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IF(OR(IPRF_Lines_Edit[[#This Row],[Requested Qty]]="",IPRF_Lines_Edit[[#This Row],[Picked Qty]]=""),"",IPRF_Lines_Edit[[#This Row],[Requested Qty]]-IPRF_Lines_Edit[[#This Row],[Picked Qty]])</f>
        <v/>
      </c>
      <c r="M407" s="18" t="str" cm="1">
        <f t="array" ref="M4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7" s="19" t="str" cm="1">
        <f t="array" ref="N4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IF(OR(IPRF_Lines_Edit[[#This Row],[Requested Qty]]="",IPRF_Lines_Edit[[#This Row],[Picked Qty]]=""),"",IPRF_Lines_Edit[[#This Row],[Requested Qty]]-IPRF_Lines_Edit[[#This Row],[Picked Qty]])</f>
        <v/>
      </c>
      <c r="M408" s="18" t="str" cm="1">
        <f t="array" ref="M4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8" s="19" t="str" cm="1">
        <f t="array" ref="N4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IF(OR(IPRF_Lines_Edit[[#This Row],[Requested Qty]]="",IPRF_Lines_Edit[[#This Row],[Picked Qty]]=""),"",IPRF_Lines_Edit[[#This Row],[Requested Qty]]-IPRF_Lines_Edit[[#This Row],[Picked Qty]])</f>
        <v/>
      </c>
      <c r="M409" s="18" t="str" cm="1">
        <f t="array" ref="M4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9" s="19" t="str" cm="1">
        <f t="array" ref="N4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IF(OR(IPRF_Lines_Edit[[#This Row],[Requested Qty]]="",IPRF_Lines_Edit[[#This Row],[Picked Qty]]=""),"",IPRF_Lines_Edit[[#This Row],[Requested Qty]]-IPRF_Lines_Edit[[#This Row],[Picked Qty]])</f>
        <v/>
      </c>
      <c r="M410" s="18" t="str" cm="1">
        <f t="array" ref="M4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0" s="19" t="str" cm="1">
        <f t="array" ref="N4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IF(OR(IPRF_Lines_Edit[[#This Row],[Requested Qty]]="",IPRF_Lines_Edit[[#This Row],[Picked Qty]]=""),"",IPRF_Lines_Edit[[#This Row],[Requested Qty]]-IPRF_Lines_Edit[[#This Row],[Picked Qty]])</f>
        <v/>
      </c>
      <c r="M411" s="18" t="str" cm="1">
        <f t="array" ref="M4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1" s="19" t="str" cm="1">
        <f t="array" ref="N4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IF(OR(IPRF_Lines_Edit[[#This Row],[Requested Qty]]="",IPRF_Lines_Edit[[#This Row],[Picked Qty]]=""),"",IPRF_Lines_Edit[[#This Row],[Requested Qty]]-IPRF_Lines_Edit[[#This Row],[Picked Qty]])</f>
        <v/>
      </c>
      <c r="M412" s="18" t="str" cm="1">
        <f t="array" ref="M4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2" s="19" t="str" cm="1">
        <f t="array" ref="N4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IF(OR(IPRF_Lines_Edit[[#This Row],[Requested Qty]]="",IPRF_Lines_Edit[[#This Row],[Picked Qty]]=""),"",IPRF_Lines_Edit[[#This Row],[Requested Qty]]-IPRF_Lines_Edit[[#This Row],[Picked Qty]])</f>
        <v/>
      </c>
      <c r="M413" s="18" t="str" cm="1">
        <f t="array" ref="M4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3" s="19" t="str" cm="1">
        <f t="array" ref="N4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IF(OR(IPRF_Lines_Edit[[#This Row],[Requested Qty]]="",IPRF_Lines_Edit[[#This Row],[Picked Qty]]=""),"",IPRF_Lines_Edit[[#This Row],[Requested Qty]]-IPRF_Lines_Edit[[#This Row],[Picked Qty]])</f>
        <v/>
      </c>
      <c r="M414" s="18" t="str" cm="1">
        <f t="array" ref="M4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4" s="19" t="str" cm="1">
        <f t="array" ref="N4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IF(OR(IPRF_Lines_Edit[[#This Row],[Requested Qty]]="",IPRF_Lines_Edit[[#This Row],[Picked Qty]]=""),"",IPRF_Lines_Edit[[#This Row],[Requested Qty]]-IPRF_Lines_Edit[[#This Row],[Picked Qty]])</f>
        <v/>
      </c>
      <c r="M415" s="18" t="str" cm="1">
        <f t="array" ref="M4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5" s="19" t="str" cm="1">
        <f t="array" ref="N4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IF(OR(IPRF_Lines_Edit[[#This Row],[Requested Qty]]="",IPRF_Lines_Edit[[#This Row],[Picked Qty]]=""),"",IPRF_Lines_Edit[[#This Row],[Requested Qty]]-IPRF_Lines_Edit[[#This Row],[Picked Qty]])</f>
        <v/>
      </c>
      <c r="M416" s="18" t="str" cm="1">
        <f t="array" ref="M4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6" s="19" t="str" cm="1">
        <f t="array" ref="N4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IF(OR(IPRF_Lines_Edit[[#This Row],[Requested Qty]]="",IPRF_Lines_Edit[[#This Row],[Picked Qty]]=""),"",IPRF_Lines_Edit[[#This Row],[Requested Qty]]-IPRF_Lines_Edit[[#This Row],[Picked Qty]])</f>
        <v/>
      </c>
      <c r="M417" s="18" t="str" cm="1">
        <f t="array" ref="M4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7" s="19" t="str" cm="1">
        <f t="array" ref="N4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IF(OR(IPRF_Lines_Edit[[#This Row],[Requested Qty]]="",IPRF_Lines_Edit[[#This Row],[Picked Qty]]=""),"",IPRF_Lines_Edit[[#This Row],[Requested Qty]]-IPRF_Lines_Edit[[#This Row],[Picked Qty]])</f>
        <v/>
      </c>
      <c r="M418" s="18" t="str" cm="1">
        <f t="array" ref="M4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8" s="19" t="str" cm="1">
        <f t="array" ref="N4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IF(OR(IPRF_Lines_Edit[[#This Row],[Requested Qty]]="",IPRF_Lines_Edit[[#This Row],[Picked Qty]]=""),"",IPRF_Lines_Edit[[#This Row],[Requested Qty]]-IPRF_Lines_Edit[[#This Row],[Picked Qty]])</f>
        <v/>
      </c>
      <c r="M419" s="18" t="str" cm="1">
        <f t="array" ref="M4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9" s="19" t="str" cm="1">
        <f t="array" ref="N4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IF(OR(IPRF_Lines_Edit[[#This Row],[Requested Qty]]="",IPRF_Lines_Edit[[#This Row],[Picked Qty]]=""),"",IPRF_Lines_Edit[[#This Row],[Requested Qty]]-IPRF_Lines_Edit[[#This Row],[Picked Qty]])</f>
        <v/>
      </c>
      <c r="M420" s="18" t="str" cm="1">
        <f t="array" ref="M4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0" s="19" t="str" cm="1">
        <f t="array" ref="N4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IF(OR(IPRF_Lines_Edit[[#This Row],[Requested Qty]]="",IPRF_Lines_Edit[[#This Row],[Picked Qty]]=""),"",IPRF_Lines_Edit[[#This Row],[Requested Qty]]-IPRF_Lines_Edit[[#This Row],[Picked Qty]])</f>
        <v/>
      </c>
      <c r="M421" s="18" t="str" cm="1">
        <f t="array" ref="M4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1" s="19" t="str" cm="1">
        <f t="array" ref="N4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IF(OR(IPRF_Lines_Edit[[#This Row],[Requested Qty]]="",IPRF_Lines_Edit[[#This Row],[Picked Qty]]=""),"",IPRF_Lines_Edit[[#This Row],[Requested Qty]]-IPRF_Lines_Edit[[#This Row],[Picked Qty]])</f>
        <v/>
      </c>
      <c r="M422" s="18" t="str" cm="1">
        <f t="array" ref="M4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2" s="19" t="str" cm="1">
        <f t="array" ref="N4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IF(OR(IPRF_Lines_Edit[[#This Row],[Requested Qty]]="",IPRF_Lines_Edit[[#This Row],[Picked Qty]]=""),"",IPRF_Lines_Edit[[#This Row],[Requested Qty]]-IPRF_Lines_Edit[[#This Row],[Picked Qty]])</f>
        <v/>
      </c>
      <c r="M423" s="18" t="str" cm="1">
        <f t="array" ref="M4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3" s="19" t="str" cm="1">
        <f t="array" ref="N4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IF(OR(IPRF_Lines_Edit[[#This Row],[Requested Qty]]="",IPRF_Lines_Edit[[#This Row],[Picked Qty]]=""),"",IPRF_Lines_Edit[[#This Row],[Requested Qty]]-IPRF_Lines_Edit[[#This Row],[Picked Qty]])</f>
        <v/>
      </c>
      <c r="M424" s="18" t="str" cm="1">
        <f t="array" ref="M4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4" s="19" t="str" cm="1">
        <f t="array" ref="N4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IF(OR(IPRF_Lines_Edit[[#This Row],[Requested Qty]]="",IPRF_Lines_Edit[[#This Row],[Picked Qty]]=""),"",IPRF_Lines_Edit[[#This Row],[Requested Qty]]-IPRF_Lines_Edit[[#This Row],[Picked Qty]])</f>
        <v/>
      </c>
      <c r="M425" s="18" t="str" cm="1">
        <f t="array" ref="M4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5" s="19" t="str" cm="1">
        <f t="array" ref="N4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IF(OR(IPRF_Lines_Edit[[#This Row],[Requested Qty]]="",IPRF_Lines_Edit[[#This Row],[Picked Qty]]=""),"",IPRF_Lines_Edit[[#This Row],[Requested Qty]]-IPRF_Lines_Edit[[#This Row],[Picked Qty]])</f>
        <v/>
      </c>
      <c r="M426" s="18" t="str" cm="1">
        <f t="array" ref="M4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6" s="19" t="str" cm="1">
        <f t="array" ref="N4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IF(OR(IPRF_Lines_Edit[[#This Row],[Requested Qty]]="",IPRF_Lines_Edit[[#This Row],[Picked Qty]]=""),"",IPRF_Lines_Edit[[#This Row],[Requested Qty]]-IPRF_Lines_Edit[[#This Row],[Picked Qty]])</f>
        <v/>
      </c>
      <c r="M427" s="18" t="str" cm="1">
        <f t="array" ref="M4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7" s="19" t="str" cm="1">
        <f t="array" ref="N4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IF(OR(IPRF_Lines_Edit[[#This Row],[Requested Qty]]="",IPRF_Lines_Edit[[#This Row],[Picked Qty]]=""),"",IPRF_Lines_Edit[[#This Row],[Requested Qty]]-IPRF_Lines_Edit[[#This Row],[Picked Qty]])</f>
        <v/>
      </c>
      <c r="M428" s="18" t="str" cm="1">
        <f t="array" ref="M4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8" s="19" t="str" cm="1">
        <f t="array" ref="N4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IF(OR(IPRF_Lines_Edit[[#This Row],[Requested Qty]]="",IPRF_Lines_Edit[[#This Row],[Picked Qty]]=""),"",IPRF_Lines_Edit[[#This Row],[Requested Qty]]-IPRF_Lines_Edit[[#This Row],[Picked Qty]])</f>
        <v/>
      </c>
      <c r="M429" s="18" t="str" cm="1">
        <f t="array" ref="M4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9" s="19" t="str" cm="1">
        <f t="array" ref="N4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IF(OR(IPRF_Lines_Edit[[#This Row],[Requested Qty]]="",IPRF_Lines_Edit[[#This Row],[Picked Qty]]=""),"",IPRF_Lines_Edit[[#This Row],[Requested Qty]]-IPRF_Lines_Edit[[#This Row],[Picked Qty]])</f>
        <v/>
      </c>
      <c r="M430" s="18" t="str" cm="1">
        <f t="array" ref="M4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0" s="19" t="str" cm="1">
        <f t="array" ref="N4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IF(OR(IPRF_Lines_Edit[[#This Row],[Requested Qty]]="",IPRF_Lines_Edit[[#This Row],[Picked Qty]]=""),"",IPRF_Lines_Edit[[#This Row],[Requested Qty]]-IPRF_Lines_Edit[[#This Row],[Picked Qty]])</f>
        <v/>
      </c>
      <c r="M431" s="18" t="str" cm="1">
        <f t="array" ref="M4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1" s="19" t="str" cm="1">
        <f t="array" ref="N4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IF(OR(IPRF_Lines_Edit[[#This Row],[Requested Qty]]="",IPRF_Lines_Edit[[#This Row],[Picked Qty]]=""),"",IPRF_Lines_Edit[[#This Row],[Requested Qty]]-IPRF_Lines_Edit[[#This Row],[Picked Qty]])</f>
        <v/>
      </c>
      <c r="M432" s="18" t="str" cm="1">
        <f t="array" ref="M4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2" s="19" t="str" cm="1">
        <f t="array" ref="N4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IF(OR(IPRF_Lines_Edit[[#This Row],[Requested Qty]]="",IPRF_Lines_Edit[[#This Row],[Picked Qty]]=""),"",IPRF_Lines_Edit[[#This Row],[Requested Qty]]-IPRF_Lines_Edit[[#This Row],[Picked Qty]])</f>
        <v/>
      </c>
      <c r="M433" s="18" t="str" cm="1">
        <f t="array" ref="M4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3" s="19" t="str" cm="1">
        <f t="array" ref="N4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IF(OR(IPRF_Lines_Edit[[#This Row],[Requested Qty]]="",IPRF_Lines_Edit[[#This Row],[Picked Qty]]=""),"",IPRF_Lines_Edit[[#This Row],[Requested Qty]]-IPRF_Lines_Edit[[#This Row],[Picked Qty]])</f>
        <v/>
      </c>
      <c r="M434" s="18" t="str" cm="1">
        <f t="array" ref="M4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4" s="19" t="str" cm="1">
        <f t="array" ref="N4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IF(OR(IPRF_Lines_Edit[[#This Row],[Requested Qty]]="",IPRF_Lines_Edit[[#This Row],[Picked Qty]]=""),"",IPRF_Lines_Edit[[#This Row],[Requested Qty]]-IPRF_Lines_Edit[[#This Row],[Picked Qty]])</f>
        <v/>
      </c>
      <c r="M435" s="18" t="str" cm="1">
        <f t="array" ref="M4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5" s="19" t="str" cm="1">
        <f t="array" ref="N4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IF(OR(IPRF_Lines_Edit[[#This Row],[Requested Qty]]="",IPRF_Lines_Edit[[#This Row],[Picked Qty]]=""),"",IPRF_Lines_Edit[[#This Row],[Requested Qty]]-IPRF_Lines_Edit[[#This Row],[Picked Qty]])</f>
        <v/>
      </c>
      <c r="M436" s="18" t="str" cm="1">
        <f t="array" ref="M4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6" s="19" t="str" cm="1">
        <f t="array" ref="N4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IF(OR(IPRF_Lines_Edit[[#This Row],[Requested Qty]]="",IPRF_Lines_Edit[[#This Row],[Picked Qty]]=""),"",IPRF_Lines_Edit[[#This Row],[Requested Qty]]-IPRF_Lines_Edit[[#This Row],[Picked Qty]])</f>
        <v/>
      </c>
      <c r="M437" s="18" t="str" cm="1">
        <f t="array" ref="M4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7" s="19" t="str" cm="1">
        <f t="array" ref="N4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IF(OR(IPRF_Lines_Edit[[#This Row],[Requested Qty]]="",IPRF_Lines_Edit[[#This Row],[Picked Qty]]=""),"",IPRF_Lines_Edit[[#This Row],[Requested Qty]]-IPRF_Lines_Edit[[#This Row],[Picked Qty]])</f>
        <v/>
      </c>
      <c r="M438" s="18" t="str" cm="1">
        <f t="array" ref="M4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8" s="19" t="str" cm="1">
        <f t="array" ref="N4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IF(OR(IPRF_Lines_Edit[[#This Row],[Requested Qty]]="",IPRF_Lines_Edit[[#This Row],[Picked Qty]]=""),"",IPRF_Lines_Edit[[#This Row],[Requested Qty]]-IPRF_Lines_Edit[[#This Row],[Picked Qty]])</f>
        <v/>
      </c>
      <c r="M439" s="18" t="str" cm="1">
        <f t="array" ref="M4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9" s="19" t="str" cm="1">
        <f t="array" ref="N4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IF(OR(IPRF_Lines_Edit[[#This Row],[Requested Qty]]="",IPRF_Lines_Edit[[#This Row],[Picked Qty]]=""),"",IPRF_Lines_Edit[[#This Row],[Requested Qty]]-IPRF_Lines_Edit[[#This Row],[Picked Qty]])</f>
        <v/>
      </c>
      <c r="M440" s="18" t="str" cm="1">
        <f t="array" ref="M4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0" s="19" t="str" cm="1">
        <f t="array" ref="N4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IF(OR(IPRF_Lines_Edit[[#This Row],[Requested Qty]]="",IPRF_Lines_Edit[[#This Row],[Picked Qty]]=""),"",IPRF_Lines_Edit[[#This Row],[Requested Qty]]-IPRF_Lines_Edit[[#This Row],[Picked Qty]])</f>
        <v/>
      </c>
      <c r="M441" s="18" t="str" cm="1">
        <f t="array" ref="M4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1" s="19" t="str" cm="1">
        <f t="array" ref="N4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IF(OR(IPRF_Lines_Edit[[#This Row],[Requested Qty]]="",IPRF_Lines_Edit[[#This Row],[Picked Qty]]=""),"",IPRF_Lines_Edit[[#This Row],[Requested Qty]]-IPRF_Lines_Edit[[#This Row],[Picked Qty]])</f>
        <v/>
      </c>
      <c r="M442" s="18" t="str" cm="1">
        <f t="array" ref="M4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2" s="19" t="str" cm="1">
        <f t="array" ref="N4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IF(OR(IPRF_Lines_Edit[[#This Row],[Requested Qty]]="",IPRF_Lines_Edit[[#This Row],[Picked Qty]]=""),"",IPRF_Lines_Edit[[#This Row],[Requested Qty]]-IPRF_Lines_Edit[[#This Row],[Picked Qty]])</f>
        <v/>
      </c>
      <c r="M443" s="18" t="str" cm="1">
        <f t="array" ref="M4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3" s="19" t="str" cm="1">
        <f t="array" ref="N4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IF(OR(IPRF_Lines_Edit[[#This Row],[Requested Qty]]="",IPRF_Lines_Edit[[#This Row],[Picked Qty]]=""),"",IPRF_Lines_Edit[[#This Row],[Requested Qty]]-IPRF_Lines_Edit[[#This Row],[Picked Qty]])</f>
        <v/>
      </c>
      <c r="M444" s="18" t="str" cm="1">
        <f t="array" ref="M4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4" s="19" t="str" cm="1">
        <f t="array" ref="N4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IF(OR(IPRF_Lines_Edit[[#This Row],[Requested Qty]]="",IPRF_Lines_Edit[[#This Row],[Picked Qty]]=""),"",IPRF_Lines_Edit[[#This Row],[Requested Qty]]-IPRF_Lines_Edit[[#This Row],[Picked Qty]])</f>
        <v/>
      </c>
      <c r="M445" s="18" t="str" cm="1">
        <f t="array" ref="M4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5" s="19" t="str" cm="1">
        <f t="array" ref="N4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IF(OR(IPRF_Lines_Edit[[#This Row],[Requested Qty]]="",IPRF_Lines_Edit[[#This Row],[Picked Qty]]=""),"",IPRF_Lines_Edit[[#This Row],[Requested Qty]]-IPRF_Lines_Edit[[#This Row],[Picked Qty]])</f>
        <v/>
      </c>
      <c r="M446" s="18" t="str" cm="1">
        <f t="array" ref="M4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6" s="19" t="str" cm="1">
        <f t="array" ref="N4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IF(OR(IPRF_Lines_Edit[[#This Row],[Requested Qty]]="",IPRF_Lines_Edit[[#This Row],[Picked Qty]]=""),"",IPRF_Lines_Edit[[#This Row],[Requested Qty]]-IPRF_Lines_Edit[[#This Row],[Picked Qty]])</f>
        <v/>
      </c>
      <c r="M447" s="18" t="str" cm="1">
        <f t="array" ref="M4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7" s="19" t="str" cm="1">
        <f t="array" ref="N4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IF(OR(IPRF_Lines_Edit[[#This Row],[Requested Qty]]="",IPRF_Lines_Edit[[#This Row],[Picked Qty]]=""),"",IPRF_Lines_Edit[[#This Row],[Requested Qty]]-IPRF_Lines_Edit[[#This Row],[Picked Qty]])</f>
        <v/>
      </c>
      <c r="M448" s="18" t="str" cm="1">
        <f t="array" ref="M4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8" s="19" t="str" cm="1">
        <f t="array" ref="N4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IF(OR(IPRF_Lines_Edit[[#This Row],[Requested Qty]]="",IPRF_Lines_Edit[[#This Row],[Picked Qty]]=""),"",IPRF_Lines_Edit[[#This Row],[Requested Qty]]-IPRF_Lines_Edit[[#This Row],[Picked Qty]])</f>
        <v/>
      </c>
      <c r="M449" s="18" t="str" cm="1">
        <f t="array" ref="M4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9" s="19" t="str" cm="1">
        <f t="array" ref="N4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IF(OR(IPRF_Lines_Edit[[#This Row],[Requested Qty]]="",IPRF_Lines_Edit[[#This Row],[Picked Qty]]=""),"",IPRF_Lines_Edit[[#This Row],[Requested Qty]]-IPRF_Lines_Edit[[#This Row],[Picked Qty]])</f>
        <v/>
      </c>
      <c r="M450" s="18" t="str" cm="1">
        <f t="array" ref="M4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0" s="19" t="str" cm="1">
        <f t="array" ref="N4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IF(OR(IPRF_Lines_Edit[[#This Row],[Requested Qty]]="",IPRF_Lines_Edit[[#This Row],[Picked Qty]]=""),"",IPRF_Lines_Edit[[#This Row],[Requested Qty]]-IPRF_Lines_Edit[[#This Row],[Picked Qty]])</f>
        <v/>
      </c>
      <c r="M451" s="18" t="str" cm="1">
        <f t="array" ref="M4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1" s="19" t="str" cm="1">
        <f t="array" ref="N4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IF(OR(IPRF_Lines_Edit[[#This Row],[Requested Qty]]="",IPRF_Lines_Edit[[#This Row],[Picked Qty]]=""),"",IPRF_Lines_Edit[[#This Row],[Requested Qty]]-IPRF_Lines_Edit[[#This Row],[Picked Qty]])</f>
        <v/>
      </c>
      <c r="M452" s="18" t="str" cm="1">
        <f t="array" ref="M4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2" s="19" t="str" cm="1">
        <f t="array" ref="N4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IF(OR(IPRF_Lines_Edit[[#This Row],[Requested Qty]]="",IPRF_Lines_Edit[[#This Row],[Picked Qty]]=""),"",IPRF_Lines_Edit[[#This Row],[Requested Qty]]-IPRF_Lines_Edit[[#This Row],[Picked Qty]])</f>
        <v/>
      </c>
      <c r="M453" s="18" t="str" cm="1">
        <f t="array" ref="M4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3" s="19" t="str" cm="1">
        <f t="array" ref="N4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IF(OR(IPRF_Lines_Edit[[#This Row],[Requested Qty]]="",IPRF_Lines_Edit[[#This Row],[Picked Qty]]=""),"",IPRF_Lines_Edit[[#This Row],[Requested Qty]]-IPRF_Lines_Edit[[#This Row],[Picked Qty]])</f>
        <v/>
      </c>
      <c r="M454" s="18" t="str" cm="1">
        <f t="array" ref="M4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4" s="19" t="str" cm="1">
        <f t="array" ref="N4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IF(OR(IPRF_Lines_Edit[[#This Row],[Requested Qty]]="",IPRF_Lines_Edit[[#This Row],[Picked Qty]]=""),"",IPRF_Lines_Edit[[#This Row],[Requested Qty]]-IPRF_Lines_Edit[[#This Row],[Picked Qty]])</f>
        <v/>
      </c>
      <c r="M455" s="18" t="str" cm="1">
        <f t="array" ref="M4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5" s="19" t="str" cm="1">
        <f t="array" ref="N4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IF(OR(IPRF_Lines_Edit[[#This Row],[Requested Qty]]="",IPRF_Lines_Edit[[#This Row],[Picked Qty]]=""),"",IPRF_Lines_Edit[[#This Row],[Requested Qty]]-IPRF_Lines_Edit[[#This Row],[Picked Qty]])</f>
        <v/>
      </c>
      <c r="M456" s="18" t="str" cm="1">
        <f t="array" ref="M4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6" s="19" t="str" cm="1">
        <f t="array" ref="N4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IF(OR(IPRF_Lines_Edit[[#This Row],[Requested Qty]]="",IPRF_Lines_Edit[[#This Row],[Picked Qty]]=""),"",IPRF_Lines_Edit[[#This Row],[Requested Qty]]-IPRF_Lines_Edit[[#This Row],[Picked Qty]])</f>
        <v/>
      </c>
      <c r="M457" s="18" t="str" cm="1">
        <f t="array" ref="M4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7" s="19" t="str" cm="1">
        <f t="array" ref="N4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IF(OR(IPRF_Lines_Edit[[#This Row],[Requested Qty]]="",IPRF_Lines_Edit[[#This Row],[Picked Qty]]=""),"",IPRF_Lines_Edit[[#This Row],[Requested Qty]]-IPRF_Lines_Edit[[#This Row],[Picked Qty]])</f>
        <v/>
      </c>
      <c r="M458" s="18" t="str" cm="1">
        <f t="array" ref="M4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8" s="19" t="str" cm="1">
        <f t="array" ref="N4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IF(OR(IPRF_Lines_Edit[[#This Row],[Requested Qty]]="",IPRF_Lines_Edit[[#This Row],[Picked Qty]]=""),"",IPRF_Lines_Edit[[#This Row],[Requested Qty]]-IPRF_Lines_Edit[[#This Row],[Picked Qty]])</f>
        <v/>
      </c>
      <c r="M459" s="18" t="str" cm="1">
        <f t="array" ref="M4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9" s="19" t="str" cm="1">
        <f t="array" ref="N4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IF(OR(IPRF_Lines_Edit[[#This Row],[Requested Qty]]="",IPRF_Lines_Edit[[#This Row],[Picked Qty]]=""),"",IPRF_Lines_Edit[[#This Row],[Requested Qty]]-IPRF_Lines_Edit[[#This Row],[Picked Qty]])</f>
        <v/>
      </c>
      <c r="M460" s="18" t="str" cm="1">
        <f t="array" ref="M4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0" s="19" t="str" cm="1">
        <f t="array" ref="N4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IF(OR(IPRF_Lines_Edit[[#This Row],[Requested Qty]]="",IPRF_Lines_Edit[[#This Row],[Picked Qty]]=""),"",IPRF_Lines_Edit[[#This Row],[Requested Qty]]-IPRF_Lines_Edit[[#This Row],[Picked Qty]])</f>
        <v/>
      </c>
      <c r="M461" s="18" t="str" cm="1">
        <f t="array" ref="M4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1" s="19" t="str" cm="1">
        <f t="array" ref="N4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IF(OR(IPRF_Lines_Edit[[#This Row],[Requested Qty]]="",IPRF_Lines_Edit[[#This Row],[Picked Qty]]=""),"",IPRF_Lines_Edit[[#This Row],[Requested Qty]]-IPRF_Lines_Edit[[#This Row],[Picked Qty]])</f>
        <v/>
      </c>
      <c r="M462" s="18" t="str" cm="1">
        <f t="array" ref="M4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2" s="19" t="str" cm="1">
        <f t="array" ref="N4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IF(OR(IPRF_Lines_Edit[[#This Row],[Requested Qty]]="",IPRF_Lines_Edit[[#This Row],[Picked Qty]]=""),"",IPRF_Lines_Edit[[#This Row],[Requested Qty]]-IPRF_Lines_Edit[[#This Row],[Picked Qty]])</f>
        <v/>
      </c>
      <c r="M463" s="18" t="str" cm="1">
        <f t="array" ref="M4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3" s="19" t="str" cm="1">
        <f t="array" ref="N4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IF(OR(IPRF_Lines_Edit[[#This Row],[Requested Qty]]="",IPRF_Lines_Edit[[#This Row],[Picked Qty]]=""),"",IPRF_Lines_Edit[[#This Row],[Requested Qty]]-IPRF_Lines_Edit[[#This Row],[Picked Qty]])</f>
        <v/>
      </c>
      <c r="M464" s="18" t="str" cm="1">
        <f t="array" ref="M4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4" s="19" t="str" cm="1">
        <f t="array" ref="N4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IF(OR(IPRF_Lines_Edit[[#This Row],[Requested Qty]]="",IPRF_Lines_Edit[[#This Row],[Picked Qty]]=""),"",IPRF_Lines_Edit[[#This Row],[Requested Qty]]-IPRF_Lines_Edit[[#This Row],[Picked Qty]])</f>
        <v/>
      </c>
      <c r="M465" s="18" t="str" cm="1">
        <f t="array" ref="M4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5" s="19" t="str" cm="1">
        <f t="array" ref="N4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IF(OR(IPRF_Lines_Edit[[#This Row],[Requested Qty]]="",IPRF_Lines_Edit[[#This Row],[Picked Qty]]=""),"",IPRF_Lines_Edit[[#This Row],[Requested Qty]]-IPRF_Lines_Edit[[#This Row],[Picked Qty]])</f>
        <v/>
      </c>
      <c r="M466" s="18" t="str" cm="1">
        <f t="array" ref="M4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6" s="19" t="str" cm="1">
        <f t="array" ref="N4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IF(OR(IPRF_Lines_Edit[[#This Row],[Requested Qty]]="",IPRF_Lines_Edit[[#This Row],[Picked Qty]]=""),"",IPRF_Lines_Edit[[#This Row],[Requested Qty]]-IPRF_Lines_Edit[[#This Row],[Picked Qty]])</f>
        <v/>
      </c>
      <c r="M467" s="18" t="str" cm="1">
        <f t="array" ref="M4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7" s="19" t="str" cm="1">
        <f t="array" ref="N4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IF(OR(IPRF_Lines_Edit[[#This Row],[Requested Qty]]="",IPRF_Lines_Edit[[#This Row],[Picked Qty]]=""),"",IPRF_Lines_Edit[[#This Row],[Requested Qty]]-IPRF_Lines_Edit[[#This Row],[Picked Qty]])</f>
        <v/>
      </c>
      <c r="M468" s="18" t="str" cm="1">
        <f t="array" ref="M4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8" s="19" t="str" cm="1">
        <f t="array" ref="N4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IF(OR(IPRF_Lines_Edit[[#This Row],[Requested Qty]]="",IPRF_Lines_Edit[[#This Row],[Picked Qty]]=""),"",IPRF_Lines_Edit[[#This Row],[Requested Qty]]-IPRF_Lines_Edit[[#This Row],[Picked Qty]])</f>
        <v/>
      </c>
      <c r="M469" s="18" t="str" cm="1">
        <f t="array" ref="M4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9" s="19" t="str" cm="1">
        <f t="array" ref="N4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IF(OR(IPRF_Lines_Edit[[#This Row],[Requested Qty]]="",IPRF_Lines_Edit[[#This Row],[Picked Qty]]=""),"",IPRF_Lines_Edit[[#This Row],[Requested Qty]]-IPRF_Lines_Edit[[#This Row],[Picked Qty]])</f>
        <v/>
      </c>
      <c r="M470" s="18" t="str" cm="1">
        <f t="array" ref="M4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0" s="19" t="str" cm="1">
        <f t="array" ref="N4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IF(OR(IPRF_Lines_Edit[[#This Row],[Requested Qty]]="",IPRF_Lines_Edit[[#This Row],[Picked Qty]]=""),"",IPRF_Lines_Edit[[#This Row],[Requested Qty]]-IPRF_Lines_Edit[[#This Row],[Picked Qty]])</f>
        <v/>
      </c>
      <c r="M471" s="18" t="str" cm="1">
        <f t="array" ref="M4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1" s="19" t="str" cm="1">
        <f t="array" ref="N4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IF(OR(IPRF_Lines_Edit[[#This Row],[Requested Qty]]="",IPRF_Lines_Edit[[#This Row],[Picked Qty]]=""),"",IPRF_Lines_Edit[[#This Row],[Requested Qty]]-IPRF_Lines_Edit[[#This Row],[Picked Qty]])</f>
        <v/>
      </c>
      <c r="M472" s="18" t="str" cm="1">
        <f t="array" ref="M4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2" s="19" t="str" cm="1">
        <f t="array" ref="N4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IF(OR(IPRF_Lines_Edit[[#This Row],[Requested Qty]]="",IPRF_Lines_Edit[[#This Row],[Picked Qty]]=""),"",IPRF_Lines_Edit[[#This Row],[Requested Qty]]-IPRF_Lines_Edit[[#This Row],[Picked Qty]])</f>
        <v/>
      </c>
      <c r="M473" s="18" t="str" cm="1">
        <f t="array" ref="M4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3" s="19" t="str" cm="1">
        <f t="array" ref="N4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IF(OR(IPRF_Lines_Edit[[#This Row],[Requested Qty]]="",IPRF_Lines_Edit[[#This Row],[Picked Qty]]=""),"",IPRF_Lines_Edit[[#This Row],[Requested Qty]]-IPRF_Lines_Edit[[#This Row],[Picked Qty]])</f>
        <v/>
      </c>
      <c r="M474" s="18" t="str" cm="1">
        <f t="array" ref="M4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4" s="19" t="str" cm="1">
        <f t="array" ref="N4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IF(OR(IPRF_Lines_Edit[[#This Row],[Requested Qty]]="",IPRF_Lines_Edit[[#This Row],[Picked Qty]]=""),"",IPRF_Lines_Edit[[#This Row],[Requested Qty]]-IPRF_Lines_Edit[[#This Row],[Picked Qty]])</f>
        <v/>
      </c>
      <c r="M475" s="18" t="str" cm="1">
        <f t="array" ref="M4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5" s="19" t="str" cm="1">
        <f t="array" ref="N4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IF(OR(IPRF_Lines_Edit[[#This Row],[Requested Qty]]="",IPRF_Lines_Edit[[#This Row],[Picked Qty]]=""),"",IPRF_Lines_Edit[[#This Row],[Requested Qty]]-IPRF_Lines_Edit[[#This Row],[Picked Qty]])</f>
        <v/>
      </c>
      <c r="M476" s="18" t="str" cm="1">
        <f t="array" ref="M4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6" s="19" t="str" cm="1">
        <f t="array" ref="N4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IF(OR(IPRF_Lines_Edit[[#This Row],[Requested Qty]]="",IPRF_Lines_Edit[[#This Row],[Picked Qty]]=""),"",IPRF_Lines_Edit[[#This Row],[Requested Qty]]-IPRF_Lines_Edit[[#This Row],[Picked Qty]])</f>
        <v/>
      </c>
      <c r="M477" s="18" t="str" cm="1">
        <f t="array" ref="M4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7" s="19" t="str" cm="1">
        <f t="array" ref="N4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IF(OR(IPRF_Lines_Edit[[#This Row],[Requested Qty]]="",IPRF_Lines_Edit[[#This Row],[Picked Qty]]=""),"",IPRF_Lines_Edit[[#This Row],[Requested Qty]]-IPRF_Lines_Edit[[#This Row],[Picked Qty]])</f>
        <v/>
      </c>
      <c r="M478" s="18" t="str" cm="1">
        <f t="array" ref="M4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8" s="19" t="str" cm="1">
        <f t="array" ref="N4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IF(OR(IPRF_Lines_Edit[[#This Row],[Requested Qty]]="",IPRF_Lines_Edit[[#This Row],[Picked Qty]]=""),"",IPRF_Lines_Edit[[#This Row],[Requested Qty]]-IPRF_Lines_Edit[[#This Row],[Picked Qty]])</f>
        <v/>
      </c>
      <c r="M479" s="18" t="str" cm="1">
        <f t="array" ref="M4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9" s="19" t="str" cm="1">
        <f t="array" ref="N4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IF(OR(IPRF_Lines_Edit[[#This Row],[Requested Qty]]="",IPRF_Lines_Edit[[#This Row],[Picked Qty]]=""),"",IPRF_Lines_Edit[[#This Row],[Requested Qty]]-IPRF_Lines_Edit[[#This Row],[Picked Qty]])</f>
        <v/>
      </c>
      <c r="M480" s="18" t="str" cm="1">
        <f t="array" ref="M4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0" s="19" t="str" cm="1">
        <f t="array" ref="N4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IF(OR(IPRF_Lines_Edit[[#This Row],[Requested Qty]]="",IPRF_Lines_Edit[[#This Row],[Picked Qty]]=""),"",IPRF_Lines_Edit[[#This Row],[Requested Qty]]-IPRF_Lines_Edit[[#This Row],[Picked Qty]])</f>
        <v/>
      </c>
      <c r="M481" s="18" t="str" cm="1">
        <f t="array" ref="M4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1" s="19" t="str" cm="1">
        <f t="array" ref="N4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IF(OR(IPRF_Lines_Edit[[#This Row],[Requested Qty]]="",IPRF_Lines_Edit[[#This Row],[Picked Qty]]=""),"",IPRF_Lines_Edit[[#This Row],[Requested Qty]]-IPRF_Lines_Edit[[#This Row],[Picked Qty]])</f>
        <v/>
      </c>
      <c r="M482" s="18" t="str" cm="1">
        <f t="array" ref="M4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2" s="19" t="str" cm="1">
        <f t="array" ref="N4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IF(OR(IPRF_Lines_Edit[[#This Row],[Requested Qty]]="",IPRF_Lines_Edit[[#This Row],[Picked Qty]]=""),"",IPRF_Lines_Edit[[#This Row],[Requested Qty]]-IPRF_Lines_Edit[[#This Row],[Picked Qty]])</f>
        <v/>
      </c>
      <c r="M483" s="18" t="str" cm="1">
        <f t="array" ref="M4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3" s="19" t="str" cm="1">
        <f t="array" ref="N4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IF(OR(IPRF_Lines_Edit[[#This Row],[Requested Qty]]="",IPRF_Lines_Edit[[#This Row],[Picked Qty]]=""),"",IPRF_Lines_Edit[[#This Row],[Requested Qty]]-IPRF_Lines_Edit[[#This Row],[Picked Qty]])</f>
        <v/>
      </c>
      <c r="M484" s="18" t="str" cm="1">
        <f t="array" ref="M4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4" s="19" t="str" cm="1">
        <f t="array" ref="N4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IF(OR(IPRF_Lines_Edit[[#This Row],[Requested Qty]]="",IPRF_Lines_Edit[[#This Row],[Picked Qty]]=""),"",IPRF_Lines_Edit[[#This Row],[Requested Qty]]-IPRF_Lines_Edit[[#This Row],[Picked Qty]])</f>
        <v/>
      </c>
      <c r="M485" s="18" t="str" cm="1">
        <f t="array" ref="M4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5" s="19" t="str" cm="1">
        <f t="array" ref="N4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IF(OR(IPRF_Lines_Edit[[#This Row],[Requested Qty]]="",IPRF_Lines_Edit[[#This Row],[Picked Qty]]=""),"",IPRF_Lines_Edit[[#This Row],[Requested Qty]]-IPRF_Lines_Edit[[#This Row],[Picked Qty]])</f>
        <v/>
      </c>
      <c r="M486" s="18" t="str" cm="1">
        <f t="array" ref="M4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6" s="19" t="str" cm="1">
        <f t="array" ref="N4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IF(OR(IPRF_Lines_Edit[[#This Row],[Requested Qty]]="",IPRF_Lines_Edit[[#This Row],[Picked Qty]]=""),"",IPRF_Lines_Edit[[#This Row],[Requested Qty]]-IPRF_Lines_Edit[[#This Row],[Picked Qty]])</f>
        <v/>
      </c>
      <c r="M487" s="18" t="str" cm="1">
        <f t="array" ref="M4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7" s="19" t="str" cm="1">
        <f t="array" ref="N4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IF(OR(IPRF_Lines_Edit[[#This Row],[Requested Qty]]="",IPRF_Lines_Edit[[#This Row],[Picked Qty]]=""),"",IPRF_Lines_Edit[[#This Row],[Requested Qty]]-IPRF_Lines_Edit[[#This Row],[Picked Qty]])</f>
        <v/>
      </c>
      <c r="M488" s="18" t="str" cm="1">
        <f t="array" ref="M4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8" s="19" t="str" cm="1">
        <f t="array" ref="N4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IF(OR(IPRF_Lines_Edit[[#This Row],[Requested Qty]]="",IPRF_Lines_Edit[[#This Row],[Picked Qty]]=""),"",IPRF_Lines_Edit[[#This Row],[Requested Qty]]-IPRF_Lines_Edit[[#This Row],[Picked Qty]])</f>
        <v/>
      </c>
      <c r="M489" s="18" t="str" cm="1">
        <f t="array" ref="M4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9" s="19" t="str" cm="1">
        <f t="array" ref="N4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IF(OR(IPRF_Lines_Edit[[#This Row],[Requested Qty]]="",IPRF_Lines_Edit[[#This Row],[Picked Qty]]=""),"",IPRF_Lines_Edit[[#This Row],[Requested Qty]]-IPRF_Lines_Edit[[#This Row],[Picked Qty]])</f>
        <v/>
      </c>
      <c r="M490" s="18" t="str" cm="1">
        <f t="array" ref="M4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0" s="19" t="str" cm="1">
        <f t="array" ref="N4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IF(OR(IPRF_Lines_Edit[[#This Row],[Requested Qty]]="",IPRF_Lines_Edit[[#This Row],[Picked Qty]]=""),"",IPRF_Lines_Edit[[#This Row],[Requested Qty]]-IPRF_Lines_Edit[[#This Row],[Picked Qty]])</f>
        <v/>
      </c>
      <c r="M491" s="18" t="str" cm="1">
        <f t="array" ref="M4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1" s="19" t="str" cm="1">
        <f t="array" ref="N4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IF(OR(IPRF_Lines_Edit[[#This Row],[Requested Qty]]="",IPRF_Lines_Edit[[#This Row],[Picked Qty]]=""),"",IPRF_Lines_Edit[[#This Row],[Requested Qty]]-IPRF_Lines_Edit[[#This Row],[Picked Qty]])</f>
        <v/>
      </c>
      <c r="M492" s="18" t="str" cm="1">
        <f t="array" ref="M4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2" s="19" t="str" cm="1">
        <f t="array" ref="N4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IF(OR(IPRF_Lines_Edit[[#This Row],[Requested Qty]]="",IPRF_Lines_Edit[[#This Row],[Picked Qty]]=""),"",IPRF_Lines_Edit[[#This Row],[Requested Qty]]-IPRF_Lines_Edit[[#This Row],[Picked Qty]])</f>
        <v/>
      </c>
      <c r="M493" s="18" t="str" cm="1">
        <f t="array" ref="M4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3" s="19" t="str" cm="1">
        <f t="array" ref="N4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IF(OR(IPRF_Lines_Edit[[#This Row],[Requested Qty]]="",IPRF_Lines_Edit[[#This Row],[Picked Qty]]=""),"",IPRF_Lines_Edit[[#This Row],[Requested Qty]]-IPRF_Lines_Edit[[#This Row],[Picked Qty]])</f>
        <v/>
      </c>
      <c r="M494" s="18" t="str" cm="1">
        <f t="array" ref="M4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4" s="19" t="str" cm="1">
        <f t="array" ref="N4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IF(OR(IPRF_Lines_Edit[[#This Row],[Requested Qty]]="",IPRF_Lines_Edit[[#This Row],[Picked Qty]]=""),"",IPRF_Lines_Edit[[#This Row],[Requested Qty]]-IPRF_Lines_Edit[[#This Row],[Picked Qty]])</f>
        <v/>
      </c>
      <c r="M495" s="18" t="str" cm="1">
        <f t="array" ref="M4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5" s="19" t="str" cm="1">
        <f t="array" ref="N4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IF(OR(IPRF_Lines_Edit[[#This Row],[Requested Qty]]="",IPRF_Lines_Edit[[#This Row],[Picked Qty]]=""),"",IPRF_Lines_Edit[[#This Row],[Requested Qty]]-IPRF_Lines_Edit[[#This Row],[Picked Qty]])</f>
        <v/>
      </c>
      <c r="M496" s="18" t="str" cm="1">
        <f t="array" ref="M4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6" s="19" t="str" cm="1">
        <f t="array" ref="N4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IF(OR(IPRF_Lines_Edit[[#This Row],[Requested Qty]]="",IPRF_Lines_Edit[[#This Row],[Picked Qty]]=""),"",IPRF_Lines_Edit[[#This Row],[Requested Qty]]-IPRF_Lines_Edit[[#This Row],[Picked Qty]])</f>
        <v/>
      </c>
      <c r="M497" s="18" t="str" cm="1">
        <f t="array" ref="M4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7" s="19" t="str" cm="1">
        <f t="array" ref="N4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IF(OR(IPRF_Lines_Edit[[#This Row],[Requested Qty]]="",IPRF_Lines_Edit[[#This Row],[Picked Qty]]=""),"",IPRF_Lines_Edit[[#This Row],[Requested Qty]]-IPRF_Lines_Edit[[#This Row],[Picked Qty]])</f>
        <v/>
      </c>
      <c r="M498" s="18" t="str" cm="1">
        <f t="array" ref="M4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8" s="19" t="str" cm="1">
        <f t="array" ref="N4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IF(OR(IPRF_Lines_Edit[[#This Row],[Requested Qty]]="",IPRF_Lines_Edit[[#This Row],[Picked Qty]]=""),"",IPRF_Lines_Edit[[#This Row],[Requested Qty]]-IPRF_Lines_Edit[[#This Row],[Picked Qty]])</f>
        <v/>
      </c>
      <c r="M499" s="18" t="str" cm="1">
        <f t="array" ref="M4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9" s="19" t="str" cm="1">
        <f t="array" ref="N4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IF(OR(IPRF_Lines_Edit[[#This Row],[Requested Qty]]="",IPRF_Lines_Edit[[#This Row],[Picked Qty]]=""),"",IPRF_Lines_Edit[[#This Row],[Requested Qty]]-IPRF_Lines_Edit[[#This Row],[Picked Qty]])</f>
        <v/>
      </c>
      <c r="M500" s="18" t="str" cm="1">
        <f t="array" ref="M5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0" s="19" t="str" cm="1">
        <f t="array" ref="N5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IF(OR(IPRF_Lines_Edit[[#This Row],[Requested Qty]]="",IPRF_Lines_Edit[[#This Row],[Picked Qty]]=""),"",IPRF_Lines_Edit[[#This Row],[Requested Qty]]-IPRF_Lines_Edit[[#This Row],[Picked Qty]])</f>
        <v/>
      </c>
      <c r="M501" s="18" t="str" cm="1">
        <f t="array" ref="M5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1" s="19" t="str" cm="1">
        <f t="array" ref="N5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IF(OR(IPRF_Lines_Edit[[#This Row],[Requested Qty]]="",IPRF_Lines_Edit[[#This Row],[Picked Qty]]=""),"",IPRF_Lines_Edit[[#This Row],[Requested Qty]]-IPRF_Lines_Edit[[#This Row],[Picked Qty]])</f>
        <v/>
      </c>
      <c r="M502" s="18" t="str" cm="1">
        <f t="array" ref="M5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2" s="19" t="str" cm="1">
        <f t="array" ref="N5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IF(OR(IPRF_Lines_Edit[[#This Row],[Requested Qty]]="",IPRF_Lines_Edit[[#This Row],[Picked Qty]]=""),"",IPRF_Lines_Edit[[#This Row],[Requested Qty]]-IPRF_Lines_Edit[[#This Row],[Picked Qty]])</f>
        <v/>
      </c>
      <c r="M503" s="18" t="str" cm="1">
        <f t="array" ref="M5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3" s="19" t="str" cm="1">
        <f t="array" ref="N5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IF(OR(IPRF_Lines_Edit[[#This Row],[Requested Qty]]="",IPRF_Lines_Edit[[#This Row],[Picked Qty]]=""),"",IPRF_Lines_Edit[[#This Row],[Requested Qty]]-IPRF_Lines_Edit[[#This Row],[Picked Qty]])</f>
        <v/>
      </c>
      <c r="M504" s="18" t="str" cm="1">
        <f t="array" ref="M5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4" s="19" t="str" cm="1">
        <f t="array" ref="N5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IF(OR(IPRF_Lines_Edit[[#This Row],[Requested Qty]]="",IPRF_Lines_Edit[[#This Row],[Picked Qty]]=""),"",IPRF_Lines_Edit[[#This Row],[Requested Qty]]-IPRF_Lines_Edit[[#This Row],[Picked Qty]])</f>
        <v/>
      </c>
      <c r="M505" s="18" t="str" cm="1">
        <f t="array" ref="M5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5" s="19" t="str" cm="1">
        <f t="array" ref="N5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IF(OR(IPRF_Lines_Edit[[#This Row],[Requested Qty]]="",IPRF_Lines_Edit[[#This Row],[Picked Qty]]=""),"",IPRF_Lines_Edit[[#This Row],[Requested Qty]]-IPRF_Lines_Edit[[#This Row],[Picked Qty]])</f>
        <v/>
      </c>
      <c r="M506" s="18" t="str" cm="1">
        <f t="array" ref="M5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6" s="19" t="str" cm="1">
        <f t="array" ref="N5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IF(OR(IPRF_Lines_Edit[[#This Row],[Requested Qty]]="",IPRF_Lines_Edit[[#This Row],[Picked Qty]]=""),"",IPRF_Lines_Edit[[#This Row],[Requested Qty]]-IPRF_Lines_Edit[[#This Row],[Picked Qty]])</f>
        <v/>
      </c>
      <c r="M507" s="18" t="str" cm="1">
        <f t="array" ref="M5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7" s="19" t="str" cm="1">
        <f t="array" ref="N5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IF(OR(IPRF_Lines_Edit[[#This Row],[Requested Qty]]="",IPRF_Lines_Edit[[#This Row],[Picked Qty]]=""),"",IPRF_Lines_Edit[[#This Row],[Requested Qty]]-IPRF_Lines_Edit[[#This Row],[Picked Qty]])</f>
        <v/>
      </c>
      <c r="M508" s="18" t="str" cm="1">
        <f t="array" ref="M5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8" s="19" t="str" cm="1">
        <f t="array" ref="N5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IF(OR(IPRF_Lines_Edit[[#This Row],[Requested Qty]]="",IPRF_Lines_Edit[[#This Row],[Picked Qty]]=""),"",IPRF_Lines_Edit[[#This Row],[Requested Qty]]-IPRF_Lines_Edit[[#This Row],[Picked Qty]])</f>
        <v/>
      </c>
      <c r="M509" s="18" t="str" cm="1">
        <f t="array" ref="M5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9" s="19" t="str" cm="1">
        <f t="array" ref="N5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IF(OR(IPRF_Lines_Edit[[#This Row],[Requested Qty]]="",IPRF_Lines_Edit[[#This Row],[Picked Qty]]=""),"",IPRF_Lines_Edit[[#This Row],[Requested Qty]]-IPRF_Lines_Edit[[#This Row],[Picked Qty]])</f>
        <v/>
      </c>
      <c r="M510" s="18" t="str" cm="1">
        <f t="array" ref="M5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0" s="19" t="str" cm="1">
        <f t="array" ref="N5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IF(OR(IPRF_Lines_Edit[[#This Row],[Requested Qty]]="",IPRF_Lines_Edit[[#This Row],[Picked Qty]]=""),"",IPRF_Lines_Edit[[#This Row],[Requested Qty]]-IPRF_Lines_Edit[[#This Row],[Picked Qty]])</f>
        <v/>
      </c>
      <c r="M511" s="18" t="str" cm="1">
        <f t="array" ref="M5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1" s="19" t="str" cm="1">
        <f t="array" ref="N5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IF(OR(IPRF_Lines_Edit[[#This Row],[Requested Qty]]="",IPRF_Lines_Edit[[#This Row],[Picked Qty]]=""),"",IPRF_Lines_Edit[[#This Row],[Requested Qty]]-IPRF_Lines_Edit[[#This Row],[Picked Qty]])</f>
        <v/>
      </c>
      <c r="M512" s="18" t="str" cm="1">
        <f t="array" ref="M5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2" s="19" t="str" cm="1">
        <f t="array" ref="N5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IF(OR(IPRF_Lines_Edit[[#This Row],[Requested Qty]]="",IPRF_Lines_Edit[[#This Row],[Picked Qty]]=""),"",IPRF_Lines_Edit[[#This Row],[Requested Qty]]-IPRF_Lines_Edit[[#This Row],[Picked Qty]])</f>
        <v/>
      </c>
      <c r="M513" s="20" t="str" cm="1">
        <f t="array" ref="M5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3" s="21" t="str" cm="1">
        <f t="array" ref="N5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</sheetData>
  <sheetProtection selectLockedCells="1"/>
  <protectedRanges>
    <protectedRange sqref="C5:D9 H5:I9 C10 M6:N10" name="Range3"/>
    <protectedRange sqref="B16:E513 K16 H17:K513" name="Item details"/>
    <protectedRange sqref="F16:G513" name="Item_Additional"/>
  </protectedRanges>
  <mergeCells count="34">
    <mergeCell ref="C1:N2"/>
    <mergeCell ref="C3:N3"/>
    <mergeCell ref="A5:B5"/>
    <mergeCell ref="C5:D5"/>
    <mergeCell ref="F5:G5"/>
    <mergeCell ref="H5:I5"/>
    <mergeCell ref="K5:L5"/>
    <mergeCell ref="A6:B6"/>
    <mergeCell ref="C6:D6"/>
    <mergeCell ref="F6:G6"/>
    <mergeCell ref="H6:I6"/>
    <mergeCell ref="K6:L6"/>
    <mergeCell ref="M7:N7"/>
    <mergeCell ref="A8:B8"/>
    <mergeCell ref="C8:D8"/>
    <mergeCell ref="F8:G8"/>
    <mergeCell ref="H8:I8"/>
    <mergeCell ref="K8:L8"/>
    <mergeCell ref="A7:B7"/>
    <mergeCell ref="C7:D7"/>
    <mergeCell ref="F7:G7"/>
    <mergeCell ref="H7:I7"/>
    <mergeCell ref="K7:L7"/>
    <mergeCell ref="K9:L9"/>
    <mergeCell ref="A10:B10"/>
    <mergeCell ref="A13:D13"/>
    <mergeCell ref="C10:D10"/>
    <mergeCell ref="F10:G10"/>
    <mergeCell ref="H10:I10"/>
    <mergeCell ref="K10:L10"/>
    <mergeCell ref="A9:B9"/>
    <mergeCell ref="C9:D9"/>
    <mergeCell ref="F9:G9"/>
    <mergeCell ref="H9:I9"/>
  </mergeCells>
  <dataValidations count="15">
    <dataValidation type="whole" operator="greaterThan" allowBlank="1" showInputMessage="1" showErrorMessage="1" sqref="K16" xr:uid="{68587DD5-8D6F-46EC-974F-B96451901B4D}">
      <formula1>0</formula1>
    </dataValidation>
    <dataValidation type="list" allowBlank="1" showInputMessage="1" showErrorMessage="1" sqref="J7 H8" xr:uid="{2C46381B-A238-4E17-A87E-0F7223246CDE}">
      <formula1>R_location</formula1>
    </dataValidation>
    <dataValidation type="list" operator="greaterThanOrEqual" allowBlank="1" showInputMessage="1" showErrorMessage="1" sqref="H8" xr:uid="{7867FD1F-33BC-422B-B75E-32E65EA04340}">
      <formula1>R_location</formula1>
    </dataValidation>
    <dataValidation type="textLength" allowBlank="1" showInputMessage="1" showErrorMessage="1" sqref="H17:H513" xr:uid="{4C8FFECB-F243-4AE7-B9E6-9DA58F508F02}">
      <formula1>4</formula1>
      <formula2>10</formula2>
    </dataValidation>
    <dataValidation type="list" allowBlank="1" showInputMessage="1" showErrorMessage="1" sqref="N10" xr:uid="{C30EF95C-A655-4D05-B772-3A64F67FC9C5}">
      <formula1>R_warehouse_rep_name</formula1>
    </dataValidation>
    <dataValidation type="list" allowBlank="1" showInputMessage="1" showErrorMessage="1" sqref="N9" xr:uid="{7D633AA9-E0CE-4599-8F62-BCD3D7445991}">
      <formula1>R_requester_name</formula1>
    </dataValidation>
    <dataValidation type="list" allowBlank="1" showInputMessage="1" showErrorMessage="1" sqref="C10" xr:uid="{063B4B79-7B27-4D53-BB01-2177F5237E8E}">
      <formula1>R_projects</formula1>
    </dataValidation>
    <dataValidation type="list" allowBlank="1" showInputMessage="1" showErrorMessage="1" sqref="C7" xr:uid="{7D1A9F2B-E139-4719-9C14-AEEA163DCB27}">
      <formula1>R_bu</formula1>
    </dataValidation>
    <dataValidation type="list" allowBlank="1" showInputMessage="1" showErrorMessage="1" sqref="N6" xr:uid="{A0B3201C-4B6D-45D1-A1DC-8539CEECF251}">
      <formula1>R_entity</formula1>
    </dataValidation>
    <dataValidation type="list" allowBlank="1" showInputMessage="1" showErrorMessage="1" sqref="H6" xr:uid="{19F6F604-25AD-4F7C-B0DA-C7BDD7D95536}">
      <formula1>R_item_type</formula1>
    </dataValidation>
    <dataValidation type="list" allowBlank="1" showInputMessage="1" showErrorMessage="1" sqref="C6" xr:uid="{81A6EF31-E496-49E1-A158-B2F5AB75E076}">
      <formula1>R_request_type</formula1>
    </dataValidation>
    <dataValidation type="date" operator="greaterThanOrEqual" allowBlank="1" showInputMessage="1" showErrorMessage="1" sqref="J7" xr:uid="{C8311D75-86F2-4019-9A44-99D8BAA4B411}">
      <formula1>TODAY()+2</formula1>
    </dataValidation>
    <dataValidation type="date" operator="greaterThanOrEqual" allowBlank="1" showInputMessage="1" showErrorMessage="1" sqref="N5" xr:uid="{77D5777A-A274-44CE-963F-A4739A5E5734}">
      <formula1>TODAY()</formula1>
    </dataValidation>
    <dataValidation type="list" allowBlank="1" showInputMessage="1" showErrorMessage="1" sqref="G16:G35" xr:uid="{013E9AA9-CE42-4BD4-9058-70C43FC45311}">
      <formula1>"Urgent, Stock, Breakdown, Normal"</formula1>
    </dataValidation>
    <dataValidation type="decimal" operator="greaterThan" allowBlank="1" showInputMessage="1" showErrorMessage="1" sqref="E16:E513 J16:K513" xr:uid="{EC928E2A-7157-463B-8C65-2847C6648FE1}">
      <formula1>0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23" r:id="rId4" name="chbox_postfacto">
          <controlPr defaultSize="0" autoLine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3" r:id="rId4" name="chbox_postfacto"/>
      </mc:Fallback>
    </mc:AlternateContent>
    <mc:AlternateContent xmlns:mc="http://schemas.openxmlformats.org/markup-compatibility/2006">
      <mc:Choice Requires="x14">
        <control shapeId="9222" r:id="rId6" name="chbox_rimses">
          <controlPr defaultSize="0" autoLine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6" name="chbox_rimses"/>
      </mc:Fallback>
    </mc:AlternateContent>
    <mc:AlternateContent xmlns:mc="http://schemas.openxmlformats.org/markup-compatibility/2006">
      <mc:Choice Requires="x14">
        <control shapeId="9221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800100</xdr:colOff>
                <xdr:row>7</xdr:row>
                <xdr:rowOff>0</xdr:rowOff>
              </to>
            </anchor>
          </controlPr>
        </control>
      </mc:Choice>
      <mc:Fallback>
        <control shapeId="9221" r:id="rId8" name="Chbox_Sourcing"/>
      </mc:Fallback>
    </mc:AlternateContent>
    <mc:AlternateContent xmlns:mc="http://schemas.openxmlformats.org/markup-compatibility/2006">
      <mc:Choice Requires="x14">
        <control shapeId="9220" r:id="rId10" name="btn_reset_line">
          <controlPr defaultSize="0" autoLine="0" r:id="rId11">
            <anchor moveWithCells="1">
              <from>
                <xdr:col>3</xdr:col>
                <xdr:colOff>266700</xdr:colOff>
                <xdr:row>11</xdr:row>
                <xdr:rowOff>19050</xdr:rowOff>
              </from>
              <to>
                <xdr:col>4</xdr:col>
                <xdr:colOff>571500</xdr:colOff>
                <xdr:row>11</xdr:row>
                <xdr:rowOff>304800</xdr:rowOff>
              </to>
            </anchor>
          </controlPr>
        </control>
      </mc:Choice>
      <mc:Fallback>
        <control shapeId="9220" r:id="rId10" name="btn_reset_line"/>
      </mc:Fallback>
    </mc:AlternateContent>
    <mc:AlternateContent xmlns:mc="http://schemas.openxmlformats.org/markup-compatibility/2006">
      <mc:Choice Requires="x14">
        <control shapeId="9219" r:id="rId12" name="btn_new_request">
          <controlPr defaultSize="0" autoLine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2</xdr:col>
                <xdr:colOff>723900</xdr:colOff>
                <xdr:row>11</xdr:row>
                <xdr:rowOff>285750</xdr:rowOff>
              </to>
            </anchor>
          </controlPr>
        </control>
      </mc:Choice>
      <mc:Fallback>
        <control shapeId="9219" r:id="rId12" name="btn_new_request"/>
      </mc:Fallback>
    </mc:AlternateContent>
    <mc:AlternateContent xmlns:mc="http://schemas.openxmlformats.org/markup-compatibility/2006">
      <mc:Choice Requires="x14">
        <control shapeId="9218" r:id="rId14" name="btn_submit_request">
          <controlPr defaultSize="0" autoLine="0" r:id="rId15">
            <anchor moveWithCells="1">
              <from>
                <xdr:col>4</xdr:col>
                <xdr:colOff>704850</xdr:colOff>
                <xdr:row>11</xdr:row>
                <xdr:rowOff>0</xdr:rowOff>
              </from>
              <to>
                <xdr:col>8</xdr:col>
                <xdr:colOff>38100</xdr:colOff>
                <xdr:row>11</xdr:row>
                <xdr:rowOff>314325</xdr:rowOff>
              </to>
            </anchor>
          </controlPr>
        </control>
      </mc:Choice>
      <mc:Fallback>
        <control shapeId="9218" r:id="rId14" name="btn_submit_request"/>
      </mc:Fallback>
    </mc:AlternateContent>
    <mc:AlternateContent xmlns:mc="http://schemas.openxmlformats.org/markup-compatibility/2006">
      <mc:Choice Requires="x14">
        <control shapeId="9217" r:id="rId16" name="chbox_workorder">
          <controlPr defaultSize="0" autoLine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7" r:id="rId16" name="chbox_workorder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D22"/>
  <sheetViews>
    <sheetView workbookViewId="0">
      <selection activeCell="G7" sqref="G7"/>
    </sheetView>
  </sheetViews>
  <sheetFormatPr defaultRowHeight="24.95" customHeight="1"/>
  <cols>
    <col min="1" max="1" width="24.7109375" bestFit="1" customWidth="1"/>
    <col min="2" max="2" width="25.7109375" customWidth="1"/>
    <col min="3" max="3" width="21.5703125" bestFit="1" customWidth="1"/>
    <col min="4" max="4" width="17" bestFit="1" customWidth="1"/>
  </cols>
  <sheetData>
    <row r="1" spans="1:4" ht="20.100000000000001" customHeight="1">
      <c r="A1" s="15" t="s">
        <v>52</v>
      </c>
      <c r="B1" s="15" t="s">
        <v>53</v>
      </c>
      <c r="C1" s="15" t="s">
        <v>54</v>
      </c>
      <c r="D1" s="15" t="s">
        <v>55</v>
      </c>
    </row>
    <row r="2" spans="1:4" ht="24.95" customHeight="1">
      <c r="A2" s="15" t="s">
        <v>56</v>
      </c>
      <c r="B2" s="15"/>
      <c r="C2" s="15" t="s">
        <v>57</v>
      </c>
      <c r="D2" s="15"/>
    </row>
    <row r="3" spans="1:4" ht="24.95" customHeight="1">
      <c r="A3" s="15" t="s">
        <v>5</v>
      </c>
      <c r="B3" s="15" t="s">
        <v>6</v>
      </c>
      <c r="C3" s="15" t="s">
        <v>58</v>
      </c>
      <c r="D3" s="15"/>
    </row>
    <row r="4" spans="1:4" ht="24.95" customHeight="1">
      <c r="A4" s="15" t="s">
        <v>7</v>
      </c>
      <c r="B4" s="15" t="s">
        <v>8</v>
      </c>
      <c r="C4" s="15" t="s">
        <v>59</v>
      </c>
      <c r="D4" s="15"/>
    </row>
    <row r="5" spans="1:4" ht="24.95" customHeight="1">
      <c r="A5" s="15" t="s">
        <v>9</v>
      </c>
      <c r="B5" s="15" t="s">
        <v>10</v>
      </c>
      <c r="C5" s="15" t="s">
        <v>60</v>
      </c>
      <c r="D5" s="15"/>
    </row>
    <row r="6" spans="1:4" ht="24.95" customHeight="1">
      <c r="A6" s="15" t="s">
        <v>11</v>
      </c>
      <c r="B6" s="15" t="s">
        <v>12</v>
      </c>
      <c r="C6" s="15" t="s">
        <v>61</v>
      </c>
      <c r="D6" s="15"/>
    </row>
    <row r="7" spans="1:4" ht="24.95" customHeight="1">
      <c r="A7" s="15" t="s">
        <v>62</v>
      </c>
      <c r="B7" s="35" t="b">
        <v>1</v>
      </c>
      <c r="C7" s="15"/>
      <c r="D7" s="15" t="s">
        <v>63</v>
      </c>
    </row>
    <row r="8" spans="1:4" ht="24.95" customHeight="1">
      <c r="A8" s="15" t="s">
        <v>64</v>
      </c>
      <c r="B8" s="35" t="b">
        <v>0</v>
      </c>
      <c r="C8" s="15"/>
      <c r="D8" s="15" t="s">
        <v>65</v>
      </c>
    </row>
    <row r="9" spans="1:4" ht="24.95" customHeight="1">
      <c r="A9" s="15" t="s">
        <v>66</v>
      </c>
      <c r="B9" s="35" t="b">
        <v>0</v>
      </c>
      <c r="C9" s="15"/>
      <c r="D9" s="15" t="s">
        <v>67</v>
      </c>
    </row>
    <row r="10" spans="1:4" ht="24.95" customHeight="1">
      <c r="A10" s="15" t="s">
        <v>68</v>
      </c>
      <c r="B10" s="35" t="b">
        <v>0</v>
      </c>
      <c r="C10" s="15"/>
      <c r="D10" s="15" t="s">
        <v>69</v>
      </c>
    </row>
    <row r="11" spans="1:4" ht="24.95" customHeight="1">
      <c r="A11" s="15" t="s">
        <v>70</v>
      </c>
      <c r="B11" s="15"/>
      <c r="C11" s="15" t="s">
        <v>71</v>
      </c>
      <c r="D11" s="15"/>
    </row>
    <row r="12" spans="1:4" ht="24.95" customHeight="1">
      <c r="A12" s="15" t="s">
        <v>72</v>
      </c>
      <c r="B12" s="15"/>
      <c r="C12" s="15" t="s">
        <v>73</v>
      </c>
      <c r="D12" s="15"/>
    </row>
    <row r="13" spans="1:4" ht="24.95" customHeight="1">
      <c r="A13" s="15" t="s">
        <v>16</v>
      </c>
      <c r="B13" s="15" t="s">
        <v>17</v>
      </c>
      <c r="C13" s="15" t="s">
        <v>74</v>
      </c>
      <c r="D13" s="15"/>
    </row>
    <row r="14" spans="1:4" ht="24.95" customHeight="1">
      <c r="A14" s="15" t="s">
        <v>20</v>
      </c>
      <c r="B14" s="15"/>
      <c r="C14" s="15" t="s">
        <v>75</v>
      </c>
      <c r="D14" s="15"/>
    </row>
    <row r="15" spans="1:4" ht="24.95" customHeight="1">
      <c r="A15" s="15" t="s">
        <v>76</v>
      </c>
      <c r="B15" s="15"/>
      <c r="C15" s="15" t="s">
        <v>77</v>
      </c>
      <c r="D15" s="15"/>
    </row>
    <row r="16" spans="1:4" ht="24.95" customHeight="1">
      <c r="A16" s="15" t="s">
        <v>13</v>
      </c>
      <c r="B16" s="37" t="s">
        <v>78</v>
      </c>
      <c r="C16" s="15" t="s">
        <v>79</v>
      </c>
      <c r="D16" s="15"/>
    </row>
    <row r="17" spans="1:4" ht="24.95" customHeight="1">
      <c r="A17" s="15" t="s">
        <v>80</v>
      </c>
      <c r="B17" s="15"/>
      <c r="C17" s="15" t="s">
        <v>81</v>
      </c>
      <c r="D17" s="15"/>
    </row>
    <row r="18" spans="1:4" ht="24.95" customHeight="1">
      <c r="A18" s="15" t="s">
        <v>3</v>
      </c>
      <c r="B18" s="15"/>
      <c r="C18" s="15" t="s">
        <v>82</v>
      </c>
      <c r="D18" s="15"/>
    </row>
    <row r="19" spans="1:4" ht="24.95" customHeight="1">
      <c r="A19" s="15" t="s">
        <v>83</v>
      </c>
      <c r="B19" s="15"/>
      <c r="C19" s="15" t="s">
        <v>84</v>
      </c>
      <c r="D19" s="15"/>
    </row>
    <row r="20" spans="1:4" ht="24.95" customHeight="1">
      <c r="A20" s="15" t="s">
        <v>85</v>
      </c>
      <c r="B20" s="15"/>
      <c r="C20" s="15" t="s">
        <v>86</v>
      </c>
      <c r="D20" s="15"/>
    </row>
    <row r="21" spans="1:4" ht="24.95" customHeight="1">
      <c r="A21" s="15" t="s">
        <v>87</v>
      </c>
      <c r="B21" s="15"/>
      <c r="C21" s="15" t="s">
        <v>88</v>
      </c>
      <c r="D21" s="15"/>
    </row>
    <row r="22" spans="1:4" ht="24.95" customHeight="1">
      <c r="A22" s="15" t="s">
        <v>89</v>
      </c>
      <c r="B22" s="15"/>
      <c r="C22" s="15" t="s">
        <v>90</v>
      </c>
      <c r="D22" s="15"/>
    </row>
  </sheetData>
  <dataValidations count="8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R_item_type</formula1>
    </dataValidation>
    <dataValidation type="list" allowBlank="1" showInputMessage="1" showErrorMessage="1" sqref="B5" xr:uid="{43BD38A9-D07D-4EC7-8745-C152EBB912B6}">
      <formula1>R_entity</formula1>
    </dataValidation>
    <dataValidation type="list" allowBlank="1" showInputMessage="1" showErrorMessage="1" sqref="B6" xr:uid="{81C88105-84B6-44CE-B282-3C61B6607A4E}">
      <formula1>R_bu</formula1>
    </dataValidation>
    <dataValidation type="list" allowBlank="1" showInputMessage="1" showErrorMessage="1" sqref="B12" xr:uid="{EF9DB690-AB75-4882-9BCC-55431C6CAFEC}">
      <formula1>R_location</formula1>
    </dataValidation>
    <dataValidation type="list" allowBlank="1" showInputMessage="1" showErrorMessage="1" sqref="B13" xr:uid="{6DFF2041-7AB6-447E-A65A-0F32837F1F47}">
      <formula1>R_requester_name</formula1>
    </dataValidation>
    <dataValidation type="list" allowBlank="1" showInputMessage="1" showErrorMessage="1" sqref="B14" xr:uid="{A9F4E422-0CDB-44F0-B9E3-35A995E49ADB}">
      <formula1>R_warehouse_rep_name</formula1>
    </dataValidation>
    <dataValidation type="list" allowBlank="1" showInputMessage="1" showErrorMessage="1" sqref="B11" xr:uid="{0C6A8636-62CD-4621-9130-D45985A4F994}">
      <formula1>R_projects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H508"/>
  <sheetViews>
    <sheetView zoomScaleNormal="100" workbookViewId="0">
      <selection activeCell="R1" sqref="R1:R1048576"/>
    </sheetView>
  </sheetViews>
  <sheetFormatPr defaultRowHeight="30" customHeight="1"/>
  <cols>
    <col min="1" max="1" width="16.140625" style="15" bestFit="1" customWidth="1"/>
    <col min="2" max="2" width="48.28515625" style="15" customWidth="1"/>
    <col min="3" max="3" width="15.42578125" style="15" bestFit="1" customWidth="1"/>
    <col min="4" max="4" width="22.5703125" style="15" bestFit="1" customWidth="1"/>
    <col min="5" max="5" width="6.28515625" style="15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7" width="60.85546875" bestFit="1" customWidth="1"/>
    <col min="18" max="18" width="41.28515625" bestFit="1" customWidth="1"/>
    <col min="19" max="19" width="24.85546875" customWidth="1"/>
    <col min="20" max="20" width="35.140625" bestFit="1" customWidth="1"/>
    <col min="21" max="21" width="15.42578125" style="17" bestFit="1" customWidth="1"/>
    <col min="22" max="22" width="25.28515625" style="17" bestFit="1" customWidth="1"/>
    <col min="23" max="24" width="28.140625" customWidth="1"/>
    <col min="25" max="25" width="14.5703125" style="15" bestFit="1" customWidth="1"/>
    <col min="26" max="26" width="16.28515625" style="15" customWidth="1"/>
    <col min="27" max="27" width="15.42578125" bestFit="1" customWidth="1"/>
    <col min="28" max="28" width="20.28515625" customWidth="1"/>
    <col min="29" max="30" width="20.28515625" style="15" customWidth="1"/>
    <col min="31" max="31" width="13.28515625" style="15" customWidth="1"/>
    <col min="32" max="32" width="18.85546875" style="15" bestFit="1" customWidth="1"/>
    <col min="33" max="33" width="27.42578125" style="15" customWidth="1"/>
    <col min="34" max="34" width="47.5703125" style="16" customWidth="1"/>
    <col min="35" max="35" width="30.42578125" style="15" bestFit="1" customWidth="1"/>
    <col min="36" max="36" width="7.140625" style="15" bestFit="1" customWidth="1"/>
    <col min="37" max="37" width="32.42578125" style="15" customWidth="1"/>
    <col min="38" max="16384" width="9.140625" style="15"/>
  </cols>
  <sheetData>
    <row r="1" spans="1:34" ht="30" customHeight="1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91</v>
      </c>
      <c r="G1" s="2" t="s">
        <v>92</v>
      </c>
      <c r="H1" s="3" t="s">
        <v>85</v>
      </c>
      <c r="I1" s="3" t="s">
        <v>93</v>
      </c>
      <c r="J1" s="3" t="s">
        <v>87</v>
      </c>
      <c r="K1" s="2" t="s">
        <v>94</v>
      </c>
      <c r="L1" s="4" t="s">
        <v>95</v>
      </c>
      <c r="M1" s="4" t="s">
        <v>96</v>
      </c>
      <c r="N1" s="4" t="s">
        <v>83</v>
      </c>
      <c r="O1" s="4" t="s">
        <v>97</v>
      </c>
      <c r="P1" s="4" t="s">
        <v>98</v>
      </c>
      <c r="Q1" s="4" t="s">
        <v>99</v>
      </c>
      <c r="R1" s="4" t="s">
        <v>100</v>
      </c>
      <c r="S1" s="5" t="s">
        <v>16</v>
      </c>
      <c r="T1" s="5" t="s">
        <v>101</v>
      </c>
      <c r="U1" s="4" t="s">
        <v>102</v>
      </c>
      <c r="V1" s="4" t="s">
        <v>103</v>
      </c>
      <c r="W1" s="2" t="s">
        <v>104</v>
      </c>
      <c r="X1" s="3" t="s">
        <v>105</v>
      </c>
      <c r="Y1" s="2" t="s">
        <v>19</v>
      </c>
      <c r="AA1" s="15"/>
      <c r="AB1" s="15"/>
      <c r="AC1" s="16"/>
      <c r="AH1" s="15"/>
    </row>
    <row r="2" spans="1:34" ht="30" customHeight="1">
      <c r="A2" s="63"/>
      <c r="B2" s="64"/>
      <c r="C2" s="65"/>
      <c r="D2" s="65"/>
      <c r="E2" s="66"/>
      <c r="F2" s="65"/>
      <c r="G2" s="65"/>
      <c r="H2" s="67"/>
      <c r="I2" s="64"/>
      <c r="J2" s="64"/>
      <c r="K2" s="68"/>
      <c r="L2" s="69"/>
      <c r="M2" s="69"/>
      <c r="N2" s="69"/>
      <c r="O2" s="69"/>
      <c r="P2" s="69"/>
      <c r="Q2" s="69"/>
      <c r="R2" s="69"/>
      <c r="S2" s="70"/>
      <c r="T2" s="70"/>
      <c r="U2" s="70"/>
      <c r="V2" s="71"/>
      <c r="W2" s="70"/>
      <c r="X2" s="72"/>
      <c r="Y2" s="73"/>
      <c r="AA2" s="15"/>
      <c r="AB2" s="15"/>
      <c r="AC2" s="16"/>
      <c r="AH2" s="15"/>
    </row>
    <row r="3" spans="1:34" ht="30" customHeight="1"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V3" s="26"/>
      <c r="W3" s="15"/>
      <c r="X3" s="16"/>
    </row>
    <row r="4" spans="1:34" ht="30" customHeight="1"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W4" s="15"/>
      <c r="X4" s="17"/>
    </row>
    <row r="5" spans="1:34" ht="30" customHeight="1"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W5" s="15"/>
      <c r="X5" s="15"/>
    </row>
    <row r="6" spans="1:34" ht="30" customHeight="1"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/>
      <c r="X6" s="15"/>
    </row>
    <row r="7" spans="1:34" ht="30" customHeight="1"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/>
      <c r="X7" s="15"/>
    </row>
    <row r="8" spans="1:34" ht="30" customHeight="1"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/>
      <c r="X8" s="15"/>
    </row>
    <row r="9" spans="1:34" ht="30" customHeight="1"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W9" s="15"/>
      <c r="X9" s="15"/>
    </row>
    <row r="10" spans="1:34" ht="30" customHeight="1"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W10" s="15"/>
      <c r="X10" s="15"/>
    </row>
    <row r="11" spans="1:34" ht="30" customHeight="1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W11" s="15"/>
      <c r="X11" s="15"/>
    </row>
    <row r="12" spans="1:34" ht="30" customHeight="1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W12" s="15"/>
      <c r="X12" s="15"/>
    </row>
    <row r="13" spans="1:34" ht="30" customHeight="1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W13" s="15"/>
      <c r="X13" s="15"/>
    </row>
    <row r="14" spans="1:34" ht="30" customHeight="1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W14" s="15"/>
      <c r="X14" s="15"/>
    </row>
    <row r="15" spans="1:34" ht="30" customHeight="1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W15" s="15"/>
      <c r="X15" s="15"/>
    </row>
    <row r="16" spans="1:34" ht="30" customHeight="1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W16" s="15"/>
      <c r="X16" s="15"/>
    </row>
    <row r="17" spans="6:24" ht="30" customHeight="1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W17" s="15"/>
      <c r="X17" s="15"/>
    </row>
    <row r="18" spans="6:24" ht="30" customHeight="1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W18" s="15"/>
      <c r="X18" s="15"/>
    </row>
    <row r="19" spans="6:24" ht="30" customHeight="1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W19" s="15"/>
      <c r="X19" s="15"/>
    </row>
    <row r="20" spans="6:24" ht="30" customHeight="1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W20" s="15"/>
      <c r="X20" s="15"/>
    </row>
    <row r="21" spans="6:24" ht="30" customHeight="1"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W21" s="15"/>
      <c r="X21" s="15"/>
    </row>
    <row r="22" spans="6:24" ht="30" customHeight="1"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W22" s="15"/>
      <c r="X22" s="15"/>
    </row>
    <row r="23" spans="6:24" ht="30" customHeight="1"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5"/>
      <c r="X23" s="15"/>
    </row>
    <row r="24" spans="6:24" ht="30" customHeight="1"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5"/>
      <c r="X24" s="15"/>
    </row>
    <row r="25" spans="6:24" ht="30" customHeight="1"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W25" s="15"/>
      <c r="X25" s="15"/>
    </row>
    <row r="26" spans="6:24" ht="30" customHeight="1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W26" s="15"/>
      <c r="X26" s="15"/>
    </row>
    <row r="27" spans="6:24" ht="30" customHeight="1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W27" s="15"/>
      <c r="X27" s="15"/>
    </row>
    <row r="28" spans="6:24" ht="30" customHeight="1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W28" s="15"/>
      <c r="X28" s="15"/>
    </row>
    <row r="29" spans="6:24" ht="30" customHeight="1"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W29" s="15"/>
      <c r="X29" s="15"/>
    </row>
    <row r="30" spans="6:24" ht="30" customHeight="1"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W30" s="15"/>
      <c r="X30" s="15"/>
    </row>
    <row r="31" spans="6:24" ht="30" customHeight="1"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W31" s="15"/>
      <c r="X31" s="15"/>
    </row>
    <row r="32" spans="6:24" ht="30" customHeight="1"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W32" s="15"/>
      <c r="X32" s="15"/>
    </row>
    <row r="33" spans="6:24" ht="30" customHeight="1"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W33" s="15"/>
      <c r="X33" s="15"/>
    </row>
    <row r="34" spans="6:24" ht="30" customHeight="1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W34" s="15"/>
      <c r="X34" s="15"/>
    </row>
    <row r="35" spans="6:24" ht="30" customHeight="1"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W35" s="15"/>
      <c r="X35" s="15"/>
    </row>
    <row r="36" spans="6:24" ht="30" customHeight="1"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W36" s="15"/>
      <c r="X36" s="15"/>
    </row>
    <row r="37" spans="6:24" ht="30" customHeight="1"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W37" s="15"/>
      <c r="X37" s="15"/>
    </row>
    <row r="38" spans="6:24" ht="30" customHeight="1"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W38" s="15"/>
      <c r="X38" s="15"/>
    </row>
    <row r="39" spans="6:24" ht="30" customHeight="1"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W39" s="15"/>
      <c r="X39" s="15"/>
    </row>
    <row r="40" spans="6:24" ht="30" customHeight="1"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W40" s="15"/>
      <c r="X40" s="15"/>
    </row>
    <row r="41" spans="6:24" ht="30" customHeight="1"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W41" s="15"/>
      <c r="X41" s="15"/>
    </row>
    <row r="42" spans="6:24" ht="30" customHeight="1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W42" s="15"/>
      <c r="X42" s="15"/>
    </row>
    <row r="43" spans="6:24" ht="30" customHeight="1"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W43" s="15"/>
      <c r="X43" s="15"/>
    </row>
    <row r="44" spans="6:24" ht="30" customHeight="1"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W44" s="15"/>
      <c r="X44" s="15"/>
    </row>
    <row r="45" spans="6:24" ht="30" customHeight="1"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W45" s="15"/>
      <c r="X45" s="15"/>
    </row>
    <row r="46" spans="6:24" ht="30" customHeight="1"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W46" s="15"/>
      <c r="X46" s="15"/>
    </row>
    <row r="47" spans="6:24" ht="30" customHeight="1"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W47" s="15"/>
      <c r="X47" s="15"/>
    </row>
    <row r="48" spans="6:24" ht="30" customHeight="1"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W48" s="15"/>
      <c r="X48" s="15"/>
    </row>
    <row r="49" spans="6:24" ht="30" customHeight="1"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W49" s="15"/>
      <c r="X49" s="15"/>
    </row>
    <row r="50" spans="6:24" ht="30" customHeight="1"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W50" s="15"/>
      <c r="X50" s="15"/>
    </row>
    <row r="51" spans="6:24" ht="30" customHeight="1"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W51" s="15"/>
      <c r="X51" s="15"/>
    </row>
    <row r="52" spans="6:24" ht="30" customHeight="1"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W52" s="15"/>
      <c r="X52" s="15"/>
    </row>
    <row r="53" spans="6:24" ht="30" customHeight="1"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W53" s="15"/>
      <c r="X53" s="15"/>
    </row>
    <row r="54" spans="6:24" ht="30" customHeight="1"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W54" s="15"/>
      <c r="X54" s="15"/>
    </row>
    <row r="55" spans="6:24" ht="30" customHeight="1"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W55" s="15"/>
      <c r="X55" s="15"/>
    </row>
    <row r="56" spans="6:24" ht="30" customHeight="1"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W56" s="15"/>
      <c r="X56" s="15"/>
    </row>
    <row r="57" spans="6:24" ht="30" customHeight="1"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W57" s="15"/>
      <c r="X57" s="15"/>
    </row>
    <row r="58" spans="6:24" ht="30" customHeight="1"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W58" s="15"/>
      <c r="X58" s="15"/>
    </row>
    <row r="59" spans="6:24" ht="30" customHeight="1"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W59" s="15"/>
      <c r="X59" s="15"/>
    </row>
    <row r="60" spans="6:24" ht="30" customHeight="1"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W60" s="15"/>
      <c r="X60" s="15"/>
    </row>
    <row r="61" spans="6:24" ht="30" customHeight="1"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W61" s="15"/>
      <c r="X61" s="15"/>
    </row>
    <row r="62" spans="6:24" ht="30" customHeight="1"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W62" s="15"/>
      <c r="X62" s="15"/>
    </row>
    <row r="63" spans="6:24" ht="30" customHeight="1"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W63" s="15"/>
      <c r="X63" s="15"/>
    </row>
    <row r="64" spans="6:24" ht="30" customHeight="1"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W64" s="15"/>
      <c r="X64" s="15"/>
    </row>
    <row r="65" spans="6:24" ht="30" customHeight="1"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W65" s="15"/>
      <c r="X65" s="15"/>
    </row>
    <row r="66" spans="6:24" ht="30" customHeight="1"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W66" s="15"/>
      <c r="X66" s="15"/>
    </row>
    <row r="67" spans="6:24" ht="30" customHeight="1"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W67" s="15"/>
      <c r="X67" s="15"/>
    </row>
    <row r="68" spans="6:24" ht="30" customHeight="1"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W68" s="15"/>
      <c r="X68" s="15"/>
    </row>
    <row r="69" spans="6:24" ht="30" customHeight="1"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W69" s="15"/>
      <c r="X69" s="15"/>
    </row>
    <row r="70" spans="6:24" ht="30" customHeight="1"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W70" s="15"/>
      <c r="X70" s="15"/>
    </row>
    <row r="71" spans="6:24" ht="30" customHeight="1"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W71" s="15"/>
      <c r="X71" s="15"/>
    </row>
    <row r="72" spans="6:24" ht="30" customHeight="1"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W72" s="15"/>
      <c r="X72" s="15"/>
    </row>
    <row r="73" spans="6:24" ht="30" customHeight="1"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W73" s="15"/>
      <c r="X73" s="15"/>
    </row>
    <row r="74" spans="6:24" ht="30" customHeight="1"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W74" s="15"/>
      <c r="X74" s="15"/>
    </row>
    <row r="75" spans="6:24" ht="30" customHeight="1"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W75" s="15"/>
      <c r="X75" s="15"/>
    </row>
    <row r="76" spans="6:24" ht="30" customHeight="1"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W76" s="15"/>
      <c r="X76" s="15"/>
    </row>
    <row r="77" spans="6:24" ht="30" customHeight="1"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W77" s="15"/>
      <c r="X77" s="15"/>
    </row>
    <row r="78" spans="6:24" ht="30" customHeight="1"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W78" s="15"/>
      <c r="X78" s="15"/>
    </row>
    <row r="79" spans="6:24" ht="30" customHeight="1"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W79" s="15"/>
      <c r="X79" s="15"/>
    </row>
    <row r="80" spans="6:24" ht="30" customHeigh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W80" s="15"/>
      <c r="X80" s="15"/>
    </row>
    <row r="81" spans="6:24" ht="30" customHeigh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W81" s="15"/>
      <c r="X81" s="15"/>
    </row>
    <row r="82" spans="6:24" ht="30" customHeight="1"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W82" s="15"/>
      <c r="X82" s="15"/>
    </row>
    <row r="83" spans="6:24" ht="30" customHeight="1"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W83" s="15"/>
      <c r="X83" s="15"/>
    </row>
    <row r="84" spans="6:24" ht="30" customHeight="1"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W84" s="15"/>
      <c r="X84" s="15"/>
    </row>
    <row r="85" spans="6:24" ht="30" customHeight="1"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W85" s="15"/>
      <c r="X85" s="15"/>
    </row>
    <row r="86" spans="6:24" ht="30" customHeight="1"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W86" s="15"/>
      <c r="X86" s="15"/>
    </row>
    <row r="87" spans="6:24" ht="30" customHeight="1"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W87" s="15"/>
      <c r="X87" s="15"/>
    </row>
    <row r="88" spans="6:24" ht="30" customHeight="1"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W88" s="15"/>
      <c r="X88" s="15"/>
    </row>
    <row r="89" spans="6:24" ht="30" customHeight="1"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W89" s="15"/>
      <c r="X89" s="15"/>
    </row>
    <row r="90" spans="6:24" ht="30" customHeight="1"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W90" s="15"/>
      <c r="X90" s="15"/>
    </row>
    <row r="91" spans="6:24" ht="30" customHeight="1"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W91" s="15"/>
      <c r="X91" s="15"/>
    </row>
    <row r="92" spans="6:24" ht="30" customHeight="1"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W92" s="15"/>
      <c r="X92" s="15"/>
    </row>
    <row r="93" spans="6:24" ht="30" customHeight="1"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W93" s="15"/>
      <c r="X93" s="15"/>
    </row>
    <row r="94" spans="6:24" ht="30" customHeight="1"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W94" s="15"/>
      <c r="X94" s="15"/>
    </row>
    <row r="95" spans="6:24" ht="30" customHeight="1"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W95" s="15"/>
      <c r="X95" s="15"/>
    </row>
    <row r="96" spans="6:24" ht="30" customHeight="1"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W96" s="15"/>
      <c r="X96" s="15"/>
    </row>
    <row r="97" spans="6:24" ht="30" customHeight="1"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W97" s="15"/>
      <c r="X97" s="15"/>
    </row>
    <row r="98" spans="6:24" ht="30" customHeight="1"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W98" s="15"/>
      <c r="X98" s="15"/>
    </row>
    <row r="99" spans="6:24" ht="30" customHeight="1"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W99" s="15"/>
      <c r="X99" s="15"/>
    </row>
    <row r="100" spans="6:24" ht="30" customHeight="1"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W100" s="15"/>
      <c r="X100" s="15"/>
    </row>
    <row r="101" spans="6:24" ht="30" customHeight="1"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W101" s="15"/>
      <c r="X101" s="15"/>
    </row>
    <row r="102" spans="6:24" ht="30" customHeight="1"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W102" s="15"/>
      <c r="X102" s="15"/>
    </row>
    <row r="103" spans="6:24" ht="30" customHeight="1"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W103" s="15"/>
      <c r="X103" s="15"/>
    </row>
    <row r="104" spans="6:24" ht="30" customHeight="1"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W104" s="15"/>
      <c r="X104" s="15"/>
    </row>
    <row r="105" spans="6:24" ht="30" customHeight="1"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W105" s="15"/>
      <c r="X105" s="15"/>
    </row>
    <row r="106" spans="6:24" ht="30" customHeight="1"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W106" s="15"/>
      <c r="X106" s="15"/>
    </row>
    <row r="107" spans="6:24" ht="30" customHeight="1"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W107" s="15"/>
      <c r="X107" s="15"/>
    </row>
    <row r="108" spans="6:24" ht="30" customHeight="1"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W108" s="15"/>
      <c r="X108" s="15"/>
    </row>
    <row r="109" spans="6:24" ht="30" customHeight="1"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W109" s="15"/>
      <c r="X109" s="15"/>
    </row>
    <row r="110" spans="6:24" ht="30" customHeight="1"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W110" s="15"/>
      <c r="X110" s="15"/>
    </row>
    <row r="111" spans="6:24" ht="30" customHeight="1"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W111" s="15"/>
      <c r="X111" s="15"/>
    </row>
    <row r="112" spans="6:24" ht="30" customHeight="1"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W112" s="15"/>
      <c r="X112" s="15"/>
    </row>
    <row r="113" spans="6:24" ht="30" customHeight="1"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W113" s="15"/>
      <c r="X113" s="15"/>
    </row>
    <row r="114" spans="6:24" ht="30" customHeight="1"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W114" s="15"/>
      <c r="X114" s="15"/>
    </row>
    <row r="115" spans="6:24" ht="30" customHeight="1"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W115" s="15"/>
      <c r="X115" s="15"/>
    </row>
    <row r="116" spans="6:24" ht="30" customHeight="1"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W116" s="15"/>
      <c r="X116" s="15"/>
    </row>
    <row r="117" spans="6:24" ht="30" customHeight="1"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W117" s="15"/>
      <c r="X117" s="15"/>
    </row>
    <row r="118" spans="6:24" ht="30" customHeight="1"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W118" s="15"/>
      <c r="X118" s="15"/>
    </row>
    <row r="119" spans="6:24" ht="30" customHeight="1"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W119" s="15"/>
      <c r="X119" s="15"/>
    </row>
    <row r="120" spans="6:24" ht="30" customHeight="1"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W120" s="15"/>
      <c r="X120" s="15"/>
    </row>
    <row r="121" spans="6:24" ht="30" customHeight="1"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W121" s="15"/>
      <c r="X121" s="15"/>
    </row>
    <row r="122" spans="6:24" ht="30" customHeight="1"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W122" s="15"/>
      <c r="X122" s="15"/>
    </row>
    <row r="123" spans="6:24" ht="30" customHeight="1"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W123" s="15"/>
      <c r="X123" s="15"/>
    </row>
    <row r="124" spans="6:24" ht="30" customHeight="1"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W124" s="15"/>
      <c r="X124" s="15"/>
    </row>
    <row r="125" spans="6:24" ht="30" customHeight="1"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W125" s="15"/>
      <c r="X125" s="15"/>
    </row>
    <row r="126" spans="6:24" ht="30" customHeight="1"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W126" s="15"/>
      <c r="X126" s="15"/>
    </row>
    <row r="127" spans="6:24" ht="30" customHeight="1"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W127" s="15"/>
      <c r="X127" s="15"/>
    </row>
    <row r="128" spans="6:24" ht="30" customHeight="1"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W128" s="15"/>
      <c r="X128" s="15"/>
    </row>
    <row r="129" spans="6:24" ht="30" customHeight="1"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W129" s="15"/>
      <c r="X129" s="15"/>
    </row>
    <row r="130" spans="6:24" ht="30" customHeight="1"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W130" s="15"/>
      <c r="X130" s="15"/>
    </row>
    <row r="131" spans="6:24" ht="30" customHeight="1"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W131" s="15"/>
      <c r="X131" s="15"/>
    </row>
    <row r="132" spans="6:24" ht="30" customHeight="1"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W132" s="15"/>
      <c r="X132" s="15"/>
    </row>
    <row r="133" spans="6:24" ht="30" customHeight="1"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W133" s="15"/>
      <c r="X133" s="15"/>
    </row>
    <row r="134" spans="6:24" ht="30" customHeight="1"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W134" s="15"/>
      <c r="X134" s="15"/>
    </row>
    <row r="135" spans="6:24" ht="30" customHeight="1"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W135" s="15"/>
      <c r="X135" s="15"/>
    </row>
    <row r="136" spans="6:24" ht="30" customHeight="1"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W136" s="15"/>
      <c r="X136" s="15"/>
    </row>
    <row r="137" spans="6:24" ht="30" customHeight="1"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W137" s="15"/>
      <c r="X137" s="15"/>
    </row>
    <row r="138" spans="6:24" ht="30" customHeight="1"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W138" s="15"/>
      <c r="X138" s="15"/>
    </row>
    <row r="139" spans="6:24" ht="30" customHeight="1"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W139" s="15"/>
      <c r="X139" s="15"/>
    </row>
    <row r="140" spans="6:24" ht="30" customHeight="1"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W140" s="15"/>
      <c r="X140" s="15"/>
    </row>
    <row r="141" spans="6:24" ht="30" customHeight="1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W141" s="15"/>
      <c r="X141" s="15"/>
    </row>
    <row r="142" spans="6:24" ht="30" customHeight="1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W142" s="15"/>
      <c r="X142" s="15"/>
    </row>
    <row r="143" spans="6:24" ht="30" customHeight="1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W143" s="15"/>
      <c r="X143" s="15"/>
    </row>
    <row r="144" spans="6:24" ht="30" customHeight="1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W144" s="15"/>
      <c r="X144" s="15"/>
    </row>
    <row r="145" spans="6:24" ht="30" customHeight="1"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W145" s="15"/>
      <c r="X145" s="15"/>
    </row>
    <row r="146" spans="6:24" ht="30" customHeight="1"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W146" s="15"/>
      <c r="X146" s="15"/>
    </row>
    <row r="147" spans="6:24" ht="30" customHeight="1"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W147" s="15"/>
      <c r="X147" s="15"/>
    </row>
    <row r="148" spans="6:24" ht="30" customHeight="1"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W148" s="15"/>
      <c r="X148" s="15"/>
    </row>
    <row r="149" spans="6:24" ht="30" customHeight="1"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W149" s="15"/>
      <c r="X149" s="15"/>
    </row>
    <row r="150" spans="6:24" ht="30" customHeight="1"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W150" s="15"/>
      <c r="X150" s="15"/>
    </row>
    <row r="151" spans="6:24" ht="30" customHeight="1"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W151" s="15"/>
      <c r="X151" s="15"/>
    </row>
    <row r="152" spans="6:24" ht="30" customHeight="1"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W152" s="15"/>
      <c r="X152" s="15"/>
    </row>
    <row r="153" spans="6:24" ht="30" customHeight="1"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W153" s="15"/>
      <c r="X153" s="15"/>
    </row>
    <row r="154" spans="6:24" ht="30" customHeight="1"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W154" s="15"/>
      <c r="X154" s="15"/>
    </row>
    <row r="155" spans="6:24" ht="30" customHeight="1"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W155" s="15"/>
      <c r="X155" s="15"/>
    </row>
    <row r="156" spans="6:24" ht="30" customHeight="1"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W156" s="15"/>
      <c r="X156" s="15"/>
    </row>
    <row r="157" spans="6:24" ht="30" customHeight="1"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W157" s="15"/>
      <c r="X157" s="15"/>
    </row>
    <row r="158" spans="6:24" ht="30" customHeight="1"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W158" s="15"/>
      <c r="X158" s="15"/>
    </row>
    <row r="159" spans="6:24" ht="30" customHeight="1"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W159" s="15"/>
      <c r="X159" s="15"/>
    </row>
    <row r="160" spans="6:24" ht="30" customHeight="1"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W160" s="15"/>
      <c r="X160" s="15"/>
    </row>
    <row r="161" spans="6:24" ht="30" customHeight="1"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W161" s="15"/>
      <c r="X161" s="15"/>
    </row>
    <row r="162" spans="6:24" ht="30" customHeight="1"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W162" s="15"/>
      <c r="X162" s="15"/>
    </row>
    <row r="163" spans="6:24" ht="30" customHeight="1"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W163" s="15"/>
      <c r="X163" s="15"/>
    </row>
    <row r="164" spans="6:24" ht="30" customHeight="1"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W164" s="15"/>
      <c r="X164" s="15"/>
    </row>
    <row r="165" spans="6:24" ht="30" customHeight="1"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W165" s="15"/>
      <c r="X165" s="15"/>
    </row>
    <row r="166" spans="6:24" ht="30" customHeight="1"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W166" s="15"/>
      <c r="X166" s="15"/>
    </row>
    <row r="167" spans="6:24" ht="30" customHeight="1"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W167" s="15"/>
      <c r="X167" s="15"/>
    </row>
    <row r="168" spans="6:24" ht="30" customHeight="1"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W168" s="15"/>
      <c r="X168" s="15"/>
    </row>
    <row r="169" spans="6:24" ht="30" customHeight="1"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W169" s="15"/>
      <c r="X169" s="15"/>
    </row>
    <row r="170" spans="6:24" ht="30" customHeight="1"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W170" s="15"/>
      <c r="X170" s="15"/>
    </row>
    <row r="171" spans="6:24" ht="30" customHeight="1"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W171" s="15"/>
      <c r="X171" s="15"/>
    </row>
    <row r="172" spans="6:24" ht="30" customHeight="1"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W172" s="15"/>
      <c r="X172" s="15"/>
    </row>
    <row r="173" spans="6:24" ht="30" customHeight="1"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W173" s="15"/>
      <c r="X173" s="15"/>
    </row>
    <row r="174" spans="6:24" ht="30" customHeight="1"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W174" s="15"/>
      <c r="X174" s="15"/>
    </row>
    <row r="175" spans="6:24" ht="30" customHeight="1"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W175" s="15"/>
      <c r="X175" s="15"/>
    </row>
    <row r="176" spans="6:24" ht="30" customHeight="1"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W176" s="15"/>
      <c r="X176" s="15"/>
    </row>
    <row r="177" spans="6:24" ht="30" customHeight="1"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W177" s="15"/>
      <c r="X177" s="15"/>
    </row>
    <row r="178" spans="6:24" ht="30" customHeight="1"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W178" s="15"/>
      <c r="X178" s="15"/>
    </row>
    <row r="179" spans="6:24" ht="30" customHeight="1"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W179" s="15"/>
      <c r="X179" s="15"/>
    </row>
    <row r="180" spans="6:24" ht="30" customHeight="1"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W180" s="15"/>
      <c r="X180" s="15"/>
    </row>
    <row r="181" spans="6:24" ht="30" customHeight="1"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W181" s="15"/>
      <c r="X181" s="15"/>
    </row>
    <row r="182" spans="6:24" ht="30" customHeight="1"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W182" s="15"/>
      <c r="X182" s="15"/>
    </row>
    <row r="183" spans="6:24" ht="30" customHeight="1"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W183" s="15"/>
      <c r="X183" s="15"/>
    </row>
    <row r="184" spans="6:24" ht="30" customHeight="1"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W184" s="15"/>
      <c r="X184" s="15"/>
    </row>
    <row r="185" spans="6:24" ht="30" customHeight="1"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W185" s="15"/>
      <c r="X185" s="15"/>
    </row>
    <row r="186" spans="6:24" ht="30" customHeight="1"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W186" s="15"/>
      <c r="X186" s="15"/>
    </row>
    <row r="187" spans="6:24" ht="30" customHeight="1"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W187" s="15"/>
      <c r="X187" s="15"/>
    </row>
    <row r="188" spans="6:24" ht="30" customHeight="1"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W188" s="15"/>
      <c r="X188" s="15"/>
    </row>
    <row r="189" spans="6:24" ht="30" customHeight="1"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W189" s="15"/>
      <c r="X189" s="15"/>
    </row>
    <row r="190" spans="6:24" ht="30" customHeight="1"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W190" s="15"/>
      <c r="X190" s="15"/>
    </row>
    <row r="191" spans="6:24" ht="30" customHeight="1"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W191" s="15"/>
      <c r="X191" s="15"/>
    </row>
    <row r="192" spans="6:24" ht="30" customHeight="1"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W192" s="15"/>
      <c r="X192" s="15"/>
    </row>
    <row r="193" spans="6:24" ht="30" customHeight="1"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W193" s="15"/>
      <c r="X193" s="15"/>
    </row>
    <row r="194" spans="6:24" ht="30" customHeight="1"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W194" s="15"/>
      <c r="X194" s="15"/>
    </row>
    <row r="195" spans="6:24" ht="30" customHeight="1"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W195" s="15"/>
      <c r="X195" s="15"/>
    </row>
    <row r="196" spans="6:24" ht="30" customHeight="1"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W196" s="15"/>
      <c r="X196" s="15"/>
    </row>
    <row r="197" spans="6:24" ht="30" customHeight="1"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W197" s="15"/>
      <c r="X197" s="15"/>
    </row>
    <row r="198" spans="6:24" ht="30" customHeight="1"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W198" s="15"/>
      <c r="X198" s="15"/>
    </row>
    <row r="199" spans="6:24" ht="30" customHeight="1"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W199" s="15"/>
      <c r="X199" s="15"/>
    </row>
    <row r="200" spans="6:24" ht="30" customHeight="1"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W200" s="15"/>
      <c r="X200" s="15"/>
    </row>
    <row r="201" spans="6:24" ht="30" customHeight="1"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W201" s="15"/>
      <c r="X201" s="15"/>
    </row>
    <row r="202" spans="6:24" ht="30" customHeight="1"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W202" s="15"/>
      <c r="X202" s="15"/>
    </row>
    <row r="203" spans="6:24" ht="30" customHeight="1"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W203" s="15"/>
      <c r="X203" s="15"/>
    </row>
    <row r="204" spans="6:24" ht="30" customHeight="1"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W204" s="15"/>
      <c r="X204" s="15"/>
    </row>
    <row r="205" spans="6:24" ht="30" customHeight="1"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W205" s="15"/>
      <c r="X205" s="15"/>
    </row>
    <row r="206" spans="6:24" ht="30" customHeight="1"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W206" s="15"/>
      <c r="X206" s="15"/>
    </row>
    <row r="207" spans="6:24" ht="30" customHeight="1"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W207" s="15"/>
      <c r="X207" s="15"/>
    </row>
    <row r="208" spans="6:24" ht="30" customHeight="1"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W208" s="15"/>
      <c r="X208" s="15"/>
    </row>
    <row r="209" spans="6:24" ht="30" customHeight="1"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W209" s="15"/>
      <c r="X209" s="15"/>
    </row>
    <row r="210" spans="6:24" ht="30" customHeight="1"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W210" s="15"/>
      <c r="X210" s="15"/>
    </row>
    <row r="211" spans="6:24" ht="30" customHeight="1"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W211" s="15"/>
      <c r="X211" s="15"/>
    </row>
    <row r="212" spans="6:24" ht="30" customHeight="1"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W212" s="15"/>
      <c r="X212" s="15"/>
    </row>
    <row r="213" spans="6:24" ht="30" customHeight="1"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W213" s="15"/>
      <c r="X213" s="15"/>
    </row>
    <row r="214" spans="6:24" ht="30" customHeight="1"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W214" s="15"/>
      <c r="X214" s="15"/>
    </row>
    <row r="215" spans="6:24" ht="30" customHeight="1"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W215" s="15"/>
      <c r="X215" s="15"/>
    </row>
    <row r="216" spans="6:24" ht="30" customHeight="1"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W216" s="15"/>
      <c r="X216" s="15"/>
    </row>
    <row r="217" spans="6:24" ht="30" customHeight="1"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W217" s="15"/>
      <c r="X217" s="15"/>
    </row>
    <row r="218" spans="6:24" ht="30" customHeight="1"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W218" s="15"/>
      <c r="X218" s="15"/>
    </row>
    <row r="219" spans="6:24" ht="30" customHeight="1"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W219" s="15"/>
      <c r="X219" s="15"/>
    </row>
    <row r="220" spans="6:24" ht="30" customHeight="1"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W220" s="15"/>
      <c r="X220" s="15"/>
    </row>
    <row r="221" spans="6:24" ht="30" customHeight="1"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W221" s="15"/>
      <c r="X221" s="15"/>
    </row>
    <row r="222" spans="6:24" ht="30" customHeight="1"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W222" s="15"/>
      <c r="X222" s="15"/>
    </row>
    <row r="223" spans="6:24" ht="30" customHeight="1"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W223" s="15"/>
      <c r="X223" s="15"/>
    </row>
    <row r="224" spans="6:24" ht="30" customHeight="1"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W224" s="15"/>
      <c r="X224" s="15"/>
    </row>
    <row r="225" spans="6:24" ht="30" customHeight="1"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W225" s="15"/>
      <c r="X225" s="15"/>
    </row>
    <row r="226" spans="6:24" ht="30" customHeight="1"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W226" s="15"/>
      <c r="X226" s="15"/>
    </row>
    <row r="227" spans="6:24" ht="30" customHeight="1"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W227" s="15"/>
      <c r="X227" s="15"/>
    </row>
    <row r="228" spans="6:24" ht="30" customHeight="1"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W228" s="15"/>
      <c r="X228" s="15"/>
    </row>
    <row r="229" spans="6:24" ht="30" customHeight="1"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W229" s="15"/>
      <c r="X229" s="15"/>
    </row>
    <row r="230" spans="6:24" ht="30" customHeight="1"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W230" s="15"/>
      <c r="X230" s="15"/>
    </row>
    <row r="231" spans="6:24" ht="30" customHeight="1"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W231" s="15"/>
      <c r="X231" s="15"/>
    </row>
    <row r="232" spans="6:24" ht="30" customHeight="1"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W232" s="15"/>
      <c r="X232" s="15"/>
    </row>
    <row r="233" spans="6:24" ht="30" customHeight="1"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W233" s="15"/>
      <c r="X233" s="15"/>
    </row>
    <row r="234" spans="6:24" ht="30" customHeight="1"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W234" s="15"/>
      <c r="X234" s="15"/>
    </row>
    <row r="235" spans="6:24" ht="30" customHeight="1"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W235" s="15"/>
      <c r="X235" s="15"/>
    </row>
    <row r="236" spans="6:24" ht="30" customHeight="1"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W236" s="15"/>
      <c r="X236" s="15"/>
    </row>
    <row r="237" spans="6:24" ht="30" customHeight="1"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W237" s="15"/>
      <c r="X237" s="15"/>
    </row>
    <row r="238" spans="6:24" ht="30" customHeight="1"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W238" s="15"/>
      <c r="X238" s="15"/>
    </row>
    <row r="239" spans="6:24" ht="30" customHeight="1"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W239" s="15"/>
      <c r="X239" s="15"/>
    </row>
    <row r="240" spans="6:24" ht="30" customHeight="1"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W240" s="15"/>
      <c r="X240" s="15"/>
    </row>
    <row r="241" spans="6:24" ht="30" customHeight="1"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W241" s="15"/>
      <c r="X241" s="15"/>
    </row>
    <row r="242" spans="6:24" ht="30" customHeight="1"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W242" s="15"/>
      <c r="X242" s="15"/>
    </row>
    <row r="243" spans="6:24" ht="30" customHeight="1"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W243" s="15"/>
      <c r="X243" s="15"/>
    </row>
    <row r="244" spans="6:24" ht="30" customHeight="1"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W244" s="15"/>
      <c r="X244" s="15"/>
    </row>
    <row r="245" spans="6:24" ht="30" customHeight="1"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W245" s="15"/>
      <c r="X245" s="15"/>
    </row>
    <row r="246" spans="6:24" ht="30" customHeight="1"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W246" s="15"/>
      <c r="X246" s="15"/>
    </row>
    <row r="247" spans="6:24" ht="30" customHeight="1"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W247" s="15"/>
      <c r="X247" s="15"/>
    </row>
    <row r="248" spans="6:24" ht="30" customHeight="1"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W248" s="15"/>
      <c r="X248" s="15"/>
    </row>
    <row r="249" spans="6:24" ht="30" customHeight="1"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W249" s="15"/>
      <c r="X249" s="15"/>
    </row>
    <row r="250" spans="6:24" ht="30" customHeight="1"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W250" s="15"/>
      <c r="X250" s="15"/>
    </row>
    <row r="251" spans="6:24" ht="30" customHeight="1"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W251" s="15"/>
      <c r="X251" s="15"/>
    </row>
    <row r="252" spans="6:24" ht="30" customHeight="1"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W252" s="15"/>
      <c r="X252" s="15"/>
    </row>
    <row r="253" spans="6:24" ht="30" customHeight="1"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W253" s="15"/>
      <c r="X253" s="15"/>
    </row>
    <row r="254" spans="6:24" ht="30" customHeight="1"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W254" s="15"/>
      <c r="X254" s="15"/>
    </row>
    <row r="255" spans="6:24" ht="30" customHeight="1"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W255" s="15"/>
      <c r="X255" s="15"/>
    </row>
    <row r="256" spans="6:24" ht="30" customHeight="1"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W256" s="15"/>
      <c r="X256" s="15"/>
    </row>
    <row r="257" spans="6:24" ht="30" customHeight="1"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W257" s="15"/>
      <c r="X257" s="15"/>
    </row>
    <row r="258" spans="6:24" ht="30" customHeight="1"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W258" s="15"/>
      <c r="X258" s="15"/>
    </row>
    <row r="259" spans="6:24" ht="30" customHeight="1"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W259" s="15"/>
      <c r="X259" s="15"/>
    </row>
    <row r="260" spans="6:24" ht="30" customHeight="1"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W260" s="15"/>
      <c r="X260" s="15"/>
    </row>
    <row r="261" spans="6:24" ht="30" customHeight="1"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W261" s="15"/>
      <c r="X261" s="15"/>
    </row>
    <row r="262" spans="6:24" ht="30" customHeight="1"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W262" s="15"/>
      <c r="X262" s="15"/>
    </row>
    <row r="263" spans="6:24" ht="30" customHeight="1"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W263" s="15"/>
      <c r="X263" s="15"/>
    </row>
    <row r="264" spans="6:24" ht="30" customHeight="1"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W264" s="15"/>
      <c r="X264" s="15"/>
    </row>
    <row r="265" spans="6:24" ht="30" customHeight="1"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W265" s="15"/>
      <c r="X265" s="15"/>
    </row>
    <row r="266" spans="6:24" ht="30" customHeight="1"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W266" s="15"/>
      <c r="X266" s="15"/>
    </row>
    <row r="267" spans="6:24" ht="30" customHeight="1"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W267" s="15"/>
      <c r="X267" s="15"/>
    </row>
    <row r="268" spans="6:24" ht="30" customHeight="1"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W268" s="15"/>
      <c r="X268" s="15"/>
    </row>
    <row r="269" spans="6:24" ht="30" customHeight="1"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W269" s="15"/>
      <c r="X269" s="15"/>
    </row>
    <row r="270" spans="6:24" ht="30" customHeight="1"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W270" s="15"/>
      <c r="X270" s="15"/>
    </row>
    <row r="271" spans="6:24" ht="30" customHeight="1"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W271" s="15"/>
      <c r="X271" s="15"/>
    </row>
    <row r="272" spans="6:24" ht="30" customHeight="1"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W272" s="15"/>
      <c r="X272" s="15"/>
    </row>
    <row r="273" spans="6:24" ht="30" customHeight="1"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W273" s="15"/>
      <c r="X273" s="15"/>
    </row>
    <row r="274" spans="6:24" ht="30" customHeight="1"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W274" s="15"/>
      <c r="X274" s="15"/>
    </row>
    <row r="275" spans="6:24" ht="30" customHeight="1"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W275" s="15"/>
      <c r="X275" s="15"/>
    </row>
    <row r="276" spans="6:24" ht="30" customHeight="1"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W276" s="15"/>
      <c r="X276" s="15"/>
    </row>
    <row r="277" spans="6:24" ht="30" customHeight="1"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W277" s="15"/>
      <c r="X277" s="15"/>
    </row>
    <row r="278" spans="6:24" ht="30" customHeight="1"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W278" s="15"/>
      <c r="X278" s="15"/>
    </row>
    <row r="279" spans="6:24" ht="30" customHeight="1"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W279" s="15"/>
      <c r="X279" s="15"/>
    </row>
    <row r="280" spans="6:24" ht="30" customHeight="1"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W280" s="15"/>
      <c r="X280" s="15"/>
    </row>
    <row r="281" spans="6:24" ht="30" customHeight="1"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W281" s="15"/>
      <c r="X281" s="15"/>
    </row>
    <row r="282" spans="6:24" ht="30" customHeight="1"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W282" s="15"/>
      <c r="X282" s="15"/>
    </row>
    <row r="283" spans="6:24" ht="30" customHeight="1"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W283" s="15"/>
      <c r="X283" s="15"/>
    </row>
    <row r="284" spans="6:24" ht="30" customHeight="1"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W284" s="15"/>
      <c r="X284" s="15"/>
    </row>
    <row r="285" spans="6:24" ht="30" customHeight="1"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W285" s="15"/>
      <c r="X285" s="15"/>
    </row>
    <row r="286" spans="6:24" ht="30" customHeight="1"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W286" s="15"/>
      <c r="X286" s="15"/>
    </row>
    <row r="287" spans="6:24" ht="30" customHeight="1"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W287" s="15"/>
      <c r="X287" s="15"/>
    </row>
    <row r="288" spans="6:24" ht="30" customHeight="1"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W288" s="15"/>
      <c r="X288" s="15"/>
    </row>
    <row r="289" spans="6:24" ht="30" customHeight="1"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W289" s="15"/>
      <c r="X289" s="15"/>
    </row>
    <row r="290" spans="6:24" ht="30" customHeight="1"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W290" s="15"/>
      <c r="X290" s="15"/>
    </row>
    <row r="291" spans="6:24" ht="30" customHeight="1"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W291" s="15"/>
      <c r="X291" s="15"/>
    </row>
    <row r="292" spans="6:24" ht="30" customHeight="1"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W292" s="15"/>
      <c r="X292" s="15"/>
    </row>
    <row r="293" spans="6:24" ht="30" customHeight="1"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W293" s="15"/>
      <c r="X293" s="15"/>
    </row>
    <row r="294" spans="6:24" ht="30" customHeight="1"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W294" s="15"/>
      <c r="X294" s="15"/>
    </row>
    <row r="295" spans="6:24" ht="30" customHeight="1"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W295" s="15"/>
      <c r="X295" s="15"/>
    </row>
    <row r="296" spans="6:24" ht="30" customHeight="1"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W296" s="15"/>
      <c r="X296" s="15"/>
    </row>
    <row r="297" spans="6:24" ht="30" customHeight="1"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W297" s="15"/>
      <c r="X297" s="15"/>
    </row>
    <row r="298" spans="6:24" ht="30" customHeight="1"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W298" s="15"/>
      <c r="X298" s="15"/>
    </row>
    <row r="299" spans="6:24" ht="30" customHeight="1"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W299" s="15"/>
      <c r="X299" s="15"/>
    </row>
    <row r="300" spans="6:24" ht="30" customHeight="1"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W300" s="15"/>
      <c r="X300" s="15"/>
    </row>
    <row r="301" spans="6:24" ht="30" customHeight="1"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W301" s="15"/>
      <c r="X301" s="15"/>
    </row>
    <row r="302" spans="6:24" ht="30" customHeight="1"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W302" s="15"/>
      <c r="X302" s="15"/>
    </row>
    <row r="303" spans="6:24" ht="30" customHeight="1"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W303" s="15"/>
      <c r="X303" s="15"/>
    </row>
    <row r="304" spans="6:24" ht="30" customHeight="1"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W304" s="15"/>
      <c r="X304" s="15"/>
    </row>
    <row r="305" spans="6:24" ht="30" customHeight="1"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W305" s="15"/>
      <c r="X305" s="15"/>
    </row>
    <row r="306" spans="6:24" ht="30" customHeight="1"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W306" s="15"/>
      <c r="X306" s="15"/>
    </row>
    <row r="307" spans="6:24" ht="30" customHeight="1"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W307" s="15"/>
      <c r="X307" s="15"/>
    </row>
    <row r="308" spans="6:24" ht="30" customHeight="1"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W308" s="15"/>
      <c r="X308" s="15"/>
    </row>
    <row r="309" spans="6:24" ht="30" customHeight="1"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W309" s="15"/>
      <c r="X309" s="15"/>
    </row>
    <row r="310" spans="6:24" ht="30" customHeight="1"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W310" s="15"/>
      <c r="X310" s="15"/>
    </row>
    <row r="311" spans="6:24" ht="30" customHeight="1"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W311" s="15"/>
      <c r="X311" s="15"/>
    </row>
    <row r="312" spans="6:24" ht="30" customHeight="1"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W312" s="15"/>
      <c r="X312" s="15"/>
    </row>
    <row r="313" spans="6:24" ht="30" customHeight="1"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W313" s="15"/>
      <c r="X313" s="15"/>
    </row>
    <row r="314" spans="6:24" ht="30" customHeight="1"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W314" s="15"/>
      <c r="X314" s="15"/>
    </row>
    <row r="315" spans="6:24" ht="30" customHeight="1"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W315" s="15"/>
      <c r="X315" s="15"/>
    </row>
    <row r="316" spans="6:24" ht="30" customHeight="1"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W316" s="15"/>
      <c r="X316" s="15"/>
    </row>
    <row r="317" spans="6:24" ht="30" customHeight="1"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W317" s="15"/>
      <c r="X317" s="15"/>
    </row>
    <row r="318" spans="6:24" ht="30" customHeight="1"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W318" s="15"/>
      <c r="X318" s="15"/>
    </row>
    <row r="319" spans="6:24" ht="30" customHeight="1"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W319" s="15"/>
      <c r="X319" s="15"/>
    </row>
    <row r="320" spans="6:24" ht="30" customHeight="1"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W320" s="15"/>
      <c r="X320" s="15"/>
    </row>
    <row r="321" spans="6:24" ht="30" customHeight="1"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W321" s="15"/>
      <c r="X321" s="15"/>
    </row>
    <row r="322" spans="6:24" ht="30" customHeight="1"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W322" s="15"/>
      <c r="X322" s="15"/>
    </row>
    <row r="323" spans="6:24" ht="30" customHeight="1"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W323" s="15"/>
      <c r="X323" s="15"/>
    </row>
    <row r="324" spans="6:24" ht="30" customHeight="1"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W324" s="15"/>
      <c r="X324" s="15"/>
    </row>
    <row r="325" spans="6:24" ht="30" customHeight="1"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W325" s="15"/>
      <c r="X325" s="15"/>
    </row>
    <row r="326" spans="6:24" ht="30" customHeight="1"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W326" s="15"/>
      <c r="X326" s="15"/>
    </row>
    <row r="327" spans="6:24" ht="30" customHeight="1"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W327" s="15"/>
      <c r="X327" s="15"/>
    </row>
    <row r="328" spans="6:24" ht="30" customHeight="1"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W328" s="15"/>
      <c r="X328" s="15"/>
    </row>
    <row r="329" spans="6:24" ht="30" customHeight="1"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W329" s="15"/>
      <c r="X329" s="15"/>
    </row>
    <row r="330" spans="6:24" ht="30" customHeight="1"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W330" s="15"/>
      <c r="X330" s="15"/>
    </row>
    <row r="331" spans="6:24" ht="30" customHeight="1"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W331" s="15"/>
      <c r="X331" s="15"/>
    </row>
    <row r="332" spans="6:24" ht="30" customHeight="1"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W332" s="15"/>
      <c r="X332" s="15"/>
    </row>
    <row r="333" spans="6:24" ht="30" customHeight="1"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W333" s="15"/>
      <c r="X333" s="15"/>
    </row>
    <row r="334" spans="6:24" ht="30" customHeight="1"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W334" s="15"/>
      <c r="X334" s="15"/>
    </row>
    <row r="335" spans="6:24" ht="30" customHeight="1"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W335" s="15"/>
      <c r="X335" s="15"/>
    </row>
    <row r="336" spans="6:24" ht="30" customHeight="1"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W336" s="15"/>
      <c r="X336" s="15"/>
    </row>
    <row r="337" spans="6:24" ht="30" customHeight="1"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W337" s="15"/>
      <c r="X337" s="15"/>
    </row>
    <row r="338" spans="6:24" ht="30" customHeight="1"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W338" s="15"/>
      <c r="X338" s="15"/>
    </row>
    <row r="339" spans="6:24" ht="30" customHeight="1"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W339" s="15"/>
      <c r="X339" s="15"/>
    </row>
    <row r="340" spans="6:24" ht="30" customHeight="1"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W340" s="15"/>
      <c r="X340" s="15"/>
    </row>
    <row r="341" spans="6:24" ht="30" customHeight="1"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W341" s="15"/>
      <c r="X341" s="15"/>
    </row>
    <row r="342" spans="6:24" ht="30" customHeight="1"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W342" s="15"/>
      <c r="X342" s="15"/>
    </row>
    <row r="343" spans="6:24" ht="30" customHeight="1"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W343" s="15"/>
      <c r="X343" s="15"/>
    </row>
    <row r="344" spans="6:24" ht="30" customHeight="1"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W344" s="15"/>
      <c r="X344" s="15"/>
    </row>
    <row r="345" spans="6:24" ht="30" customHeight="1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W345" s="15"/>
      <c r="X345" s="15"/>
    </row>
    <row r="346" spans="6:24" ht="30" customHeight="1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W346" s="15"/>
      <c r="X346" s="15"/>
    </row>
    <row r="347" spans="6:24" ht="30" customHeight="1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W347" s="15"/>
      <c r="X347" s="15"/>
    </row>
    <row r="348" spans="6:24" ht="30" customHeight="1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W348" s="15"/>
      <c r="X348" s="15"/>
    </row>
    <row r="349" spans="6:24" ht="30" customHeight="1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W349" s="15"/>
      <c r="X349" s="15"/>
    </row>
    <row r="350" spans="6:24" ht="30" customHeight="1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W350" s="15"/>
      <c r="X350" s="15"/>
    </row>
    <row r="351" spans="6:24" ht="30" customHeight="1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W351" s="15"/>
      <c r="X351" s="15"/>
    </row>
    <row r="352" spans="6:24" ht="30" customHeight="1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W352" s="15"/>
      <c r="X352" s="15"/>
    </row>
    <row r="353" spans="6:24" ht="30" customHeight="1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W353" s="15"/>
      <c r="X353" s="15"/>
    </row>
    <row r="354" spans="6:24" ht="30" customHeight="1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W354" s="15"/>
      <c r="X354" s="15"/>
    </row>
    <row r="355" spans="6:24" ht="30" customHeight="1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W355" s="15"/>
      <c r="X355" s="15"/>
    </row>
    <row r="356" spans="6:24" ht="30" customHeight="1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W356" s="15"/>
      <c r="X356" s="15"/>
    </row>
    <row r="357" spans="6:24" ht="30" customHeight="1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W357" s="15"/>
      <c r="X357" s="15"/>
    </row>
    <row r="358" spans="6:24" ht="30" customHeight="1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W358" s="15"/>
      <c r="X358" s="15"/>
    </row>
    <row r="359" spans="6:24" ht="30" customHeight="1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W359" s="15"/>
      <c r="X359" s="15"/>
    </row>
    <row r="360" spans="6:24" ht="30" customHeight="1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W360" s="15"/>
      <c r="X360" s="15"/>
    </row>
    <row r="361" spans="6:24" ht="30" customHeight="1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W361" s="15"/>
      <c r="X361" s="15"/>
    </row>
    <row r="362" spans="6:24" ht="30" customHeight="1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W362" s="15"/>
      <c r="X362" s="15"/>
    </row>
    <row r="363" spans="6:24" ht="30" customHeight="1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W363" s="15"/>
      <c r="X363" s="15"/>
    </row>
    <row r="364" spans="6:24" ht="30" customHeight="1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W364" s="15"/>
      <c r="X364" s="15"/>
    </row>
    <row r="365" spans="6:24" ht="30" customHeight="1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W365" s="15"/>
      <c r="X365" s="15"/>
    </row>
    <row r="366" spans="6:24" ht="30" customHeight="1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W366" s="15"/>
      <c r="X366" s="15"/>
    </row>
    <row r="367" spans="6:24" ht="30" customHeight="1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W367" s="15"/>
      <c r="X367" s="15"/>
    </row>
    <row r="368" spans="6:24" ht="30" customHeight="1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W368" s="15"/>
      <c r="X368" s="15"/>
    </row>
    <row r="369" spans="6:24" ht="30" customHeight="1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W369" s="15"/>
      <c r="X369" s="15"/>
    </row>
    <row r="370" spans="6:24" ht="30" customHeight="1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W370" s="15"/>
      <c r="X370" s="15"/>
    </row>
    <row r="371" spans="6:24" ht="30" customHeight="1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W371" s="15"/>
      <c r="X371" s="15"/>
    </row>
    <row r="372" spans="6:24" ht="30" customHeight="1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W372" s="15"/>
      <c r="X372" s="15"/>
    </row>
    <row r="373" spans="6:24" ht="30" customHeight="1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W373" s="15"/>
      <c r="X373" s="15"/>
    </row>
    <row r="374" spans="6:24" ht="30" customHeight="1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W374" s="15"/>
      <c r="X374" s="15"/>
    </row>
    <row r="375" spans="6:24" ht="30" customHeight="1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W375" s="15"/>
      <c r="X375" s="15"/>
    </row>
    <row r="376" spans="6:24" ht="30" customHeight="1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W376" s="15"/>
      <c r="X376" s="15"/>
    </row>
    <row r="377" spans="6:24" ht="30" customHeight="1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W377" s="15"/>
      <c r="X377" s="15"/>
    </row>
    <row r="378" spans="6:24" ht="30" customHeight="1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W378" s="15"/>
      <c r="X378" s="15"/>
    </row>
    <row r="379" spans="6:24" ht="30" customHeight="1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W379" s="15"/>
      <c r="X379" s="15"/>
    </row>
    <row r="380" spans="6:24" ht="30" customHeight="1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W380" s="15"/>
      <c r="X380" s="15"/>
    </row>
    <row r="381" spans="6:24" ht="30" customHeight="1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W381" s="15"/>
      <c r="X381" s="15"/>
    </row>
    <row r="382" spans="6:24" ht="30" customHeight="1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W382" s="15"/>
      <c r="X382" s="15"/>
    </row>
    <row r="383" spans="6:24" ht="30" customHeight="1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W383" s="15"/>
      <c r="X383" s="15"/>
    </row>
    <row r="384" spans="6:24" ht="30" customHeight="1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W384" s="15"/>
      <c r="X384" s="15"/>
    </row>
    <row r="385" spans="6:24" ht="30" customHeight="1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W385" s="15"/>
      <c r="X385" s="15"/>
    </row>
    <row r="386" spans="6:24" ht="30" customHeight="1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W386" s="15"/>
      <c r="X386" s="15"/>
    </row>
    <row r="387" spans="6:24" ht="30" customHeight="1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W387" s="15"/>
      <c r="X387" s="15"/>
    </row>
    <row r="388" spans="6:24" ht="30" customHeight="1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W388" s="15"/>
      <c r="X388" s="15"/>
    </row>
    <row r="389" spans="6:24" ht="30" customHeight="1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W389" s="15"/>
      <c r="X389" s="15"/>
    </row>
    <row r="390" spans="6:24" ht="30" customHeight="1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W390" s="15"/>
      <c r="X390" s="15"/>
    </row>
    <row r="391" spans="6:24" ht="30" customHeight="1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W391" s="15"/>
      <c r="X391" s="15"/>
    </row>
    <row r="392" spans="6:24" ht="30" customHeight="1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W392" s="15"/>
      <c r="X392" s="15"/>
    </row>
    <row r="393" spans="6:24" ht="30" customHeight="1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W393" s="15"/>
      <c r="X393" s="15"/>
    </row>
    <row r="394" spans="6:24" ht="30" customHeight="1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W394" s="15"/>
      <c r="X394" s="15"/>
    </row>
    <row r="395" spans="6:24" ht="30" customHeight="1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W395" s="15"/>
      <c r="X395" s="15"/>
    </row>
    <row r="396" spans="6:24" ht="30" customHeight="1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W396" s="15"/>
      <c r="X396" s="15"/>
    </row>
    <row r="397" spans="6:24" ht="30" customHeight="1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W397" s="15"/>
      <c r="X397" s="15"/>
    </row>
    <row r="398" spans="6:24" ht="30" customHeight="1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W398" s="15"/>
      <c r="X398" s="15"/>
    </row>
    <row r="399" spans="6:24" ht="30" customHeight="1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W399" s="15"/>
      <c r="X399" s="15"/>
    </row>
    <row r="400" spans="6:24" ht="30" customHeight="1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W400" s="15"/>
      <c r="X400" s="15"/>
    </row>
    <row r="401" spans="6:24" ht="30" customHeight="1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W401" s="15"/>
      <c r="X401" s="15"/>
    </row>
    <row r="402" spans="6:24" ht="30" customHeight="1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W402" s="15"/>
      <c r="X402" s="15"/>
    </row>
    <row r="403" spans="6:24" ht="30" customHeight="1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W403" s="15"/>
      <c r="X403" s="15"/>
    </row>
    <row r="404" spans="6:24" ht="30" customHeight="1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W404" s="15"/>
      <c r="X404" s="15"/>
    </row>
    <row r="405" spans="6:24" ht="30" customHeight="1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W405" s="15"/>
      <c r="X405" s="15"/>
    </row>
    <row r="406" spans="6:24" ht="30" customHeight="1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W406" s="15"/>
      <c r="X406" s="15"/>
    </row>
    <row r="407" spans="6:24" ht="30" customHeight="1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W407" s="15"/>
      <c r="X407" s="15"/>
    </row>
    <row r="408" spans="6:24" ht="30" customHeight="1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W408" s="15"/>
      <c r="X408" s="15"/>
    </row>
    <row r="409" spans="6:24" ht="30" customHeight="1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W409" s="15"/>
      <c r="X409" s="15"/>
    </row>
    <row r="410" spans="6:24" ht="30" customHeight="1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W410" s="15"/>
      <c r="X410" s="15"/>
    </row>
    <row r="411" spans="6:24" ht="30" customHeight="1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W411" s="15"/>
      <c r="X411" s="15"/>
    </row>
    <row r="412" spans="6:24" ht="30" customHeight="1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W412" s="15"/>
      <c r="X412" s="15"/>
    </row>
    <row r="413" spans="6:24" ht="30" customHeight="1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W413" s="15"/>
      <c r="X413" s="15"/>
    </row>
    <row r="414" spans="6:24" ht="30" customHeight="1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W414" s="15"/>
      <c r="X414" s="15"/>
    </row>
    <row r="415" spans="6:24" ht="30" customHeight="1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W415" s="15"/>
      <c r="X415" s="15"/>
    </row>
    <row r="416" spans="6:24" ht="30" customHeight="1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W416" s="15"/>
      <c r="X416" s="15"/>
    </row>
    <row r="417" spans="6:24" ht="30" customHeight="1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W417" s="15"/>
      <c r="X417" s="15"/>
    </row>
    <row r="418" spans="6:24" ht="30" customHeight="1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W418" s="15"/>
      <c r="X418" s="15"/>
    </row>
    <row r="419" spans="6:24" ht="30" customHeight="1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W419" s="15"/>
      <c r="X419" s="15"/>
    </row>
    <row r="420" spans="6:24" ht="30" customHeight="1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W420" s="15"/>
      <c r="X420" s="15"/>
    </row>
    <row r="421" spans="6:24" ht="30" customHeight="1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W421" s="15"/>
      <c r="X421" s="15"/>
    </row>
    <row r="422" spans="6:24" ht="30" customHeight="1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W422" s="15"/>
      <c r="X422" s="15"/>
    </row>
    <row r="423" spans="6:24" ht="30" customHeight="1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W423" s="15"/>
      <c r="X423" s="15"/>
    </row>
    <row r="424" spans="6:24" ht="30" customHeight="1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W424" s="15"/>
      <c r="X424" s="15"/>
    </row>
    <row r="425" spans="6:24" ht="30" customHeight="1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W425" s="15"/>
      <c r="X425" s="15"/>
    </row>
    <row r="426" spans="6:24" ht="30" customHeight="1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W426" s="15"/>
      <c r="X426" s="15"/>
    </row>
    <row r="427" spans="6:24" ht="30" customHeight="1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W427" s="15"/>
      <c r="X427" s="15"/>
    </row>
    <row r="428" spans="6:24" ht="30" customHeight="1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W428" s="15"/>
      <c r="X428" s="15"/>
    </row>
    <row r="429" spans="6:24" ht="30" customHeight="1"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W429" s="15"/>
      <c r="X429" s="15"/>
    </row>
    <row r="430" spans="6:24" ht="30" customHeight="1"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W430" s="15"/>
      <c r="X430" s="15"/>
    </row>
    <row r="431" spans="6:24" ht="30" customHeight="1"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W431" s="15"/>
      <c r="X431" s="15"/>
    </row>
    <row r="432" spans="6:24" ht="30" customHeight="1"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W432" s="15"/>
      <c r="X432" s="15"/>
    </row>
    <row r="433" spans="6:24" ht="30" customHeight="1"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W433" s="15"/>
      <c r="X433" s="15"/>
    </row>
    <row r="434" spans="6:24" ht="30" customHeight="1"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W434" s="15"/>
      <c r="X434" s="15"/>
    </row>
    <row r="435" spans="6:24" ht="30" customHeight="1"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W435" s="15"/>
      <c r="X435" s="15"/>
    </row>
    <row r="436" spans="6:24" ht="30" customHeight="1"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W436" s="15"/>
      <c r="X436" s="15"/>
    </row>
    <row r="437" spans="6:24" ht="30" customHeight="1"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W437" s="15"/>
      <c r="X437" s="15"/>
    </row>
    <row r="438" spans="6:24" ht="30" customHeight="1"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W438" s="15"/>
      <c r="X438" s="15"/>
    </row>
    <row r="439" spans="6:24" ht="30" customHeight="1"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W439" s="15"/>
      <c r="X439" s="15"/>
    </row>
    <row r="440" spans="6:24" ht="30" customHeight="1"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W440" s="15"/>
      <c r="X440" s="15"/>
    </row>
    <row r="441" spans="6:24" ht="30" customHeight="1"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W441" s="15"/>
      <c r="X441" s="15"/>
    </row>
    <row r="442" spans="6:24" ht="30" customHeight="1"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W442" s="15"/>
      <c r="X442" s="15"/>
    </row>
    <row r="443" spans="6:24" ht="30" customHeight="1"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W443" s="15"/>
      <c r="X443" s="15"/>
    </row>
    <row r="444" spans="6:24" ht="30" customHeight="1"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W444" s="15"/>
      <c r="X444" s="15"/>
    </row>
    <row r="445" spans="6:24" ht="30" customHeight="1"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W445" s="15"/>
      <c r="X445" s="15"/>
    </row>
    <row r="446" spans="6:24" ht="30" customHeight="1"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W446" s="15"/>
      <c r="X446" s="15"/>
    </row>
    <row r="447" spans="6:24" ht="30" customHeight="1"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W447" s="15"/>
      <c r="X447" s="15"/>
    </row>
    <row r="448" spans="6:24" ht="30" customHeight="1"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W448" s="15"/>
      <c r="X448" s="15"/>
    </row>
    <row r="449" spans="6:24" ht="30" customHeight="1"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W449" s="15"/>
      <c r="X449" s="15"/>
    </row>
    <row r="450" spans="6:24" ht="30" customHeight="1"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W450" s="15"/>
      <c r="X450" s="15"/>
    </row>
    <row r="451" spans="6:24" ht="30" customHeight="1"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W451" s="15"/>
      <c r="X451" s="15"/>
    </row>
    <row r="452" spans="6:24" ht="30" customHeight="1"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W452" s="15"/>
      <c r="X452" s="15"/>
    </row>
    <row r="453" spans="6:24" ht="30" customHeight="1"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W453" s="15"/>
      <c r="X453" s="15"/>
    </row>
    <row r="454" spans="6:24" ht="30" customHeight="1"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W454" s="15"/>
      <c r="X454" s="15"/>
    </row>
    <row r="455" spans="6:24" ht="30" customHeight="1"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W455" s="15"/>
      <c r="X455" s="15"/>
    </row>
    <row r="456" spans="6:24" ht="30" customHeight="1"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W456" s="15"/>
      <c r="X456" s="15"/>
    </row>
    <row r="457" spans="6:24" ht="30" customHeight="1"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W457" s="15"/>
      <c r="X457" s="15"/>
    </row>
    <row r="458" spans="6:24" ht="30" customHeight="1"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W458" s="15"/>
      <c r="X458" s="15"/>
    </row>
    <row r="459" spans="6:24" ht="30" customHeight="1"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W459" s="15"/>
      <c r="X459" s="15"/>
    </row>
    <row r="460" spans="6:24" ht="30" customHeight="1"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W460" s="15"/>
      <c r="X460" s="15"/>
    </row>
    <row r="461" spans="6:24" ht="30" customHeight="1"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W461" s="15"/>
      <c r="X461" s="15"/>
    </row>
    <row r="462" spans="6:24" ht="30" customHeight="1"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W462" s="15"/>
      <c r="X462" s="15"/>
    </row>
    <row r="463" spans="6:24" ht="30" customHeight="1"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W463" s="15"/>
      <c r="X463" s="15"/>
    </row>
    <row r="464" spans="6:24" ht="30" customHeight="1"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W464" s="15"/>
      <c r="X464" s="15"/>
    </row>
    <row r="465" spans="6:24" ht="30" customHeight="1"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W465" s="15"/>
      <c r="X465" s="15"/>
    </row>
    <row r="466" spans="6:24" ht="30" customHeight="1"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W466" s="15"/>
      <c r="X466" s="15"/>
    </row>
    <row r="467" spans="6:24" ht="30" customHeight="1"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W467" s="15"/>
      <c r="X467" s="15"/>
    </row>
    <row r="468" spans="6:24" ht="30" customHeight="1"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W468" s="15"/>
      <c r="X468" s="15"/>
    </row>
    <row r="469" spans="6:24" ht="30" customHeight="1"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W469" s="15"/>
      <c r="X469" s="15"/>
    </row>
    <row r="470" spans="6:24" ht="30" customHeight="1"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W470" s="15"/>
      <c r="X470" s="15"/>
    </row>
    <row r="471" spans="6:24" ht="30" customHeight="1"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W471" s="15"/>
      <c r="X471" s="15"/>
    </row>
    <row r="472" spans="6:24" ht="30" customHeight="1"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W472" s="15"/>
      <c r="X472" s="15"/>
    </row>
    <row r="473" spans="6:24" ht="30" customHeight="1"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W473" s="15"/>
      <c r="X473" s="15"/>
    </row>
    <row r="474" spans="6:24" ht="30" customHeight="1"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W474" s="15"/>
      <c r="X474" s="15"/>
    </row>
    <row r="475" spans="6:24" ht="30" customHeight="1"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W475" s="15"/>
      <c r="X475" s="15"/>
    </row>
    <row r="476" spans="6:24" ht="30" customHeight="1"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W476" s="15"/>
      <c r="X476" s="15"/>
    </row>
    <row r="477" spans="6:24" ht="30" customHeight="1"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W477" s="15"/>
      <c r="X477" s="15"/>
    </row>
    <row r="478" spans="6:24" ht="30" customHeight="1"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W478" s="15"/>
      <c r="X478" s="15"/>
    </row>
    <row r="479" spans="6:24" ht="30" customHeight="1"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W479" s="15"/>
      <c r="X479" s="15"/>
    </row>
    <row r="480" spans="6:24" ht="30" customHeight="1"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W480" s="15"/>
      <c r="X480" s="15"/>
    </row>
    <row r="481" spans="6:24" ht="30" customHeight="1"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W481" s="15"/>
      <c r="X481" s="15"/>
    </row>
    <row r="482" spans="6:24" ht="30" customHeight="1"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W482" s="15"/>
      <c r="X482" s="15"/>
    </row>
    <row r="483" spans="6:24" ht="30" customHeight="1"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W483" s="15"/>
      <c r="X483" s="15"/>
    </row>
    <row r="484" spans="6:24" ht="30" customHeight="1"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W484" s="15"/>
      <c r="X484" s="15"/>
    </row>
    <row r="485" spans="6:24" ht="30" customHeight="1"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W485" s="15"/>
      <c r="X485" s="15"/>
    </row>
    <row r="486" spans="6:24" ht="30" customHeight="1"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W486" s="15"/>
      <c r="X486" s="15"/>
    </row>
    <row r="487" spans="6:24" ht="30" customHeight="1"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W487" s="15"/>
      <c r="X487" s="15"/>
    </row>
    <row r="488" spans="6:24" ht="30" customHeight="1"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W488" s="15"/>
      <c r="X488" s="15"/>
    </row>
    <row r="489" spans="6:24" ht="30" customHeight="1"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W489" s="15"/>
      <c r="X489" s="15"/>
    </row>
    <row r="490" spans="6:24" ht="30" customHeight="1"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W490" s="15"/>
      <c r="X490" s="15"/>
    </row>
    <row r="491" spans="6:24" ht="30" customHeight="1"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W491" s="15"/>
      <c r="X491" s="15"/>
    </row>
    <row r="492" spans="6:24" ht="30" customHeight="1"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W492" s="15"/>
      <c r="X492" s="15"/>
    </row>
    <row r="493" spans="6:24" ht="30" customHeight="1"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W493" s="15"/>
      <c r="X493" s="15"/>
    </row>
    <row r="494" spans="6:24" ht="30" customHeight="1"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W494" s="15"/>
      <c r="X494" s="15"/>
    </row>
    <row r="495" spans="6:24" ht="30" customHeight="1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W495" s="15"/>
      <c r="X495" s="15"/>
    </row>
    <row r="496" spans="6:24" ht="30" customHeight="1"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W496" s="15"/>
      <c r="X496" s="15"/>
    </row>
    <row r="497" spans="6:24" ht="30" customHeight="1"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W497" s="15"/>
      <c r="X497" s="15"/>
    </row>
    <row r="498" spans="6:24" ht="30" customHeight="1"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W498" s="15"/>
      <c r="X498" s="15"/>
    </row>
    <row r="499" spans="6:24" ht="30" customHeight="1"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W499" s="15"/>
      <c r="X499" s="15"/>
    </row>
    <row r="500" spans="6:24" ht="30" customHeight="1"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W500" s="15"/>
      <c r="X500" s="15"/>
    </row>
    <row r="501" spans="6:24" ht="30" customHeight="1"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W501" s="15"/>
      <c r="X501" s="15"/>
    </row>
    <row r="502" spans="6:24" ht="30" customHeight="1"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W502" s="15"/>
      <c r="X502" s="15"/>
    </row>
    <row r="503" spans="6:24" ht="30" customHeight="1"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W503" s="15"/>
      <c r="X503" s="15"/>
    </row>
    <row r="504" spans="6:24" ht="30" customHeight="1"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W504" s="15"/>
      <c r="X504" s="15"/>
    </row>
    <row r="505" spans="6:24" ht="30" customHeight="1"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W505" s="15"/>
      <c r="X505" s="15"/>
    </row>
    <row r="506" spans="6:24" ht="30" customHeight="1"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W506" s="15"/>
      <c r="X506" s="15"/>
    </row>
    <row r="507" spans="6:24" ht="30" customHeight="1"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W507" s="15"/>
      <c r="X507" s="15"/>
    </row>
    <row r="508" spans="6:24" ht="30" customHeight="1"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W508" s="15"/>
      <c r="X508" s="15"/>
    </row>
  </sheetData>
  <sheetProtection algorithmName="SHA-512" hashValue="S5IWE7c6whG1d7xSo+kYUD66aC9oudwfDMpUOtH+UivSTRHQM5C7Pyfa/95abUwyqJlWh2UzbhfRMOjd8jT5Tw==" saltValue="OIJwOgEQ/BPIho0rzJTzoQ==" spinCount="100000" sheet="1" objects="1" scenarios="1"/>
  <phoneticPr fontId="5" type="noConversion"/>
  <conditionalFormatting sqref="A2:W2">
    <cfRule type="containsBlanks" dxfId="50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M26"/>
  <sheetViews>
    <sheetView workbookViewId="0">
      <selection activeCell="J3" sqref="J3"/>
    </sheetView>
  </sheetViews>
  <sheetFormatPr defaultRowHeight="1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14.5703125" bestFit="1" customWidth="1"/>
    <col min="13" max="13" width="15" bestFit="1" customWidth="1"/>
    <col min="14" max="14" width="52.7109375" bestFit="1" customWidth="1"/>
  </cols>
  <sheetData>
    <row r="1" spans="1:13">
      <c r="A1" s="24" t="s">
        <v>106</v>
      </c>
      <c r="B1" s="26" t="s">
        <v>107</v>
      </c>
      <c r="C1" s="17" t="s">
        <v>108</v>
      </c>
      <c r="D1" s="17" t="s">
        <v>109</v>
      </c>
      <c r="E1" s="17" t="s">
        <v>110</v>
      </c>
      <c r="I1" s="17" t="s">
        <v>108</v>
      </c>
      <c r="J1" s="17" t="s">
        <v>111</v>
      </c>
      <c r="K1" s="26" t="s">
        <v>112</v>
      </c>
      <c r="L1" s="17" t="s">
        <v>113</v>
      </c>
      <c r="M1" s="17" t="s">
        <v>114</v>
      </c>
    </row>
    <row r="2" spans="1:13">
      <c r="A2" s="25" t="s">
        <v>2</v>
      </c>
      <c r="B2" s="24"/>
      <c r="C2" s="17"/>
      <c r="D2" s="17"/>
      <c r="E2" s="17"/>
      <c r="I2" s="17" t="s">
        <v>63</v>
      </c>
      <c r="J2" s="17" t="b">
        <v>1</v>
      </c>
      <c r="K2" s="24" t="s">
        <v>86</v>
      </c>
      <c r="L2" s="17" t="s">
        <v>115</v>
      </c>
      <c r="M2" s="17" t="s">
        <v>116</v>
      </c>
    </row>
    <row r="3" spans="1:13">
      <c r="A3" s="25" t="s">
        <v>3</v>
      </c>
      <c r="B3" s="24" t="s">
        <v>82</v>
      </c>
      <c r="C3" s="17"/>
      <c r="D3" s="17"/>
      <c r="E3" s="17"/>
      <c r="I3" s="17" t="s">
        <v>63</v>
      </c>
      <c r="J3" s="17" t="b">
        <v>0</v>
      </c>
      <c r="K3" s="24" t="s">
        <v>86</v>
      </c>
      <c r="L3" s="17" t="s">
        <v>117</v>
      </c>
      <c r="M3" s="17" t="s">
        <v>118</v>
      </c>
    </row>
    <row r="4" spans="1:13">
      <c r="A4" s="25" t="s">
        <v>5</v>
      </c>
      <c r="B4" s="24" t="s">
        <v>58</v>
      </c>
      <c r="C4" s="17"/>
      <c r="D4" s="17" t="s">
        <v>117</v>
      </c>
      <c r="E4" s="17"/>
      <c r="I4" s="17" t="s">
        <v>65</v>
      </c>
      <c r="J4" s="17" t="b">
        <v>1</v>
      </c>
      <c r="K4" s="24" t="s">
        <v>88</v>
      </c>
      <c r="L4" s="17" t="s">
        <v>117</v>
      </c>
      <c r="M4" s="17" t="s">
        <v>118</v>
      </c>
    </row>
    <row r="5" spans="1:13">
      <c r="A5" s="25" t="s">
        <v>7</v>
      </c>
      <c r="B5" s="24" t="s">
        <v>59</v>
      </c>
      <c r="C5" s="17"/>
      <c r="D5" s="17" t="s">
        <v>117</v>
      </c>
      <c r="E5" s="17"/>
      <c r="I5" s="17" t="s">
        <v>65</v>
      </c>
      <c r="J5" s="17" t="b">
        <v>0</v>
      </c>
      <c r="K5" s="24" t="s">
        <v>88</v>
      </c>
      <c r="L5" s="17" t="s">
        <v>115</v>
      </c>
      <c r="M5" s="17" t="s">
        <v>116</v>
      </c>
    </row>
    <row r="6" spans="1:13">
      <c r="A6" s="25" t="s">
        <v>119</v>
      </c>
      <c r="B6" s="24"/>
      <c r="C6" s="17"/>
      <c r="D6" s="17"/>
      <c r="E6" s="17"/>
      <c r="I6" s="17" t="s">
        <v>67</v>
      </c>
      <c r="J6" s="17" t="b">
        <v>1</v>
      </c>
      <c r="K6" s="24" t="s">
        <v>84</v>
      </c>
      <c r="L6" s="17" t="s">
        <v>117</v>
      </c>
      <c r="M6" s="17" t="s">
        <v>118</v>
      </c>
    </row>
    <row r="7" spans="1:13">
      <c r="A7" s="25" t="s">
        <v>9</v>
      </c>
      <c r="B7" s="24" t="s">
        <v>60</v>
      </c>
      <c r="C7" s="17"/>
      <c r="D7" s="17" t="s">
        <v>117</v>
      </c>
      <c r="E7" s="17"/>
      <c r="I7" s="17" t="s">
        <v>67</v>
      </c>
      <c r="J7" s="17" t="b">
        <v>0</v>
      </c>
      <c r="K7" s="24" t="s">
        <v>84</v>
      </c>
      <c r="L7" s="17" t="s">
        <v>115</v>
      </c>
      <c r="M7" s="17" t="s">
        <v>116</v>
      </c>
    </row>
    <row r="8" spans="1:13">
      <c r="A8" s="25" t="s">
        <v>91</v>
      </c>
      <c r="B8" s="24" t="s">
        <v>61</v>
      </c>
      <c r="C8" s="17"/>
      <c r="D8" s="17" t="s">
        <v>117</v>
      </c>
      <c r="E8" s="17"/>
      <c r="I8" s="17" t="s">
        <v>69</v>
      </c>
      <c r="J8" s="17" t="b">
        <v>1</v>
      </c>
      <c r="K8" s="24" t="s">
        <v>90</v>
      </c>
      <c r="L8" s="17" t="s">
        <v>117</v>
      </c>
      <c r="M8" s="17" t="s">
        <v>118</v>
      </c>
    </row>
    <row r="9" spans="1:13">
      <c r="A9" s="25" t="s">
        <v>92</v>
      </c>
      <c r="B9" s="24"/>
      <c r="C9" s="17" t="s">
        <v>63</v>
      </c>
      <c r="D9" s="17"/>
      <c r="E9" s="17"/>
      <c r="I9" s="17" t="s">
        <v>69</v>
      </c>
      <c r="J9" s="17" t="b">
        <v>0</v>
      </c>
      <c r="K9" s="24" t="s">
        <v>90</v>
      </c>
      <c r="L9" s="17" t="s">
        <v>115</v>
      </c>
      <c r="M9" s="17" t="s">
        <v>116</v>
      </c>
    </row>
    <row r="10" spans="1:13">
      <c r="A10" s="25" t="s">
        <v>85</v>
      </c>
      <c r="B10" s="24" t="s">
        <v>86</v>
      </c>
      <c r="C10" s="17"/>
      <c r="D10" s="17" t="s">
        <v>120</v>
      </c>
      <c r="E10" s="17" t="s">
        <v>121</v>
      </c>
    </row>
    <row r="11" spans="1:13">
      <c r="A11" s="25" t="s">
        <v>93</v>
      </c>
      <c r="B11" s="24"/>
      <c r="C11" s="17" t="s">
        <v>65</v>
      </c>
      <c r="D11" s="17"/>
      <c r="E11" s="17"/>
    </row>
    <row r="12" spans="1:13">
      <c r="A12" s="25" t="s">
        <v>87</v>
      </c>
      <c r="B12" s="24" t="s">
        <v>88</v>
      </c>
      <c r="C12" s="17"/>
      <c r="D12" s="17" t="s">
        <v>120</v>
      </c>
      <c r="E12" s="17" t="s">
        <v>122</v>
      </c>
      <c r="I12" t="s">
        <v>123</v>
      </c>
    </row>
    <row r="13" spans="1:13">
      <c r="A13" s="25" t="s">
        <v>94</v>
      </c>
      <c r="B13" s="24"/>
      <c r="C13" s="17"/>
      <c r="D13" s="17"/>
      <c r="E13" s="17"/>
    </row>
    <row r="14" spans="1:13">
      <c r="A14" s="25" t="s">
        <v>95</v>
      </c>
      <c r="B14" s="24" t="s">
        <v>79</v>
      </c>
      <c r="C14" s="17"/>
      <c r="D14" s="17"/>
      <c r="E14" s="17"/>
    </row>
    <row r="15" spans="1:13">
      <c r="A15" s="25" t="s">
        <v>96</v>
      </c>
      <c r="B15" s="24"/>
      <c r="C15" s="17" t="s">
        <v>67</v>
      </c>
      <c r="D15" s="17"/>
      <c r="E15" s="17"/>
    </row>
    <row r="16" spans="1:13">
      <c r="A16" s="25" t="s">
        <v>83</v>
      </c>
      <c r="B16" s="24" t="s">
        <v>84</v>
      </c>
      <c r="C16" s="17"/>
      <c r="D16" s="17" t="s">
        <v>120</v>
      </c>
      <c r="E16" s="17" t="s">
        <v>124</v>
      </c>
    </row>
    <row r="17" spans="1:5">
      <c r="A17" s="25" t="s">
        <v>97</v>
      </c>
      <c r="B17" s="24"/>
      <c r="C17" s="17" t="s">
        <v>69</v>
      </c>
      <c r="D17" s="17"/>
      <c r="E17" s="17"/>
    </row>
    <row r="18" spans="1:5">
      <c r="A18" s="25" t="s">
        <v>98</v>
      </c>
      <c r="B18" s="24" t="s">
        <v>90</v>
      </c>
      <c r="C18" s="17"/>
      <c r="D18" s="17" t="s">
        <v>120</v>
      </c>
      <c r="E18" s="17" t="s">
        <v>125</v>
      </c>
    </row>
    <row r="19" spans="1:5">
      <c r="A19" s="25" t="s">
        <v>99</v>
      </c>
      <c r="B19" s="24" t="s">
        <v>71</v>
      </c>
      <c r="C19" s="17"/>
      <c r="D19" s="17"/>
      <c r="E19" s="17"/>
    </row>
    <row r="20" spans="1:5">
      <c r="A20" s="25" t="s">
        <v>100</v>
      </c>
      <c r="B20" s="24" t="s">
        <v>73</v>
      </c>
      <c r="C20" s="17"/>
      <c r="D20" s="17"/>
      <c r="E20" s="17"/>
    </row>
    <row r="21" spans="1:5">
      <c r="A21" s="25" t="s">
        <v>16</v>
      </c>
      <c r="B21" s="24" t="s">
        <v>74</v>
      </c>
      <c r="C21" s="17"/>
      <c r="D21" s="17"/>
      <c r="E21" s="17"/>
    </row>
    <row r="22" spans="1:5">
      <c r="A22" s="25" t="s">
        <v>101</v>
      </c>
      <c r="B22" s="24" t="s">
        <v>126</v>
      </c>
      <c r="C22" s="17"/>
      <c r="D22" s="17"/>
      <c r="E22" s="17"/>
    </row>
    <row r="23" spans="1:5">
      <c r="A23" s="25" t="s">
        <v>102</v>
      </c>
      <c r="B23" s="24" t="s">
        <v>75</v>
      </c>
      <c r="C23" s="17"/>
      <c r="D23" s="17"/>
      <c r="E23" s="17"/>
    </row>
    <row r="24" spans="1:5">
      <c r="A24" s="25" t="s">
        <v>103</v>
      </c>
      <c r="B24" s="24" t="s">
        <v>127</v>
      </c>
      <c r="C24" s="17"/>
      <c r="D24" s="17"/>
      <c r="E24" s="17"/>
    </row>
    <row r="25" spans="1:5">
      <c r="A25" s="25" t="s">
        <v>104</v>
      </c>
      <c r="B25" s="24"/>
      <c r="C25" s="17"/>
      <c r="D25" s="17"/>
      <c r="E25" s="17"/>
    </row>
    <row r="26" spans="1:5">
      <c r="A26" s="25" t="s">
        <v>105</v>
      </c>
      <c r="B26" s="24" t="s">
        <v>128</v>
      </c>
      <c r="C26" s="17"/>
      <c r="D26" s="17"/>
      <c r="E26" s="17"/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BA7-7170-4691-9AC8-6839C46FC111}">
  <sheetPr codeName="Sheet7"/>
  <dimension ref="A1:E9"/>
  <sheetViews>
    <sheetView topLeftCell="A7" workbookViewId="0">
      <selection activeCell="B4" sqref="B4"/>
    </sheetView>
  </sheetViews>
  <sheetFormatPr defaultRowHeight="15"/>
  <cols>
    <col min="1" max="1" width="39.85546875" customWidth="1"/>
    <col min="2" max="2" width="75.7109375" style="27" customWidth="1"/>
    <col min="4" max="4" width="12.85546875" bestFit="1" customWidth="1"/>
    <col min="5" max="5" width="37.7109375" bestFit="1" customWidth="1"/>
  </cols>
  <sheetData>
    <row r="1" spans="1:5">
      <c r="A1" s="31" t="s">
        <v>129</v>
      </c>
      <c r="B1" s="32" t="s">
        <v>130</v>
      </c>
      <c r="D1" s="33" t="s">
        <v>131</v>
      </c>
      <c r="E1" s="33" t="s">
        <v>111</v>
      </c>
    </row>
    <row r="2" spans="1:5" ht="165">
      <c r="A2" s="24" t="s">
        <v>132</v>
      </c>
      <c r="B2" s="30" t="s">
        <v>133</v>
      </c>
      <c r="D2" s="15" t="s">
        <v>134</v>
      </c>
      <c r="E2" s="34" t="s">
        <v>135</v>
      </c>
    </row>
    <row r="3" spans="1:5" ht="165">
      <c r="A3" s="24" t="s">
        <v>136</v>
      </c>
      <c r="B3" s="28" t="s">
        <v>137</v>
      </c>
      <c r="D3" s="15" t="s">
        <v>138</v>
      </c>
      <c r="E3" s="34" t="s">
        <v>139</v>
      </c>
    </row>
    <row r="4" spans="1:5" ht="126" customHeight="1">
      <c r="A4" s="24" t="s">
        <v>140</v>
      </c>
      <c r="B4" s="29" t="s">
        <v>141</v>
      </c>
      <c r="D4" s="15" t="s">
        <v>142</v>
      </c>
      <c r="E4" s="34" t="s">
        <v>143</v>
      </c>
    </row>
    <row r="5" spans="1:5" ht="150">
      <c r="A5" s="24" t="s">
        <v>144</v>
      </c>
      <c r="B5" s="28" t="s">
        <v>145</v>
      </c>
      <c r="D5" s="15" t="s">
        <v>146</v>
      </c>
      <c r="E5" s="34" t="s">
        <v>147</v>
      </c>
    </row>
    <row r="6" spans="1:5" ht="150">
      <c r="A6" s="24" t="s">
        <v>148</v>
      </c>
      <c r="B6" s="28" t="s">
        <v>149</v>
      </c>
      <c r="D6" s="15" t="s">
        <v>150</v>
      </c>
      <c r="E6" s="15" t="s">
        <v>151</v>
      </c>
    </row>
    <row r="7" spans="1:5" ht="126" customHeight="1">
      <c r="A7" s="24" t="s">
        <v>152</v>
      </c>
      <c r="B7" s="28" t="s">
        <v>153</v>
      </c>
    </row>
    <row r="8" spans="1:5" ht="150">
      <c r="A8" s="24" t="s">
        <v>154</v>
      </c>
      <c r="B8" s="28" t="s">
        <v>155</v>
      </c>
    </row>
    <row r="9" spans="1:5" ht="165">
      <c r="A9" s="24" t="s">
        <v>156</v>
      </c>
      <c r="B9" s="28" t="s">
        <v>157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AH2805"/>
  <sheetViews>
    <sheetView workbookViewId="0">
      <selection activeCell="D12" sqref="D12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bestFit="1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AH2805"/>
  <sheetViews>
    <sheetView workbookViewId="0">
      <selection activeCell="C11" sqref="C11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AO247"/>
  <sheetViews>
    <sheetView topLeftCell="W1" workbookViewId="0">
      <selection activeCell="Y160" sqref="Y160"/>
    </sheetView>
  </sheetViews>
  <sheetFormatPr defaultRowHeight="15"/>
  <cols>
    <col min="1" max="1" width="8.5703125" bestFit="1" customWidth="1"/>
    <col min="2" max="2" width="13.28515625" bestFit="1" customWidth="1"/>
    <col min="3" max="3" width="15.5703125" bestFit="1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1" max="31" width="19.140625" bestFit="1" customWidth="1"/>
    <col min="32" max="32" width="30.42578125" bestFit="1" customWidth="1"/>
    <col min="33" max="33" width="31" bestFit="1" customWidth="1"/>
    <col min="34" max="34" width="16.7109375" bestFit="1" customWidth="1"/>
    <col min="35" max="35" width="30" bestFit="1" customWidth="1"/>
    <col min="37" max="37" width="22.7109375" bestFit="1" customWidth="1"/>
    <col min="38" max="38" width="30.42578125" bestFit="1" customWidth="1"/>
    <col min="39" max="39" width="35.28515625" bestFit="1" customWidth="1"/>
    <col min="40" max="40" width="16.7109375" bestFit="1" customWidth="1"/>
    <col min="41" max="41" width="30.140625" bestFit="1" customWidth="1"/>
  </cols>
  <sheetData>
    <row r="1" spans="1:41">
      <c r="A1" t="s">
        <v>9</v>
      </c>
      <c r="C1" t="s">
        <v>2135</v>
      </c>
      <c r="E1" t="s">
        <v>5</v>
      </c>
      <c r="G1" t="s">
        <v>202</v>
      </c>
      <c r="H1" t="s">
        <v>203</v>
      </c>
      <c r="I1" t="s">
        <v>7</v>
      </c>
      <c r="K1" t="s">
        <v>70</v>
      </c>
      <c r="L1" t="s">
        <v>218</v>
      </c>
      <c r="M1" t="s">
        <v>222</v>
      </c>
      <c r="N1" t="s">
        <v>100</v>
      </c>
      <c r="P1" t="s">
        <v>70</v>
      </c>
      <c r="Q1" t="s">
        <v>218</v>
      </c>
      <c r="R1" t="s">
        <v>222</v>
      </c>
      <c r="S1" t="s">
        <v>217</v>
      </c>
      <c r="T1" t="s">
        <v>219</v>
      </c>
      <c r="U1" t="s">
        <v>220</v>
      </c>
      <c r="V1" t="s">
        <v>221</v>
      </c>
      <c r="W1" t="s">
        <v>223</v>
      </c>
      <c r="Y1" t="s">
        <v>1356</v>
      </c>
      <c r="Z1" t="s">
        <v>1357</v>
      </c>
      <c r="AA1" t="s">
        <v>1358</v>
      </c>
      <c r="AB1" t="s">
        <v>1359</v>
      </c>
      <c r="AC1" t="s">
        <v>1360</v>
      </c>
      <c r="AE1" t="s">
        <v>1356</v>
      </c>
      <c r="AF1" t="s">
        <v>1357</v>
      </c>
      <c r="AG1" t="s">
        <v>1358</v>
      </c>
      <c r="AH1" t="s">
        <v>1359</v>
      </c>
      <c r="AI1" t="s">
        <v>1360</v>
      </c>
      <c r="AK1" t="s">
        <v>1356</v>
      </c>
      <c r="AL1" t="s">
        <v>1357</v>
      </c>
      <c r="AM1" t="s">
        <v>1358</v>
      </c>
      <c r="AN1" t="s">
        <v>1359</v>
      </c>
      <c r="AO1" t="s">
        <v>1360</v>
      </c>
    </row>
    <row r="2" spans="1:41">
      <c r="A2" t="s">
        <v>10</v>
      </c>
      <c r="C2" t="s">
        <v>12</v>
      </c>
      <c r="E2" t="s">
        <v>6</v>
      </c>
      <c r="G2" t="s">
        <v>204</v>
      </c>
      <c r="H2" t="s">
        <v>205</v>
      </c>
      <c r="I2" t="s">
        <v>8</v>
      </c>
      <c r="K2" t="s">
        <v>390</v>
      </c>
      <c r="L2" t="s">
        <v>391</v>
      </c>
      <c r="M2" t="s">
        <v>394</v>
      </c>
      <c r="N2" t="s">
        <v>1250</v>
      </c>
      <c r="P2" t="s">
        <v>226</v>
      </c>
      <c r="Q2" t="s">
        <v>227</v>
      </c>
      <c r="R2" t="s">
        <v>231</v>
      </c>
      <c r="S2" t="s">
        <v>225</v>
      </c>
      <c r="T2" t="s">
        <v>228</v>
      </c>
      <c r="U2" t="s">
        <v>229</v>
      </c>
      <c r="V2" t="s">
        <v>230</v>
      </c>
      <c r="W2" t="s">
        <v>232</v>
      </c>
      <c r="Y2" t="s">
        <v>1361</v>
      </c>
      <c r="Z2" t="s">
        <v>1362</v>
      </c>
      <c r="AA2" t="s">
        <v>1363</v>
      </c>
      <c r="AB2" t="s">
        <v>1364</v>
      </c>
      <c r="AC2" t="s">
        <v>1365</v>
      </c>
      <c r="AE2" t="s">
        <v>1680</v>
      </c>
      <c r="AF2" t="s">
        <v>1362</v>
      </c>
      <c r="AG2" t="s">
        <v>1681</v>
      </c>
      <c r="AH2" t="s">
        <v>1364</v>
      </c>
      <c r="AI2" t="s">
        <v>1682</v>
      </c>
      <c r="AK2" t="s">
        <v>1805</v>
      </c>
      <c r="AL2" t="s">
        <v>1362</v>
      </c>
      <c r="AM2" t="s">
        <v>1806</v>
      </c>
      <c r="AN2" t="s">
        <v>1459</v>
      </c>
      <c r="AO2" t="s">
        <v>1666</v>
      </c>
    </row>
    <row r="3" spans="1:41">
      <c r="A3" t="s">
        <v>37</v>
      </c>
      <c r="C3" t="s">
        <v>196</v>
      </c>
      <c r="E3" t="s">
        <v>200</v>
      </c>
      <c r="G3" t="s">
        <v>204</v>
      </c>
      <c r="H3" t="s">
        <v>206</v>
      </c>
      <c r="I3" t="s">
        <v>207</v>
      </c>
      <c r="K3" t="s">
        <v>396</v>
      </c>
      <c r="L3" t="s">
        <v>397</v>
      </c>
      <c r="N3" t="s">
        <v>399</v>
      </c>
      <c r="P3" t="s">
        <v>234</v>
      </c>
      <c r="Q3" t="s">
        <v>227</v>
      </c>
      <c r="R3" t="s">
        <v>236</v>
      </c>
      <c r="S3" t="s">
        <v>225</v>
      </c>
      <c r="T3" t="s">
        <v>235</v>
      </c>
      <c r="U3" t="s">
        <v>229</v>
      </c>
      <c r="V3" t="s">
        <v>230</v>
      </c>
      <c r="W3" t="s">
        <v>237</v>
      </c>
      <c r="Y3" t="s">
        <v>1366</v>
      </c>
      <c r="Z3" t="s">
        <v>1367</v>
      </c>
      <c r="AA3" t="s">
        <v>1368</v>
      </c>
      <c r="AB3" t="s">
        <v>1369</v>
      </c>
      <c r="AC3" t="s">
        <v>1370</v>
      </c>
      <c r="AE3" t="s">
        <v>1421</v>
      </c>
      <c r="AF3" t="s">
        <v>1362</v>
      </c>
      <c r="AG3" t="s">
        <v>1422</v>
      </c>
      <c r="AH3" t="s">
        <v>1382</v>
      </c>
      <c r="AI3" t="s">
        <v>1423</v>
      </c>
      <c r="AK3" t="s">
        <v>1417</v>
      </c>
      <c r="AL3" t="s">
        <v>1362</v>
      </c>
      <c r="AM3" t="s">
        <v>1418</v>
      </c>
      <c r="AN3" t="s">
        <v>1419</v>
      </c>
      <c r="AO3" t="s">
        <v>1420</v>
      </c>
    </row>
    <row r="4" spans="1:41">
      <c r="A4" t="s">
        <v>192</v>
      </c>
      <c r="C4" t="s">
        <v>197</v>
      </c>
      <c r="G4" t="s">
        <v>208</v>
      </c>
      <c r="H4" t="s">
        <v>209</v>
      </c>
      <c r="I4" t="s">
        <v>210</v>
      </c>
      <c r="K4" t="s">
        <v>400</v>
      </c>
      <c r="L4" t="s">
        <v>401</v>
      </c>
      <c r="M4" t="s">
        <v>403</v>
      </c>
      <c r="N4" t="s">
        <v>1252</v>
      </c>
      <c r="P4" t="s">
        <v>238</v>
      </c>
      <c r="Q4" t="s">
        <v>227</v>
      </c>
      <c r="R4" t="s">
        <v>239</v>
      </c>
      <c r="S4" t="s">
        <v>225</v>
      </c>
      <c r="T4" t="s">
        <v>235</v>
      </c>
      <c r="U4" t="s">
        <v>234</v>
      </c>
      <c r="V4" t="s">
        <v>230</v>
      </c>
      <c r="W4" t="s">
        <v>240</v>
      </c>
      <c r="Y4" t="s">
        <v>1371</v>
      </c>
      <c r="Z4" t="s">
        <v>1362</v>
      </c>
      <c r="AA4" t="s">
        <v>1372</v>
      </c>
      <c r="AB4" t="s">
        <v>1364</v>
      </c>
      <c r="AC4" t="s">
        <v>1373</v>
      </c>
      <c r="AE4" t="s">
        <v>1757</v>
      </c>
      <c r="AF4" t="s">
        <v>1362</v>
      </c>
      <c r="AG4" t="s">
        <v>1758</v>
      </c>
      <c r="AH4" t="s">
        <v>1382</v>
      </c>
      <c r="AI4" t="s">
        <v>1423</v>
      </c>
      <c r="AK4" t="s">
        <v>1442</v>
      </c>
      <c r="AL4" t="s">
        <v>1362</v>
      </c>
      <c r="AM4" t="s">
        <v>1443</v>
      </c>
      <c r="AN4" t="s">
        <v>1419</v>
      </c>
      <c r="AO4" t="s">
        <v>1420</v>
      </c>
    </row>
    <row r="5" spans="1:41">
      <c r="A5" t="s">
        <v>193</v>
      </c>
      <c r="C5" t="s">
        <v>198</v>
      </c>
      <c r="G5" t="s">
        <v>208</v>
      </c>
      <c r="H5" t="s">
        <v>211</v>
      </c>
      <c r="I5" t="s">
        <v>212</v>
      </c>
      <c r="K5" t="s">
        <v>424</v>
      </c>
      <c r="L5" t="s">
        <v>425</v>
      </c>
      <c r="M5" t="s">
        <v>427</v>
      </c>
      <c r="N5" t="s">
        <v>1253</v>
      </c>
      <c r="P5" t="s">
        <v>241</v>
      </c>
      <c r="Q5" t="s">
        <v>227</v>
      </c>
      <c r="R5" t="s">
        <v>242</v>
      </c>
      <c r="S5" t="s">
        <v>225</v>
      </c>
      <c r="T5" t="s">
        <v>235</v>
      </c>
      <c r="U5" t="s">
        <v>234</v>
      </c>
      <c r="V5" t="s">
        <v>230</v>
      </c>
      <c r="W5" t="s">
        <v>243</v>
      </c>
      <c r="Y5" t="s">
        <v>1374</v>
      </c>
      <c r="Z5" t="s">
        <v>1362</v>
      </c>
      <c r="AA5" t="s">
        <v>1375</v>
      </c>
      <c r="AB5" t="s">
        <v>1364</v>
      </c>
      <c r="AC5" t="s">
        <v>1376</v>
      </c>
      <c r="AE5" t="s">
        <v>1833</v>
      </c>
      <c r="AF5" t="s">
        <v>1362</v>
      </c>
      <c r="AG5" t="s">
        <v>1834</v>
      </c>
      <c r="AH5" t="s">
        <v>1364</v>
      </c>
      <c r="AI5" t="s">
        <v>1835</v>
      </c>
      <c r="AK5" t="s">
        <v>1609</v>
      </c>
      <c r="AL5" t="s">
        <v>1362</v>
      </c>
      <c r="AM5" t="s">
        <v>1610</v>
      </c>
      <c r="AN5" t="s">
        <v>1459</v>
      </c>
      <c r="AO5" t="s">
        <v>1420</v>
      </c>
    </row>
    <row r="6" spans="1:41">
      <c r="A6" t="s">
        <v>194</v>
      </c>
      <c r="G6" t="s">
        <v>208</v>
      </c>
      <c r="H6" t="s">
        <v>206</v>
      </c>
      <c r="I6" t="s">
        <v>213</v>
      </c>
      <c r="K6" t="s">
        <v>445</v>
      </c>
      <c r="L6" t="s">
        <v>446</v>
      </c>
      <c r="M6" t="s">
        <v>448</v>
      </c>
      <c r="N6" t="s">
        <v>1254</v>
      </c>
      <c r="P6" t="s">
        <v>245</v>
      </c>
      <c r="Q6" t="s">
        <v>227</v>
      </c>
      <c r="R6" t="s">
        <v>247</v>
      </c>
      <c r="S6" t="s">
        <v>225</v>
      </c>
      <c r="T6" t="s">
        <v>246</v>
      </c>
      <c r="U6" t="s">
        <v>229</v>
      </c>
      <c r="V6" t="s">
        <v>230</v>
      </c>
      <c r="W6" t="s">
        <v>248</v>
      </c>
      <c r="Y6" t="s">
        <v>1377</v>
      </c>
      <c r="Z6" t="s">
        <v>1367</v>
      </c>
      <c r="AA6" t="s">
        <v>1378</v>
      </c>
      <c r="AB6" t="s">
        <v>1369</v>
      </c>
      <c r="AC6" t="s">
        <v>1379</v>
      </c>
      <c r="AE6" t="s">
        <v>1844</v>
      </c>
      <c r="AF6" t="s">
        <v>1362</v>
      </c>
      <c r="AG6" t="s">
        <v>1845</v>
      </c>
      <c r="AH6" t="s">
        <v>1364</v>
      </c>
      <c r="AI6" t="s">
        <v>1423</v>
      </c>
      <c r="AK6" t="s">
        <v>41</v>
      </c>
      <c r="AL6" t="s">
        <v>1362</v>
      </c>
      <c r="AM6" t="s">
        <v>1674</v>
      </c>
      <c r="AN6" t="s">
        <v>1459</v>
      </c>
      <c r="AO6" t="s">
        <v>1420</v>
      </c>
    </row>
    <row r="7" spans="1:41">
      <c r="G7" t="s">
        <v>208</v>
      </c>
      <c r="H7" t="s">
        <v>214</v>
      </c>
      <c r="I7" t="s">
        <v>215</v>
      </c>
      <c r="K7" t="s">
        <v>456</v>
      </c>
      <c r="L7" t="s">
        <v>457</v>
      </c>
      <c r="M7" t="s">
        <v>459</v>
      </c>
      <c r="N7" t="s">
        <v>1255</v>
      </c>
      <c r="P7" t="s">
        <v>249</v>
      </c>
      <c r="Q7" t="s">
        <v>227</v>
      </c>
      <c r="R7" t="s">
        <v>251</v>
      </c>
      <c r="S7" t="s">
        <v>225</v>
      </c>
      <c r="T7" t="s">
        <v>250</v>
      </c>
      <c r="U7" t="s">
        <v>229</v>
      </c>
      <c r="V7" t="s">
        <v>230</v>
      </c>
      <c r="W7" t="s">
        <v>252</v>
      </c>
      <c r="Y7" t="s">
        <v>1380</v>
      </c>
      <c r="Z7" t="s">
        <v>1362</v>
      </c>
      <c r="AA7" t="s">
        <v>1381</v>
      </c>
      <c r="AB7" t="s">
        <v>1382</v>
      </c>
      <c r="AC7" t="s">
        <v>1383</v>
      </c>
      <c r="AE7" t="s">
        <v>1452</v>
      </c>
      <c r="AF7" t="s">
        <v>1362</v>
      </c>
      <c r="AG7" t="s">
        <v>1453</v>
      </c>
      <c r="AH7" t="s">
        <v>1364</v>
      </c>
      <c r="AI7" t="s">
        <v>1454</v>
      </c>
      <c r="AK7" t="s">
        <v>1716</v>
      </c>
      <c r="AL7" t="s">
        <v>1362</v>
      </c>
      <c r="AM7" t="s">
        <v>1717</v>
      </c>
      <c r="AN7" t="s">
        <v>1459</v>
      </c>
      <c r="AO7" t="s">
        <v>1420</v>
      </c>
    </row>
    <row r="8" spans="1:41">
      <c r="K8" t="s">
        <v>515</v>
      </c>
      <c r="L8" t="s">
        <v>516</v>
      </c>
      <c r="M8" t="s">
        <v>518</v>
      </c>
      <c r="N8" t="s">
        <v>1256</v>
      </c>
      <c r="P8" t="s">
        <v>253</v>
      </c>
      <c r="Q8" t="s">
        <v>227</v>
      </c>
      <c r="R8" t="s">
        <v>255</v>
      </c>
      <c r="S8" t="s">
        <v>225</v>
      </c>
      <c r="T8" t="s">
        <v>254</v>
      </c>
      <c r="U8" t="s">
        <v>229</v>
      </c>
      <c r="V8" t="s">
        <v>230</v>
      </c>
      <c r="W8" t="s">
        <v>256</v>
      </c>
      <c r="Y8" t="s">
        <v>1384</v>
      </c>
      <c r="Z8" t="s">
        <v>1362</v>
      </c>
      <c r="AA8" t="s">
        <v>1385</v>
      </c>
      <c r="AB8" t="s">
        <v>1364</v>
      </c>
      <c r="AC8" t="s">
        <v>1386</v>
      </c>
      <c r="AE8" t="s">
        <v>1538</v>
      </c>
      <c r="AF8" t="s">
        <v>1462</v>
      </c>
      <c r="AG8" t="s">
        <v>1539</v>
      </c>
      <c r="AH8" t="s">
        <v>1464</v>
      </c>
      <c r="AI8" t="s">
        <v>1454</v>
      </c>
      <c r="AK8" t="s">
        <v>1516</v>
      </c>
      <c r="AL8" t="s">
        <v>1462</v>
      </c>
      <c r="AM8" t="s">
        <v>1517</v>
      </c>
      <c r="AN8" t="s">
        <v>1464</v>
      </c>
      <c r="AO8" t="s">
        <v>1518</v>
      </c>
    </row>
    <row r="9" spans="1:41">
      <c r="K9" t="s">
        <v>626</v>
      </c>
      <c r="L9" t="s">
        <v>627</v>
      </c>
      <c r="M9" t="s">
        <v>629</v>
      </c>
      <c r="N9" t="s">
        <v>1257</v>
      </c>
      <c r="P9" t="s">
        <v>257</v>
      </c>
      <c r="Q9" t="s">
        <v>227</v>
      </c>
      <c r="R9" t="s">
        <v>259</v>
      </c>
      <c r="S9" t="s">
        <v>225</v>
      </c>
      <c r="T9" t="s">
        <v>258</v>
      </c>
      <c r="U9" t="s">
        <v>229</v>
      </c>
      <c r="V9" t="s">
        <v>230</v>
      </c>
      <c r="W9" t="s">
        <v>260</v>
      </c>
      <c r="Y9" t="s">
        <v>1387</v>
      </c>
      <c r="Z9" t="s">
        <v>1362</v>
      </c>
      <c r="AA9" t="s">
        <v>1388</v>
      </c>
      <c r="AB9" t="s">
        <v>1364</v>
      </c>
      <c r="AC9" t="s">
        <v>1389</v>
      </c>
      <c r="AE9" t="s">
        <v>1724</v>
      </c>
      <c r="AF9" t="s">
        <v>1362</v>
      </c>
      <c r="AG9" t="s">
        <v>1725</v>
      </c>
      <c r="AH9" t="s">
        <v>1364</v>
      </c>
      <c r="AI9" t="s">
        <v>1454</v>
      </c>
      <c r="AK9" t="s">
        <v>17</v>
      </c>
      <c r="AL9" t="s">
        <v>1362</v>
      </c>
      <c r="AM9" t="s">
        <v>1458</v>
      </c>
      <c r="AN9" t="s">
        <v>1459</v>
      </c>
      <c r="AO9" t="s">
        <v>1460</v>
      </c>
    </row>
    <row r="10" spans="1:41">
      <c r="K10" t="s">
        <v>631</v>
      </c>
      <c r="L10" t="s">
        <v>632</v>
      </c>
      <c r="M10" t="s">
        <v>634</v>
      </c>
      <c r="N10" t="s">
        <v>1258</v>
      </c>
      <c r="P10" t="s">
        <v>261</v>
      </c>
      <c r="Q10" t="s">
        <v>227</v>
      </c>
      <c r="R10" t="s">
        <v>263</v>
      </c>
      <c r="S10" t="s">
        <v>225</v>
      </c>
      <c r="T10" t="s">
        <v>262</v>
      </c>
      <c r="U10" t="s">
        <v>229</v>
      </c>
      <c r="V10" t="s">
        <v>230</v>
      </c>
      <c r="W10" t="s">
        <v>264</v>
      </c>
      <c r="Y10" t="s">
        <v>1390</v>
      </c>
      <c r="Z10" t="s">
        <v>1362</v>
      </c>
      <c r="AA10" t="s">
        <v>1391</v>
      </c>
      <c r="AB10" t="s">
        <v>1364</v>
      </c>
      <c r="AC10" t="s">
        <v>1392</v>
      </c>
      <c r="AE10" t="s">
        <v>1803</v>
      </c>
      <c r="AF10" t="s">
        <v>1362</v>
      </c>
      <c r="AG10" t="s">
        <v>1804</v>
      </c>
      <c r="AH10" t="s">
        <v>1382</v>
      </c>
      <c r="AI10" t="s">
        <v>1454</v>
      </c>
      <c r="AK10" t="s">
        <v>1647</v>
      </c>
      <c r="AL10" t="s">
        <v>1462</v>
      </c>
      <c r="AM10" t="s">
        <v>1648</v>
      </c>
      <c r="AN10" t="s">
        <v>1464</v>
      </c>
      <c r="AO10" t="s">
        <v>1649</v>
      </c>
    </row>
    <row r="11" spans="1:41">
      <c r="K11" t="s">
        <v>636</v>
      </c>
      <c r="L11" t="s">
        <v>637</v>
      </c>
      <c r="M11" t="s">
        <v>639</v>
      </c>
      <c r="N11" t="s">
        <v>1259</v>
      </c>
      <c r="P11" t="s">
        <v>265</v>
      </c>
      <c r="Q11" t="s">
        <v>227</v>
      </c>
      <c r="R11" t="s">
        <v>268</v>
      </c>
      <c r="S11" t="s">
        <v>225</v>
      </c>
      <c r="T11" t="s">
        <v>266</v>
      </c>
      <c r="U11" t="s">
        <v>267</v>
      </c>
      <c r="V11" t="s">
        <v>230</v>
      </c>
      <c r="W11" t="s">
        <v>269</v>
      </c>
      <c r="Y11" t="s">
        <v>1393</v>
      </c>
      <c r="Z11" t="s">
        <v>1362</v>
      </c>
      <c r="AA11" t="s">
        <v>1394</v>
      </c>
      <c r="AB11" t="s">
        <v>1364</v>
      </c>
      <c r="AC11" t="s">
        <v>1395</v>
      </c>
      <c r="AE11" t="s">
        <v>1838</v>
      </c>
      <c r="AF11" t="s">
        <v>1362</v>
      </c>
      <c r="AG11" t="s">
        <v>1839</v>
      </c>
      <c r="AH11" t="s">
        <v>1364</v>
      </c>
      <c r="AI11" t="s">
        <v>1454</v>
      </c>
      <c r="AK11" t="s">
        <v>1473</v>
      </c>
      <c r="AL11" t="s">
        <v>1362</v>
      </c>
      <c r="AM11" t="s">
        <v>1474</v>
      </c>
      <c r="AN11" t="s">
        <v>1364</v>
      </c>
      <c r="AO11" t="s">
        <v>1475</v>
      </c>
    </row>
    <row r="12" spans="1:41">
      <c r="K12" t="s">
        <v>641</v>
      </c>
      <c r="L12" t="s">
        <v>642</v>
      </c>
      <c r="M12" t="s">
        <v>644</v>
      </c>
      <c r="N12" t="s">
        <v>1260</v>
      </c>
      <c r="P12" t="s">
        <v>270</v>
      </c>
      <c r="Q12" t="s">
        <v>227</v>
      </c>
      <c r="R12" t="s">
        <v>273</v>
      </c>
      <c r="S12" t="s">
        <v>225</v>
      </c>
      <c r="T12" t="s">
        <v>271</v>
      </c>
      <c r="U12" t="s">
        <v>272</v>
      </c>
      <c r="V12" t="s">
        <v>230</v>
      </c>
      <c r="W12" t="s">
        <v>274</v>
      </c>
      <c r="Y12" t="s">
        <v>1396</v>
      </c>
      <c r="Z12" t="s">
        <v>1362</v>
      </c>
      <c r="AA12" t="s">
        <v>1397</v>
      </c>
      <c r="AB12" t="s">
        <v>1364</v>
      </c>
      <c r="AC12" t="s">
        <v>1398</v>
      </c>
      <c r="AE12" t="s">
        <v>1842</v>
      </c>
      <c r="AF12" t="s">
        <v>1362</v>
      </c>
      <c r="AG12" t="s">
        <v>1843</v>
      </c>
      <c r="AH12" t="s">
        <v>1364</v>
      </c>
      <c r="AI12" t="s">
        <v>1454</v>
      </c>
      <c r="AK12" t="s">
        <v>1611</v>
      </c>
      <c r="AL12" t="s">
        <v>1362</v>
      </c>
      <c r="AM12" t="s">
        <v>1612</v>
      </c>
      <c r="AN12" t="s">
        <v>1364</v>
      </c>
      <c r="AO12" t="s">
        <v>1613</v>
      </c>
    </row>
    <row r="13" spans="1:41">
      <c r="K13" t="s">
        <v>646</v>
      </c>
      <c r="L13" t="s">
        <v>647</v>
      </c>
      <c r="M13" t="s">
        <v>649</v>
      </c>
      <c r="N13" t="s">
        <v>1261</v>
      </c>
      <c r="P13" t="s">
        <v>275</v>
      </c>
      <c r="Q13" t="s">
        <v>227</v>
      </c>
      <c r="R13" t="s">
        <v>247</v>
      </c>
      <c r="S13" t="s">
        <v>225</v>
      </c>
      <c r="T13" t="s">
        <v>276</v>
      </c>
      <c r="U13" t="s">
        <v>272</v>
      </c>
      <c r="V13" t="s">
        <v>230</v>
      </c>
      <c r="W13" t="s">
        <v>277</v>
      </c>
      <c r="Y13" t="s">
        <v>1399</v>
      </c>
      <c r="Z13" t="s">
        <v>1362</v>
      </c>
      <c r="AA13" t="s">
        <v>1400</v>
      </c>
      <c r="AB13" t="s">
        <v>1364</v>
      </c>
      <c r="AC13" t="s">
        <v>1401</v>
      </c>
      <c r="AE13" t="s">
        <v>1620</v>
      </c>
      <c r="AF13" t="s">
        <v>1362</v>
      </c>
      <c r="AG13" t="s">
        <v>1621</v>
      </c>
      <c r="AH13" t="s">
        <v>1364</v>
      </c>
      <c r="AI13" t="s">
        <v>1622</v>
      </c>
      <c r="AK13" t="s">
        <v>1444</v>
      </c>
      <c r="AL13" t="s">
        <v>1362</v>
      </c>
      <c r="AM13" t="s">
        <v>1445</v>
      </c>
      <c r="AN13" t="s">
        <v>1382</v>
      </c>
      <c r="AO13" t="s">
        <v>1446</v>
      </c>
    </row>
    <row r="14" spans="1:41">
      <c r="K14" t="s">
        <v>651</v>
      </c>
      <c r="L14" t="s">
        <v>652</v>
      </c>
      <c r="M14" t="s">
        <v>654</v>
      </c>
      <c r="N14" t="s">
        <v>1262</v>
      </c>
      <c r="P14" t="s">
        <v>278</v>
      </c>
      <c r="Q14" t="s">
        <v>227</v>
      </c>
      <c r="R14" t="s">
        <v>280</v>
      </c>
      <c r="S14" t="s">
        <v>225</v>
      </c>
      <c r="T14" t="s">
        <v>279</v>
      </c>
      <c r="U14" t="s">
        <v>272</v>
      </c>
      <c r="V14" t="s">
        <v>230</v>
      </c>
      <c r="W14" t="s">
        <v>281</v>
      </c>
      <c r="Y14" t="s">
        <v>1402</v>
      </c>
      <c r="Z14" t="s">
        <v>1362</v>
      </c>
      <c r="AA14" t="s">
        <v>1403</v>
      </c>
      <c r="AB14" t="s">
        <v>1364</v>
      </c>
      <c r="AC14" t="s">
        <v>1404</v>
      </c>
      <c r="AE14" t="s">
        <v>1688</v>
      </c>
      <c r="AF14" t="s">
        <v>1362</v>
      </c>
      <c r="AG14" t="s">
        <v>1689</v>
      </c>
      <c r="AH14" t="s">
        <v>1364</v>
      </c>
      <c r="AI14" t="s">
        <v>1622</v>
      </c>
    </row>
    <row r="15" spans="1:41">
      <c r="K15" t="s">
        <v>669</v>
      </c>
      <c r="L15" t="s">
        <v>670</v>
      </c>
      <c r="M15" t="s">
        <v>672</v>
      </c>
      <c r="N15" t="s">
        <v>1263</v>
      </c>
      <c r="P15" t="s">
        <v>282</v>
      </c>
      <c r="Q15" t="s">
        <v>227</v>
      </c>
      <c r="R15" t="s">
        <v>284</v>
      </c>
      <c r="S15" t="s">
        <v>225</v>
      </c>
      <c r="T15" t="s">
        <v>283</v>
      </c>
      <c r="U15" t="s">
        <v>272</v>
      </c>
      <c r="V15" t="s">
        <v>230</v>
      </c>
      <c r="W15" t="s">
        <v>285</v>
      </c>
      <c r="Y15" t="s">
        <v>1405</v>
      </c>
      <c r="Z15" t="s">
        <v>1362</v>
      </c>
      <c r="AA15" t="s">
        <v>1406</v>
      </c>
      <c r="AB15" t="s">
        <v>1407</v>
      </c>
      <c r="AC15" t="s">
        <v>1404</v>
      </c>
      <c r="AE15" t="s">
        <v>1500</v>
      </c>
      <c r="AF15" t="s">
        <v>1362</v>
      </c>
      <c r="AG15" t="s">
        <v>1501</v>
      </c>
      <c r="AH15" t="s">
        <v>1364</v>
      </c>
      <c r="AI15" t="s">
        <v>1502</v>
      </c>
    </row>
    <row r="16" spans="1:41">
      <c r="K16" t="s">
        <v>690</v>
      </c>
      <c r="L16" t="s">
        <v>691</v>
      </c>
      <c r="M16" t="s">
        <v>693</v>
      </c>
      <c r="N16" t="s">
        <v>1264</v>
      </c>
      <c r="P16" t="s">
        <v>286</v>
      </c>
      <c r="Q16" t="s">
        <v>227</v>
      </c>
      <c r="R16" t="s">
        <v>288</v>
      </c>
      <c r="S16" t="s">
        <v>225</v>
      </c>
      <c r="T16" t="s">
        <v>287</v>
      </c>
      <c r="U16" t="s">
        <v>272</v>
      </c>
      <c r="V16" t="s">
        <v>230</v>
      </c>
      <c r="W16" t="s">
        <v>289</v>
      </c>
      <c r="Y16" t="s">
        <v>1408</v>
      </c>
      <c r="Z16" t="s">
        <v>1362</v>
      </c>
      <c r="AA16" t="s">
        <v>1409</v>
      </c>
      <c r="AB16" t="s">
        <v>1364</v>
      </c>
      <c r="AC16" t="s">
        <v>1410</v>
      </c>
      <c r="AE16" t="s">
        <v>42</v>
      </c>
      <c r="AF16" t="s">
        <v>1362</v>
      </c>
      <c r="AG16" t="s">
        <v>1650</v>
      </c>
      <c r="AH16" t="s">
        <v>1364</v>
      </c>
      <c r="AI16" t="s">
        <v>1651</v>
      </c>
    </row>
    <row r="17" spans="11:35">
      <c r="K17" t="s">
        <v>695</v>
      </c>
      <c r="L17" t="s">
        <v>696</v>
      </c>
      <c r="M17" t="s">
        <v>698</v>
      </c>
      <c r="N17" t="s">
        <v>1265</v>
      </c>
      <c r="P17" t="s">
        <v>290</v>
      </c>
      <c r="Q17" t="s">
        <v>227</v>
      </c>
      <c r="R17" t="s">
        <v>292</v>
      </c>
      <c r="S17" t="s">
        <v>225</v>
      </c>
      <c r="T17" t="s">
        <v>291</v>
      </c>
      <c r="U17" t="s">
        <v>272</v>
      </c>
      <c r="V17" t="s">
        <v>230</v>
      </c>
      <c r="W17" t="s">
        <v>293</v>
      </c>
      <c r="Y17" t="s">
        <v>1411</v>
      </c>
      <c r="Z17" t="s">
        <v>1362</v>
      </c>
      <c r="AA17" t="s">
        <v>1412</v>
      </c>
      <c r="AB17" t="s">
        <v>1364</v>
      </c>
      <c r="AC17" t="s">
        <v>1413</v>
      </c>
      <c r="AE17" t="s">
        <v>1749</v>
      </c>
      <c r="AF17" t="s">
        <v>1362</v>
      </c>
      <c r="AG17" t="s">
        <v>1750</v>
      </c>
      <c r="AH17" t="s">
        <v>1364</v>
      </c>
      <c r="AI17" t="s">
        <v>1751</v>
      </c>
    </row>
    <row r="18" spans="11:35">
      <c r="K18" t="s">
        <v>700</v>
      </c>
      <c r="L18" t="s">
        <v>701</v>
      </c>
      <c r="M18" t="s">
        <v>703</v>
      </c>
      <c r="N18" t="s">
        <v>1266</v>
      </c>
      <c r="P18" t="s">
        <v>294</v>
      </c>
      <c r="Q18" t="s">
        <v>227</v>
      </c>
      <c r="R18" t="s">
        <v>296</v>
      </c>
      <c r="S18" t="s">
        <v>225</v>
      </c>
      <c r="T18" t="s">
        <v>295</v>
      </c>
      <c r="U18" t="s">
        <v>272</v>
      </c>
      <c r="V18" t="s">
        <v>230</v>
      </c>
      <c r="W18" t="s">
        <v>297</v>
      </c>
      <c r="Y18" t="s">
        <v>1414</v>
      </c>
      <c r="Z18" t="s">
        <v>1362</v>
      </c>
      <c r="AA18" t="s">
        <v>1415</v>
      </c>
      <c r="AB18" t="s">
        <v>1364</v>
      </c>
      <c r="AC18" t="s">
        <v>1416</v>
      </c>
      <c r="AE18" t="s">
        <v>1444</v>
      </c>
      <c r="AF18" t="s">
        <v>1362</v>
      </c>
      <c r="AG18" t="s">
        <v>1445</v>
      </c>
      <c r="AH18" t="s">
        <v>1382</v>
      </c>
      <c r="AI18" t="s">
        <v>1446</v>
      </c>
    </row>
    <row r="19" spans="11:35">
      <c r="K19" t="s">
        <v>705</v>
      </c>
      <c r="L19" t="s">
        <v>706</v>
      </c>
      <c r="M19" t="s">
        <v>708</v>
      </c>
      <c r="N19" t="s">
        <v>1267</v>
      </c>
      <c r="P19" t="s">
        <v>298</v>
      </c>
      <c r="Q19" t="s">
        <v>227</v>
      </c>
      <c r="R19" t="s">
        <v>300</v>
      </c>
      <c r="S19" t="s">
        <v>225</v>
      </c>
      <c r="T19" t="s">
        <v>299</v>
      </c>
      <c r="U19" t="s">
        <v>272</v>
      </c>
      <c r="V19" t="s">
        <v>230</v>
      </c>
      <c r="W19" t="s">
        <v>301</v>
      </c>
      <c r="Y19" t="s">
        <v>1417</v>
      </c>
      <c r="Z19" t="s">
        <v>1362</v>
      </c>
      <c r="AA19" t="s">
        <v>1418</v>
      </c>
      <c r="AB19" t="s">
        <v>1419</v>
      </c>
      <c r="AC19" t="s">
        <v>1420</v>
      </c>
      <c r="AE19" t="s">
        <v>1514</v>
      </c>
      <c r="AF19" t="s">
        <v>1362</v>
      </c>
      <c r="AG19" t="s">
        <v>1515</v>
      </c>
      <c r="AH19" t="s">
        <v>1382</v>
      </c>
      <c r="AI19" t="s">
        <v>1392</v>
      </c>
    </row>
    <row r="20" spans="11:35">
      <c r="K20" t="s">
        <v>710</v>
      </c>
      <c r="L20" t="s">
        <v>711</v>
      </c>
      <c r="M20" t="s">
        <v>713</v>
      </c>
      <c r="N20" t="s">
        <v>1268</v>
      </c>
      <c r="P20" t="s">
        <v>302</v>
      </c>
      <c r="Q20" t="s">
        <v>227</v>
      </c>
      <c r="R20" t="s">
        <v>305</v>
      </c>
      <c r="S20" t="s">
        <v>225</v>
      </c>
      <c r="T20" t="s">
        <v>303</v>
      </c>
      <c r="U20" t="s">
        <v>304</v>
      </c>
      <c r="V20" t="s">
        <v>230</v>
      </c>
      <c r="W20" t="s">
        <v>306</v>
      </c>
      <c r="Y20" t="s">
        <v>1421</v>
      </c>
      <c r="Z20" t="s">
        <v>1362</v>
      </c>
      <c r="AA20" t="s">
        <v>1422</v>
      </c>
      <c r="AB20" t="s">
        <v>1382</v>
      </c>
      <c r="AC20" t="s">
        <v>1423</v>
      </c>
    </row>
    <row r="21" spans="11:35">
      <c r="K21" t="s">
        <v>715</v>
      </c>
      <c r="L21" t="s">
        <v>716</v>
      </c>
      <c r="M21" t="s">
        <v>718</v>
      </c>
      <c r="N21" t="s">
        <v>1269</v>
      </c>
      <c r="P21" t="s">
        <v>307</v>
      </c>
      <c r="Q21" t="s">
        <v>227</v>
      </c>
      <c r="R21" t="s">
        <v>309</v>
      </c>
      <c r="S21" t="s">
        <v>225</v>
      </c>
      <c r="T21" t="s">
        <v>308</v>
      </c>
      <c r="U21" t="s">
        <v>304</v>
      </c>
      <c r="V21" t="s">
        <v>230</v>
      </c>
      <c r="W21" t="s">
        <v>310</v>
      </c>
      <c r="Y21" t="s">
        <v>1424</v>
      </c>
      <c r="Z21" t="s">
        <v>1362</v>
      </c>
      <c r="AA21" t="s">
        <v>1425</v>
      </c>
      <c r="AB21" t="s">
        <v>1382</v>
      </c>
      <c r="AC21" t="s">
        <v>1426</v>
      </c>
    </row>
    <row r="22" spans="11:35">
      <c r="K22" t="s">
        <v>720</v>
      </c>
      <c r="L22" t="s">
        <v>721</v>
      </c>
      <c r="M22" t="s">
        <v>723</v>
      </c>
      <c r="N22" t="s">
        <v>1270</v>
      </c>
      <c r="P22" t="s">
        <v>311</v>
      </c>
      <c r="Q22" t="s">
        <v>227</v>
      </c>
      <c r="R22" t="s">
        <v>313</v>
      </c>
      <c r="S22" t="s">
        <v>225</v>
      </c>
      <c r="T22" t="s">
        <v>312</v>
      </c>
      <c r="U22" t="s">
        <v>304</v>
      </c>
      <c r="V22" t="s">
        <v>230</v>
      </c>
      <c r="W22" t="s">
        <v>314</v>
      </c>
      <c r="Y22" t="s">
        <v>1427</v>
      </c>
      <c r="Z22" t="s">
        <v>1362</v>
      </c>
      <c r="AA22" t="s">
        <v>1428</v>
      </c>
      <c r="AB22" t="s">
        <v>1364</v>
      </c>
      <c r="AC22" t="s">
        <v>1383</v>
      </c>
    </row>
    <row r="23" spans="11:35">
      <c r="K23" t="s">
        <v>730</v>
      </c>
      <c r="L23" t="s">
        <v>731</v>
      </c>
      <c r="M23" t="s">
        <v>733</v>
      </c>
      <c r="N23" t="s">
        <v>1271</v>
      </c>
      <c r="P23" t="s">
        <v>315</v>
      </c>
      <c r="Q23" t="s">
        <v>227</v>
      </c>
      <c r="R23" t="s">
        <v>317</v>
      </c>
      <c r="S23" t="s">
        <v>225</v>
      </c>
      <c r="T23" t="s">
        <v>316</v>
      </c>
      <c r="U23" t="s">
        <v>311</v>
      </c>
      <c r="V23" t="s">
        <v>230</v>
      </c>
      <c r="W23" t="s">
        <v>318</v>
      </c>
      <c r="Y23" t="s">
        <v>1429</v>
      </c>
      <c r="Z23" t="s">
        <v>1362</v>
      </c>
      <c r="AA23" t="s">
        <v>1430</v>
      </c>
      <c r="AB23" t="s">
        <v>1364</v>
      </c>
      <c r="AC23" t="s">
        <v>1431</v>
      </c>
    </row>
    <row r="24" spans="11:35">
      <c r="K24" t="s">
        <v>735</v>
      </c>
      <c r="L24" t="s">
        <v>736</v>
      </c>
      <c r="M24" t="s">
        <v>738</v>
      </c>
      <c r="N24" t="s">
        <v>1272</v>
      </c>
      <c r="P24" t="s">
        <v>319</v>
      </c>
      <c r="Q24" t="s">
        <v>227</v>
      </c>
      <c r="R24" t="s">
        <v>321</v>
      </c>
      <c r="S24" t="s">
        <v>225</v>
      </c>
      <c r="T24" t="s">
        <v>320</v>
      </c>
      <c r="U24" t="s">
        <v>311</v>
      </c>
      <c r="V24" t="s">
        <v>230</v>
      </c>
      <c r="W24" t="s">
        <v>322</v>
      </c>
      <c r="Y24" t="s">
        <v>1432</v>
      </c>
      <c r="Z24" t="s">
        <v>1362</v>
      </c>
      <c r="AA24" t="s">
        <v>1433</v>
      </c>
      <c r="AB24" t="s">
        <v>1364</v>
      </c>
      <c r="AC24" t="s">
        <v>1416</v>
      </c>
    </row>
    <row r="25" spans="11:35">
      <c r="K25" t="s">
        <v>740</v>
      </c>
      <c r="L25" t="s">
        <v>741</v>
      </c>
      <c r="M25" t="s">
        <v>743</v>
      </c>
      <c r="N25" t="s">
        <v>1273</v>
      </c>
      <c r="P25" t="s">
        <v>323</v>
      </c>
      <c r="Q25" t="s">
        <v>227</v>
      </c>
      <c r="R25" t="s">
        <v>325</v>
      </c>
      <c r="S25" t="s">
        <v>225</v>
      </c>
      <c r="T25" t="s">
        <v>324</v>
      </c>
      <c r="U25" t="s">
        <v>304</v>
      </c>
      <c r="V25" t="s">
        <v>230</v>
      </c>
      <c r="W25" t="s">
        <v>326</v>
      </c>
      <c r="Y25" t="s">
        <v>1434</v>
      </c>
      <c r="Z25" t="s">
        <v>1362</v>
      </c>
      <c r="AA25" t="s">
        <v>1435</v>
      </c>
      <c r="AB25" t="s">
        <v>1364</v>
      </c>
      <c r="AC25" t="s">
        <v>1436</v>
      </c>
    </row>
    <row r="26" spans="11:35">
      <c r="K26" t="s">
        <v>745</v>
      </c>
      <c r="L26" t="s">
        <v>746</v>
      </c>
      <c r="M26" t="s">
        <v>748</v>
      </c>
      <c r="N26" t="s">
        <v>1274</v>
      </c>
      <c r="P26" t="s">
        <v>327</v>
      </c>
      <c r="Q26" t="s">
        <v>227</v>
      </c>
      <c r="R26" t="s">
        <v>329</v>
      </c>
      <c r="S26" t="s">
        <v>225</v>
      </c>
      <c r="T26" t="s">
        <v>328</v>
      </c>
      <c r="U26" t="s">
        <v>304</v>
      </c>
      <c r="V26" t="s">
        <v>230</v>
      </c>
      <c r="W26" t="s">
        <v>330</v>
      </c>
      <c r="Y26" t="s">
        <v>1437</v>
      </c>
      <c r="Z26" t="s">
        <v>1362</v>
      </c>
      <c r="AA26" t="s">
        <v>1438</v>
      </c>
      <c r="AB26" t="s">
        <v>1364</v>
      </c>
    </row>
    <row r="27" spans="11:35">
      <c r="K27" t="s">
        <v>849</v>
      </c>
      <c r="L27" t="s">
        <v>850</v>
      </c>
      <c r="M27" t="s">
        <v>852</v>
      </c>
      <c r="N27" t="s">
        <v>1275</v>
      </c>
      <c r="P27" t="s">
        <v>331</v>
      </c>
      <c r="Q27" t="s">
        <v>227</v>
      </c>
      <c r="R27" t="s">
        <v>280</v>
      </c>
      <c r="S27" t="s">
        <v>225</v>
      </c>
      <c r="T27" t="s">
        <v>332</v>
      </c>
      <c r="U27" t="s">
        <v>304</v>
      </c>
      <c r="V27" t="s">
        <v>230</v>
      </c>
      <c r="W27" t="s">
        <v>333</v>
      </c>
      <c r="Y27" t="s">
        <v>1439</v>
      </c>
      <c r="Z27" t="s">
        <v>1362</v>
      </c>
      <c r="AA27" t="s">
        <v>1440</v>
      </c>
      <c r="AB27" t="s">
        <v>1364</v>
      </c>
      <c r="AC27" t="s">
        <v>1441</v>
      </c>
    </row>
    <row r="28" spans="11:35">
      <c r="K28" t="s">
        <v>854</v>
      </c>
      <c r="L28" t="s">
        <v>855</v>
      </c>
      <c r="M28" t="s">
        <v>857</v>
      </c>
      <c r="N28" t="s">
        <v>1276</v>
      </c>
      <c r="P28" t="s">
        <v>334</v>
      </c>
      <c r="Q28" t="s">
        <v>227</v>
      </c>
      <c r="R28" t="s">
        <v>336</v>
      </c>
      <c r="S28" t="s">
        <v>225</v>
      </c>
      <c r="T28" t="s">
        <v>335</v>
      </c>
      <c r="U28" t="s">
        <v>304</v>
      </c>
      <c r="V28" t="s">
        <v>230</v>
      </c>
      <c r="W28" t="s">
        <v>337</v>
      </c>
      <c r="Y28" t="s">
        <v>1442</v>
      </c>
      <c r="Z28" t="s">
        <v>1362</v>
      </c>
      <c r="AA28" t="s">
        <v>1443</v>
      </c>
      <c r="AB28" t="s">
        <v>1419</v>
      </c>
      <c r="AC28" t="s">
        <v>1420</v>
      </c>
    </row>
    <row r="29" spans="11:35">
      <c r="K29" t="s">
        <v>864</v>
      </c>
      <c r="L29" t="s">
        <v>865</v>
      </c>
      <c r="M29" t="s">
        <v>867</v>
      </c>
      <c r="N29" t="s">
        <v>1277</v>
      </c>
      <c r="P29" t="s">
        <v>338</v>
      </c>
      <c r="Q29" t="s">
        <v>227</v>
      </c>
      <c r="R29" t="s">
        <v>340</v>
      </c>
      <c r="S29" t="s">
        <v>225</v>
      </c>
      <c r="T29" t="s">
        <v>339</v>
      </c>
      <c r="U29" t="s">
        <v>304</v>
      </c>
      <c r="V29" t="s">
        <v>230</v>
      </c>
      <c r="W29" t="s">
        <v>341</v>
      </c>
      <c r="Y29" t="s">
        <v>1444</v>
      </c>
      <c r="Z29" t="s">
        <v>1362</v>
      </c>
      <c r="AA29" t="s">
        <v>1445</v>
      </c>
      <c r="AB29" t="s">
        <v>1382</v>
      </c>
      <c r="AC29" t="s">
        <v>1446</v>
      </c>
    </row>
    <row r="30" spans="11:35">
      <c r="K30" t="s">
        <v>877</v>
      </c>
      <c r="L30" t="s">
        <v>878</v>
      </c>
      <c r="M30" t="s">
        <v>880</v>
      </c>
      <c r="N30" t="s">
        <v>1278</v>
      </c>
      <c r="P30" t="s">
        <v>342</v>
      </c>
      <c r="Q30" t="s">
        <v>227</v>
      </c>
      <c r="R30" t="s">
        <v>344</v>
      </c>
      <c r="S30" t="s">
        <v>225</v>
      </c>
      <c r="T30" t="s">
        <v>343</v>
      </c>
      <c r="U30" t="s">
        <v>304</v>
      </c>
      <c r="V30" t="s">
        <v>230</v>
      </c>
      <c r="W30" t="s">
        <v>345</v>
      </c>
      <c r="Y30" t="s">
        <v>1447</v>
      </c>
      <c r="Z30" t="s">
        <v>1362</v>
      </c>
      <c r="AA30" t="s">
        <v>1448</v>
      </c>
      <c r="AB30" t="s">
        <v>1364</v>
      </c>
      <c r="AC30" t="s">
        <v>1383</v>
      </c>
    </row>
    <row r="31" spans="11:35">
      <c r="K31" t="s">
        <v>882</v>
      </c>
      <c r="L31" t="s">
        <v>883</v>
      </c>
      <c r="M31" t="s">
        <v>885</v>
      </c>
      <c r="N31" t="s">
        <v>1279</v>
      </c>
      <c r="P31" t="s">
        <v>346</v>
      </c>
      <c r="Q31" t="s">
        <v>227</v>
      </c>
      <c r="R31" t="s">
        <v>231</v>
      </c>
      <c r="S31" t="s">
        <v>225</v>
      </c>
      <c r="T31" t="s">
        <v>347</v>
      </c>
      <c r="U31" t="s">
        <v>342</v>
      </c>
      <c r="V31" t="s">
        <v>230</v>
      </c>
      <c r="W31" t="s">
        <v>348</v>
      </c>
      <c r="Y31" t="s">
        <v>1449</v>
      </c>
      <c r="Z31" t="s">
        <v>1362</v>
      </c>
      <c r="AA31" t="s">
        <v>1450</v>
      </c>
      <c r="AC31" t="s">
        <v>1451</v>
      </c>
    </row>
    <row r="32" spans="11:35">
      <c r="K32" t="s">
        <v>887</v>
      </c>
      <c r="L32" t="s">
        <v>888</v>
      </c>
      <c r="M32" t="s">
        <v>890</v>
      </c>
      <c r="N32" t="s">
        <v>1280</v>
      </c>
      <c r="P32" t="s">
        <v>349</v>
      </c>
      <c r="Q32" t="s">
        <v>227</v>
      </c>
      <c r="R32" t="s">
        <v>236</v>
      </c>
      <c r="S32" t="s">
        <v>225</v>
      </c>
      <c r="T32" t="s">
        <v>350</v>
      </c>
      <c r="U32" t="s">
        <v>342</v>
      </c>
      <c r="V32" t="s">
        <v>230</v>
      </c>
      <c r="W32" t="s">
        <v>351</v>
      </c>
      <c r="Y32" t="s">
        <v>1452</v>
      </c>
      <c r="Z32" t="s">
        <v>1362</v>
      </c>
      <c r="AA32" t="s">
        <v>1453</v>
      </c>
      <c r="AB32" t="s">
        <v>1364</v>
      </c>
      <c r="AC32" t="s">
        <v>1454</v>
      </c>
    </row>
    <row r="33" spans="11:29">
      <c r="K33" t="s">
        <v>906</v>
      </c>
      <c r="L33" t="s">
        <v>907</v>
      </c>
      <c r="M33" t="s">
        <v>909</v>
      </c>
      <c r="N33" t="s">
        <v>1281</v>
      </c>
      <c r="P33" t="s">
        <v>352</v>
      </c>
      <c r="Q33" t="s">
        <v>227</v>
      </c>
      <c r="R33" t="s">
        <v>242</v>
      </c>
      <c r="S33" t="s">
        <v>225</v>
      </c>
      <c r="T33" t="s">
        <v>353</v>
      </c>
      <c r="U33" t="s">
        <v>342</v>
      </c>
      <c r="V33" t="s">
        <v>230</v>
      </c>
      <c r="W33" t="s">
        <v>354</v>
      </c>
      <c r="Y33" t="s">
        <v>1455</v>
      </c>
      <c r="Z33" t="s">
        <v>1362</v>
      </c>
      <c r="AA33" t="s">
        <v>1456</v>
      </c>
      <c r="AB33" t="s">
        <v>1364</v>
      </c>
      <c r="AC33" t="s">
        <v>1457</v>
      </c>
    </row>
    <row r="34" spans="11:29">
      <c r="K34" t="s">
        <v>916</v>
      </c>
      <c r="L34" t="s">
        <v>917</v>
      </c>
      <c r="M34" t="s">
        <v>919</v>
      </c>
      <c r="N34" t="s">
        <v>1282</v>
      </c>
      <c r="P34" t="s">
        <v>355</v>
      </c>
      <c r="Q34" t="s">
        <v>227</v>
      </c>
      <c r="R34" t="s">
        <v>247</v>
      </c>
      <c r="S34" t="s">
        <v>225</v>
      </c>
      <c r="T34" t="s">
        <v>356</v>
      </c>
      <c r="U34" t="s">
        <v>342</v>
      </c>
      <c r="V34" t="s">
        <v>230</v>
      </c>
      <c r="W34" t="s">
        <v>357</v>
      </c>
      <c r="Y34" t="s">
        <v>17</v>
      </c>
      <c r="Z34" t="s">
        <v>1362</v>
      </c>
      <c r="AA34" t="s">
        <v>1458</v>
      </c>
      <c r="AB34" t="s">
        <v>1459</v>
      </c>
      <c r="AC34" t="s">
        <v>1460</v>
      </c>
    </row>
    <row r="35" spans="11:29">
      <c r="K35" t="s">
        <v>921</v>
      </c>
      <c r="L35" t="s">
        <v>922</v>
      </c>
      <c r="M35" t="s">
        <v>924</v>
      </c>
      <c r="N35" t="s">
        <v>1283</v>
      </c>
      <c r="P35" t="s">
        <v>358</v>
      </c>
      <c r="Q35" t="s">
        <v>227</v>
      </c>
      <c r="R35" t="s">
        <v>360</v>
      </c>
      <c r="S35" t="s">
        <v>225</v>
      </c>
      <c r="T35" t="s">
        <v>359</v>
      </c>
      <c r="U35" t="s">
        <v>342</v>
      </c>
      <c r="V35" t="s">
        <v>230</v>
      </c>
      <c r="W35" t="s">
        <v>361</v>
      </c>
      <c r="Y35" t="s">
        <v>1461</v>
      </c>
      <c r="Z35" t="s">
        <v>1462</v>
      </c>
      <c r="AA35" t="s">
        <v>1463</v>
      </c>
      <c r="AB35" t="s">
        <v>1464</v>
      </c>
    </row>
    <row r="36" spans="11:29">
      <c r="K36" t="s">
        <v>926</v>
      </c>
      <c r="L36" t="s">
        <v>927</v>
      </c>
      <c r="M36" t="s">
        <v>929</v>
      </c>
      <c r="N36" t="s">
        <v>1284</v>
      </c>
      <c r="P36" t="s">
        <v>362</v>
      </c>
      <c r="Q36" t="s">
        <v>227</v>
      </c>
      <c r="R36" t="s">
        <v>255</v>
      </c>
      <c r="S36" t="s">
        <v>225</v>
      </c>
      <c r="T36" t="s">
        <v>363</v>
      </c>
      <c r="U36" t="s">
        <v>342</v>
      </c>
      <c r="V36" t="s">
        <v>230</v>
      </c>
      <c r="W36" t="s">
        <v>364</v>
      </c>
      <c r="Y36" t="s">
        <v>1465</v>
      </c>
      <c r="Z36" t="s">
        <v>1362</v>
      </c>
      <c r="AA36" t="s">
        <v>1466</v>
      </c>
      <c r="AC36" t="s">
        <v>1467</v>
      </c>
    </row>
    <row r="37" spans="11:29">
      <c r="K37" t="s">
        <v>931</v>
      </c>
      <c r="L37" t="s">
        <v>932</v>
      </c>
      <c r="M37" t="s">
        <v>934</v>
      </c>
      <c r="N37" t="s">
        <v>1285</v>
      </c>
      <c r="P37" t="s">
        <v>365</v>
      </c>
      <c r="Q37" t="s">
        <v>227</v>
      </c>
      <c r="R37" t="s">
        <v>259</v>
      </c>
      <c r="S37" t="s">
        <v>225</v>
      </c>
      <c r="T37" t="s">
        <v>366</v>
      </c>
      <c r="U37" t="s">
        <v>342</v>
      </c>
      <c r="V37" t="s">
        <v>230</v>
      </c>
      <c r="W37" t="s">
        <v>367</v>
      </c>
      <c r="Y37" t="s">
        <v>1468</v>
      </c>
      <c r="Z37" t="s">
        <v>1462</v>
      </c>
      <c r="AA37" t="s">
        <v>1469</v>
      </c>
      <c r="AB37" t="s">
        <v>1464</v>
      </c>
      <c r="AC37" t="s">
        <v>1470</v>
      </c>
    </row>
    <row r="38" spans="11:29">
      <c r="K38" t="s">
        <v>946</v>
      </c>
      <c r="L38" t="s">
        <v>947</v>
      </c>
      <c r="M38" t="s">
        <v>949</v>
      </c>
      <c r="N38" t="s">
        <v>1286</v>
      </c>
      <c r="P38" t="s">
        <v>368</v>
      </c>
      <c r="Q38" t="s">
        <v>227</v>
      </c>
      <c r="R38" t="s">
        <v>263</v>
      </c>
      <c r="S38" t="s">
        <v>225</v>
      </c>
      <c r="T38" t="s">
        <v>369</v>
      </c>
      <c r="U38" t="s">
        <v>342</v>
      </c>
      <c r="V38" t="s">
        <v>230</v>
      </c>
      <c r="W38" t="s">
        <v>370</v>
      </c>
      <c r="Y38" t="s">
        <v>1471</v>
      </c>
      <c r="Z38" t="s">
        <v>1362</v>
      </c>
      <c r="AA38" t="s">
        <v>1472</v>
      </c>
      <c r="AB38" t="s">
        <v>1364</v>
      </c>
      <c r="AC38" t="s">
        <v>1451</v>
      </c>
    </row>
    <row r="39" spans="11:29">
      <c r="K39" t="s">
        <v>951</v>
      </c>
      <c r="L39" t="s">
        <v>952</v>
      </c>
      <c r="M39" t="s">
        <v>954</v>
      </c>
      <c r="N39" t="s">
        <v>1287</v>
      </c>
      <c r="P39" t="s">
        <v>371</v>
      </c>
      <c r="Q39" t="s">
        <v>227</v>
      </c>
      <c r="R39" t="s">
        <v>373</v>
      </c>
      <c r="S39" t="s">
        <v>225</v>
      </c>
      <c r="T39" t="s">
        <v>372</v>
      </c>
      <c r="U39" t="s">
        <v>342</v>
      </c>
      <c r="V39" t="s">
        <v>230</v>
      </c>
      <c r="W39" t="s">
        <v>374</v>
      </c>
      <c r="Y39" t="s">
        <v>1473</v>
      </c>
      <c r="Z39" t="s">
        <v>1362</v>
      </c>
      <c r="AA39" t="s">
        <v>1474</v>
      </c>
      <c r="AB39" t="s">
        <v>1364</v>
      </c>
      <c r="AC39" t="s">
        <v>1475</v>
      </c>
    </row>
    <row r="40" spans="11:29">
      <c r="K40" t="s">
        <v>956</v>
      </c>
      <c r="L40" t="s">
        <v>957</v>
      </c>
      <c r="M40" t="s">
        <v>959</v>
      </c>
      <c r="N40" t="s">
        <v>1288</v>
      </c>
      <c r="P40" t="s">
        <v>375</v>
      </c>
      <c r="Q40" t="s">
        <v>227</v>
      </c>
      <c r="R40" t="s">
        <v>377</v>
      </c>
      <c r="S40" t="s">
        <v>225</v>
      </c>
      <c r="T40" t="s">
        <v>376</v>
      </c>
      <c r="U40" t="s">
        <v>304</v>
      </c>
      <c r="V40" t="s">
        <v>230</v>
      </c>
      <c r="W40" t="s">
        <v>378</v>
      </c>
      <c r="Y40" t="s">
        <v>1476</v>
      </c>
      <c r="Z40" t="s">
        <v>1362</v>
      </c>
      <c r="AA40" t="s">
        <v>1477</v>
      </c>
      <c r="AB40" t="s">
        <v>1364</v>
      </c>
      <c r="AC40" t="s">
        <v>1478</v>
      </c>
    </row>
    <row r="41" spans="11:29">
      <c r="K41" t="s">
        <v>966</v>
      </c>
      <c r="L41" t="s">
        <v>967</v>
      </c>
      <c r="M41" t="s">
        <v>969</v>
      </c>
      <c r="N41" t="s">
        <v>1289</v>
      </c>
      <c r="P41" t="s">
        <v>379</v>
      </c>
      <c r="Q41" t="s">
        <v>227</v>
      </c>
      <c r="R41" t="s">
        <v>381</v>
      </c>
      <c r="S41" t="s">
        <v>225</v>
      </c>
      <c r="T41" t="s">
        <v>380</v>
      </c>
      <c r="U41" t="s">
        <v>304</v>
      </c>
      <c r="V41" t="s">
        <v>230</v>
      </c>
      <c r="W41" t="s">
        <v>382</v>
      </c>
      <c r="Y41" t="s">
        <v>1479</v>
      </c>
      <c r="Z41" t="s">
        <v>1362</v>
      </c>
      <c r="AA41" t="s">
        <v>1480</v>
      </c>
      <c r="AB41" t="s">
        <v>1364</v>
      </c>
      <c r="AC41" t="s">
        <v>1481</v>
      </c>
    </row>
    <row r="42" spans="11:29">
      <c r="K42" t="s">
        <v>986</v>
      </c>
      <c r="L42" t="s">
        <v>987</v>
      </c>
      <c r="M42" t="s">
        <v>989</v>
      </c>
      <c r="N42" t="s">
        <v>1290</v>
      </c>
      <c r="P42" t="s">
        <v>383</v>
      </c>
      <c r="Q42" t="s">
        <v>227</v>
      </c>
      <c r="R42" t="s">
        <v>385</v>
      </c>
      <c r="S42" t="s">
        <v>225</v>
      </c>
      <c r="T42" t="s">
        <v>384</v>
      </c>
      <c r="U42" t="s">
        <v>304</v>
      </c>
      <c r="V42" t="s">
        <v>230</v>
      </c>
      <c r="W42" t="s">
        <v>386</v>
      </c>
      <c r="Y42" t="s">
        <v>1482</v>
      </c>
      <c r="Z42" t="s">
        <v>1362</v>
      </c>
      <c r="AA42" t="s">
        <v>1483</v>
      </c>
      <c r="AB42" t="s">
        <v>1484</v>
      </c>
      <c r="AC42" t="s">
        <v>1370</v>
      </c>
    </row>
    <row r="43" spans="11:29">
      <c r="K43" t="s">
        <v>991</v>
      </c>
      <c r="L43" t="s">
        <v>992</v>
      </c>
      <c r="M43" t="s">
        <v>994</v>
      </c>
      <c r="N43" t="s">
        <v>1291</v>
      </c>
      <c r="P43" t="s">
        <v>387</v>
      </c>
      <c r="Q43" t="s">
        <v>227</v>
      </c>
      <c r="R43" t="s">
        <v>373</v>
      </c>
      <c r="S43" t="s">
        <v>225</v>
      </c>
      <c r="T43" t="s">
        <v>388</v>
      </c>
      <c r="U43" t="s">
        <v>304</v>
      </c>
      <c r="V43" t="s">
        <v>230</v>
      </c>
      <c r="W43" t="s">
        <v>389</v>
      </c>
      <c r="Y43" t="s">
        <v>1485</v>
      </c>
      <c r="Z43" t="s">
        <v>1362</v>
      </c>
      <c r="AA43" t="s">
        <v>1486</v>
      </c>
      <c r="AB43" t="s">
        <v>1364</v>
      </c>
      <c r="AC43" t="s">
        <v>1487</v>
      </c>
    </row>
    <row r="44" spans="11:29">
      <c r="K44" t="s">
        <v>996</v>
      </c>
      <c r="L44" t="s">
        <v>997</v>
      </c>
      <c r="M44" t="s">
        <v>999</v>
      </c>
      <c r="N44" t="s">
        <v>1292</v>
      </c>
      <c r="P44" t="s">
        <v>390</v>
      </c>
      <c r="Q44" t="s">
        <v>391</v>
      </c>
      <c r="R44" t="s">
        <v>394</v>
      </c>
      <c r="S44" t="s">
        <v>225</v>
      </c>
      <c r="T44" t="s">
        <v>392</v>
      </c>
      <c r="U44" t="s">
        <v>393</v>
      </c>
      <c r="V44" t="s">
        <v>230</v>
      </c>
      <c r="W44" t="s">
        <v>395</v>
      </c>
      <c r="Y44" t="s">
        <v>1488</v>
      </c>
      <c r="Z44" t="s">
        <v>1362</v>
      </c>
      <c r="AA44" t="s">
        <v>1489</v>
      </c>
      <c r="AB44" t="s">
        <v>1382</v>
      </c>
      <c r="AC44" t="s">
        <v>1490</v>
      </c>
    </row>
    <row r="45" spans="11:29">
      <c r="K45" t="s">
        <v>1011</v>
      </c>
      <c r="L45" t="s">
        <v>1012</v>
      </c>
      <c r="M45" t="s">
        <v>1014</v>
      </c>
      <c r="N45" t="s">
        <v>1293</v>
      </c>
      <c r="P45" t="s">
        <v>396</v>
      </c>
      <c r="Q45" t="s">
        <v>397</v>
      </c>
      <c r="S45" t="s">
        <v>225</v>
      </c>
      <c r="T45" t="s">
        <v>398</v>
      </c>
      <c r="U45" t="s">
        <v>393</v>
      </c>
      <c r="V45" t="s">
        <v>230</v>
      </c>
      <c r="W45" t="s">
        <v>399</v>
      </c>
      <c r="Y45" t="s">
        <v>1491</v>
      </c>
      <c r="Z45" t="s">
        <v>1362</v>
      </c>
      <c r="AA45" t="s">
        <v>1492</v>
      </c>
      <c r="AB45" t="s">
        <v>1364</v>
      </c>
      <c r="AC45" t="s">
        <v>1493</v>
      </c>
    </row>
    <row r="46" spans="11:29">
      <c r="K46" t="s">
        <v>1025</v>
      </c>
      <c r="L46" t="s">
        <v>1026</v>
      </c>
      <c r="M46" t="s">
        <v>1028</v>
      </c>
      <c r="N46" t="s">
        <v>1294</v>
      </c>
      <c r="P46" t="s">
        <v>400</v>
      </c>
      <c r="Q46" t="s">
        <v>401</v>
      </c>
      <c r="R46" t="s">
        <v>403</v>
      </c>
      <c r="S46" t="s">
        <v>225</v>
      </c>
      <c r="T46" t="s">
        <v>402</v>
      </c>
      <c r="U46" t="s">
        <v>393</v>
      </c>
      <c r="V46" t="s">
        <v>230</v>
      </c>
      <c r="W46" t="s">
        <v>404</v>
      </c>
      <c r="Y46" t="s">
        <v>1494</v>
      </c>
      <c r="Z46" t="s">
        <v>1362</v>
      </c>
      <c r="AA46" t="s">
        <v>1495</v>
      </c>
      <c r="AB46" t="s">
        <v>1364</v>
      </c>
      <c r="AC46" t="s">
        <v>1496</v>
      </c>
    </row>
    <row r="47" spans="11:29">
      <c r="K47" t="s">
        <v>1030</v>
      </c>
      <c r="L47" t="s">
        <v>1031</v>
      </c>
      <c r="M47" t="s">
        <v>1033</v>
      </c>
      <c r="N47" t="s">
        <v>1295</v>
      </c>
      <c r="P47" t="s">
        <v>405</v>
      </c>
      <c r="Q47" t="s">
        <v>227</v>
      </c>
      <c r="R47" t="s">
        <v>407</v>
      </c>
      <c r="S47" t="s">
        <v>225</v>
      </c>
      <c r="T47" t="s">
        <v>406</v>
      </c>
      <c r="U47" t="s">
        <v>307</v>
      </c>
      <c r="V47" t="s">
        <v>230</v>
      </c>
      <c r="W47" t="s">
        <v>408</v>
      </c>
      <c r="Y47" t="s">
        <v>1497</v>
      </c>
      <c r="Z47" t="s">
        <v>1362</v>
      </c>
      <c r="AA47" t="s">
        <v>1498</v>
      </c>
      <c r="AB47" t="s">
        <v>1364</v>
      </c>
      <c r="AC47" t="s">
        <v>1499</v>
      </c>
    </row>
    <row r="48" spans="11:29">
      <c r="K48" t="s">
        <v>1048</v>
      </c>
      <c r="L48" t="s">
        <v>1049</v>
      </c>
      <c r="M48" t="s">
        <v>1051</v>
      </c>
      <c r="N48" t="s">
        <v>1296</v>
      </c>
      <c r="P48" t="s">
        <v>409</v>
      </c>
      <c r="Q48" t="s">
        <v>227</v>
      </c>
      <c r="R48" t="s">
        <v>412</v>
      </c>
      <c r="S48" t="s">
        <v>225</v>
      </c>
      <c r="T48" t="s">
        <v>410</v>
      </c>
      <c r="U48" t="s">
        <v>411</v>
      </c>
      <c r="V48" t="s">
        <v>230</v>
      </c>
      <c r="W48" t="s">
        <v>413</v>
      </c>
      <c r="Y48" t="s">
        <v>1500</v>
      </c>
      <c r="Z48" t="s">
        <v>1362</v>
      </c>
      <c r="AA48" t="s">
        <v>1501</v>
      </c>
      <c r="AB48" t="s">
        <v>1364</v>
      </c>
      <c r="AC48" t="s">
        <v>1502</v>
      </c>
    </row>
    <row r="49" spans="11:29">
      <c r="K49" t="s">
        <v>1071</v>
      </c>
      <c r="L49" t="s">
        <v>1072</v>
      </c>
      <c r="M49" t="s">
        <v>1074</v>
      </c>
      <c r="N49" t="s">
        <v>1297</v>
      </c>
      <c r="P49" t="s">
        <v>414</v>
      </c>
      <c r="Q49" t="s">
        <v>227</v>
      </c>
      <c r="R49" t="s">
        <v>417</v>
      </c>
      <c r="S49" t="s">
        <v>225</v>
      </c>
      <c r="T49" t="s">
        <v>415</v>
      </c>
      <c r="U49" t="s">
        <v>416</v>
      </c>
      <c r="V49" t="s">
        <v>230</v>
      </c>
      <c r="W49" t="s">
        <v>418</v>
      </c>
      <c r="Y49" t="s">
        <v>1503</v>
      </c>
      <c r="Z49" t="s">
        <v>1362</v>
      </c>
      <c r="AA49" t="s">
        <v>1504</v>
      </c>
      <c r="AB49" t="s">
        <v>1364</v>
      </c>
      <c r="AC49" t="s">
        <v>1505</v>
      </c>
    </row>
    <row r="50" spans="11:29">
      <c r="K50" t="s">
        <v>1076</v>
      </c>
      <c r="L50" t="s">
        <v>1077</v>
      </c>
      <c r="M50" t="s">
        <v>1079</v>
      </c>
      <c r="N50" t="s">
        <v>1298</v>
      </c>
      <c r="P50" t="s">
        <v>419</v>
      </c>
      <c r="Q50" t="s">
        <v>227</v>
      </c>
      <c r="R50" t="s">
        <v>422</v>
      </c>
      <c r="S50" t="s">
        <v>225</v>
      </c>
      <c r="T50" t="s">
        <v>420</v>
      </c>
      <c r="U50" t="s">
        <v>421</v>
      </c>
      <c r="V50" t="s">
        <v>230</v>
      </c>
      <c r="W50" t="s">
        <v>423</v>
      </c>
      <c r="Y50" t="s">
        <v>1506</v>
      </c>
      <c r="Z50" t="s">
        <v>1462</v>
      </c>
      <c r="AA50" t="s">
        <v>1507</v>
      </c>
      <c r="AB50" t="s">
        <v>1464</v>
      </c>
      <c r="AC50" t="s">
        <v>1395</v>
      </c>
    </row>
    <row r="51" spans="11:29">
      <c r="K51" t="s">
        <v>1091</v>
      </c>
      <c r="L51" t="s">
        <v>1092</v>
      </c>
      <c r="M51" t="s">
        <v>1094</v>
      </c>
      <c r="N51" t="s">
        <v>1299</v>
      </c>
      <c r="P51" t="s">
        <v>424</v>
      </c>
      <c r="Q51" t="s">
        <v>425</v>
      </c>
      <c r="R51" t="s">
        <v>427</v>
      </c>
      <c r="S51" t="s">
        <v>225</v>
      </c>
      <c r="T51" t="s">
        <v>426</v>
      </c>
      <c r="U51" t="s">
        <v>393</v>
      </c>
      <c r="V51" t="s">
        <v>230</v>
      </c>
      <c r="W51" t="s">
        <v>428</v>
      </c>
      <c r="Y51" t="s">
        <v>1508</v>
      </c>
      <c r="Z51" t="s">
        <v>1362</v>
      </c>
      <c r="AA51" t="s">
        <v>1509</v>
      </c>
      <c r="AB51" t="s">
        <v>1364</v>
      </c>
      <c r="AC51" t="s">
        <v>1510</v>
      </c>
    </row>
    <row r="52" spans="11:29">
      <c r="K52" t="s">
        <v>1096</v>
      </c>
      <c r="L52" t="s">
        <v>1097</v>
      </c>
      <c r="M52" t="s">
        <v>1099</v>
      </c>
      <c r="N52" t="s">
        <v>1300</v>
      </c>
      <c r="P52" t="s">
        <v>429</v>
      </c>
      <c r="Q52" t="s">
        <v>227</v>
      </c>
      <c r="R52" t="s">
        <v>430</v>
      </c>
      <c r="S52" t="s">
        <v>225</v>
      </c>
      <c r="T52" t="s">
        <v>235</v>
      </c>
      <c r="U52" t="s">
        <v>234</v>
      </c>
      <c r="V52" t="s">
        <v>230</v>
      </c>
      <c r="W52" t="s">
        <v>431</v>
      </c>
      <c r="Y52" t="s">
        <v>1511</v>
      </c>
      <c r="Z52" t="s">
        <v>1362</v>
      </c>
      <c r="AA52" t="s">
        <v>1512</v>
      </c>
      <c r="AB52" t="s">
        <v>1364</v>
      </c>
      <c r="AC52" t="s">
        <v>1513</v>
      </c>
    </row>
    <row r="53" spans="11:29">
      <c r="K53" t="s">
        <v>1106</v>
      </c>
      <c r="L53" t="s">
        <v>1107</v>
      </c>
      <c r="M53" t="s">
        <v>1109</v>
      </c>
      <c r="N53" t="s">
        <v>1301</v>
      </c>
      <c r="P53" t="s">
        <v>432</v>
      </c>
      <c r="Q53" t="s">
        <v>227</v>
      </c>
      <c r="R53" t="s">
        <v>433</v>
      </c>
      <c r="S53" t="s">
        <v>225</v>
      </c>
      <c r="T53" t="s">
        <v>235</v>
      </c>
      <c r="U53" t="s">
        <v>234</v>
      </c>
      <c r="V53" t="s">
        <v>230</v>
      </c>
      <c r="W53" t="s">
        <v>434</v>
      </c>
      <c r="Y53" t="s">
        <v>1514</v>
      </c>
      <c r="Z53" t="s">
        <v>1362</v>
      </c>
      <c r="AA53" t="s">
        <v>1515</v>
      </c>
      <c r="AB53" t="s">
        <v>1382</v>
      </c>
      <c r="AC53" t="s">
        <v>1392</v>
      </c>
    </row>
    <row r="54" spans="11:29">
      <c r="K54" t="s">
        <v>1131</v>
      </c>
      <c r="L54" t="s">
        <v>1132</v>
      </c>
      <c r="M54" t="s">
        <v>1104</v>
      </c>
      <c r="N54" t="s">
        <v>1302</v>
      </c>
      <c r="P54" t="s">
        <v>435</v>
      </c>
      <c r="Q54" t="s">
        <v>227</v>
      </c>
      <c r="R54" t="s">
        <v>436</v>
      </c>
      <c r="S54" t="s">
        <v>225</v>
      </c>
      <c r="T54" t="s">
        <v>235</v>
      </c>
      <c r="U54" t="s">
        <v>234</v>
      </c>
      <c r="V54" t="s">
        <v>230</v>
      </c>
      <c r="W54" t="s">
        <v>437</v>
      </c>
      <c r="Y54" t="s">
        <v>1516</v>
      </c>
      <c r="Z54" t="s">
        <v>1462</v>
      </c>
      <c r="AA54" t="s">
        <v>1517</v>
      </c>
      <c r="AB54" t="s">
        <v>1464</v>
      </c>
      <c r="AC54" t="s">
        <v>1518</v>
      </c>
    </row>
    <row r="55" spans="11:29">
      <c r="K55" t="s">
        <v>1135</v>
      </c>
      <c r="L55" t="s">
        <v>1136</v>
      </c>
      <c r="M55" t="s">
        <v>1138</v>
      </c>
      <c r="N55" t="s">
        <v>1303</v>
      </c>
      <c r="P55" t="s">
        <v>438</v>
      </c>
      <c r="Q55" t="s">
        <v>227</v>
      </c>
      <c r="R55" t="s">
        <v>440</v>
      </c>
      <c r="S55" t="s">
        <v>225</v>
      </c>
      <c r="T55" t="s">
        <v>439</v>
      </c>
      <c r="U55" t="s">
        <v>416</v>
      </c>
      <c r="V55" t="s">
        <v>230</v>
      </c>
      <c r="W55" t="s">
        <v>441</v>
      </c>
      <c r="Y55" t="s">
        <v>1519</v>
      </c>
      <c r="Z55" t="s">
        <v>1362</v>
      </c>
      <c r="AA55" t="s">
        <v>1520</v>
      </c>
      <c r="AB55" t="s">
        <v>1364</v>
      </c>
      <c r="AC55" t="s">
        <v>1521</v>
      </c>
    </row>
    <row r="56" spans="11:29">
      <c r="K56" t="s">
        <v>1140</v>
      </c>
      <c r="L56" t="s">
        <v>1141</v>
      </c>
      <c r="M56" t="s">
        <v>1143</v>
      </c>
      <c r="N56" t="s">
        <v>1304</v>
      </c>
      <c r="P56" t="s">
        <v>442</v>
      </c>
      <c r="Q56" t="s">
        <v>227</v>
      </c>
      <c r="R56" t="s">
        <v>373</v>
      </c>
      <c r="S56" t="s">
        <v>225</v>
      </c>
      <c r="T56" t="s">
        <v>443</v>
      </c>
      <c r="U56" t="s">
        <v>229</v>
      </c>
      <c r="V56" t="s">
        <v>230</v>
      </c>
      <c r="W56" t="s">
        <v>444</v>
      </c>
      <c r="Y56" t="s">
        <v>1522</v>
      </c>
      <c r="Z56" t="s">
        <v>1462</v>
      </c>
      <c r="AA56" t="s">
        <v>1523</v>
      </c>
      <c r="AB56" t="s">
        <v>1464</v>
      </c>
      <c r="AC56" t="s">
        <v>1389</v>
      </c>
    </row>
    <row r="57" spans="11:29">
      <c r="K57" t="s">
        <v>1155</v>
      </c>
      <c r="L57" t="s">
        <v>1156</v>
      </c>
      <c r="M57" t="s">
        <v>1124</v>
      </c>
      <c r="N57" t="s">
        <v>1305</v>
      </c>
      <c r="P57" t="s">
        <v>445</v>
      </c>
      <c r="Q57" t="s">
        <v>446</v>
      </c>
      <c r="R57" t="s">
        <v>448</v>
      </c>
      <c r="S57" t="s">
        <v>225</v>
      </c>
      <c r="T57" t="s">
        <v>447</v>
      </c>
      <c r="U57" t="s">
        <v>393</v>
      </c>
      <c r="V57" t="s">
        <v>230</v>
      </c>
      <c r="W57" t="s">
        <v>449</v>
      </c>
      <c r="Y57" t="s">
        <v>1524</v>
      </c>
      <c r="Z57" t="s">
        <v>1362</v>
      </c>
      <c r="AA57" t="s">
        <v>1525</v>
      </c>
      <c r="AB57" t="s">
        <v>1382</v>
      </c>
      <c r="AC57" t="s">
        <v>1383</v>
      </c>
    </row>
    <row r="58" spans="11:29">
      <c r="K58" t="s">
        <v>1188</v>
      </c>
      <c r="L58" t="s">
        <v>1189</v>
      </c>
      <c r="M58" t="s">
        <v>1191</v>
      </c>
      <c r="N58" t="s">
        <v>1306</v>
      </c>
      <c r="P58" t="s">
        <v>450</v>
      </c>
      <c r="Q58" t="s">
        <v>227</v>
      </c>
      <c r="R58" t="s">
        <v>451</v>
      </c>
      <c r="S58" t="s">
        <v>225</v>
      </c>
      <c r="T58" t="s">
        <v>235</v>
      </c>
      <c r="U58" t="s">
        <v>234</v>
      </c>
      <c r="V58" t="s">
        <v>230</v>
      </c>
      <c r="W58" t="s">
        <v>452</v>
      </c>
      <c r="Y58" t="s">
        <v>1526</v>
      </c>
      <c r="Z58" t="s">
        <v>1362</v>
      </c>
      <c r="AA58" t="s">
        <v>1527</v>
      </c>
      <c r="AB58" t="s">
        <v>1364</v>
      </c>
      <c r="AC58" t="s">
        <v>1383</v>
      </c>
    </row>
    <row r="59" spans="11:29">
      <c r="K59" t="s">
        <v>1193</v>
      </c>
      <c r="L59" t="s">
        <v>1194</v>
      </c>
      <c r="M59" t="s">
        <v>1196</v>
      </c>
      <c r="N59" t="s">
        <v>1307</v>
      </c>
      <c r="P59" t="s">
        <v>453</v>
      </c>
      <c r="Q59" t="s">
        <v>227</v>
      </c>
      <c r="R59" t="s">
        <v>454</v>
      </c>
      <c r="S59" t="s">
        <v>225</v>
      </c>
      <c r="T59" t="s">
        <v>235</v>
      </c>
      <c r="U59" t="s">
        <v>234</v>
      </c>
      <c r="V59" t="s">
        <v>230</v>
      </c>
      <c r="W59" t="s">
        <v>455</v>
      </c>
      <c r="Y59" t="s">
        <v>1528</v>
      </c>
      <c r="Z59" t="s">
        <v>1362</v>
      </c>
      <c r="AA59" t="s">
        <v>1529</v>
      </c>
      <c r="AB59" t="s">
        <v>1364</v>
      </c>
      <c r="AC59" t="s">
        <v>1373</v>
      </c>
    </row>
    <row r="60" spans="11:29">
      <c r="K60" t="s">
        <v>1198</v>
      </c>
      <c r="L60" t="s">
        <v>1199</v>
      </c>
      <c r="M60" t="s">
        <v>1201</v>
      </c>
      <c r="N60" t="s">
        <v>1308</v>
      </c>
      <c r="P60" t="s">
        <v>456</v>
      </c>
      <c r="Q60" t="s">
        <v>457</v>
      </c>
      <c r="R60" t="s">
        <v>459</v>
      </c>
      <c r="S60" t="s">
        <v>225</v>
      </c>
      <c r="T60" t="s">
        <v>458</v>
      </c>
      <c r="U60" t="s">
        <v>393</v>
      </c>
      <c r="V60" t="s">
        <v>230</v>
      </c>
      <c r="W60" t="s">
        <v>460</v>
      </c>
      <c r="Y60" t="s">
        <v>1530</v>
      </c>
      <c r="Z60" t="s">
        <v>1362</v>
      </c>
      <c r="AA60" t="s">
        <v>1531</v>
      </c>
      <c r="AB60" t="s">
        <v>1407</v>
      </c>
      <c r="AC60" t="s">
        <v>1532</v>
      </c>
    </row>
    <row r="61" spans="11:29">
      <c r="K61" t="s">
        <v>1233</v>
      </c>
      <c r="L61" t="s">
        <v>1234</v>
      </c>
      <c r="M61" t="s">
        <v>1236</v>
      </c>
      <c r="N61" t="s">
        <v>1309</v>
      </c>
      <c r="P61" t="s">
        <v>461</v>
      </c>
      <c r="Q61" t="s">
        <v>227</v>
      </c>
      <c r="R61" t="s">
        <v>463</v>
      </c>
      <c r="S61" t="s">
        <v>225</v>
      </c>
      <c r="T61" t="s">
        <v>462</v>
      </c>
      <c r="U61" t="s">
        <v>304</v>
      </c>
      <c r="V61" t="s">
        <v>230</v>
      </c>
      <c r="W61" t="s">
        <v>464</v>
      </c>
      <c r="Y61" t="s">
        <v>1533</v>
      </c>
      <c r="Z61" t="s">
        <v>1362</v>
      </c>
      <c r="AA61" t="s">
        <v>1534</v>
      </c>
      <c r="AB61" t="s">
        <v>1484</v>
      </c>
      <c r="AC61" t="s">
        <v>1379</v>
      </c>
    </row>
    <row r="62" spans="11:29">
      <c r="K62" t="s">
        <v>621</v>
      </c>
      <c r="L62" t="s">
        <v>622</v>
      </c>
      <c r="M62" t="s">
        <v>624</v>
      </c>
      <c r="N62" t="s">
        <v>1310</v>
      </c>
      <c r="P62" t="s">
        <v>465</v>
      </c>
      <c r="Q62" t="s">
        <v>227</v>
      </c>
      <c r="R62" t="s">
        <v>467</v>
      </c>
      <c r="S62" t="s">
        <v>225</v>
      </c>
      <c r="T62" t="s">
        <v>466</v>
      </c>
      <c r="U62" t="s">
        <v>272</v>
      </c>
      <c r="V62" t="s">
        <v>230</v>
      </c>
      <c r="W62" t="s">
        <v>468</v>
      </c>
      <c r="Y62" t="s">
        <v>1535</v>
      </c>
      <c r="Z62" t="s">
        <v>1462</v>
      </c>
      <c r="AA62" t="s">
        <v>1536</v>
      </c>
      <c r="AB62" t="s">
        <v>1464</v>
      </c>
      <c r="AC62" t="s">
        <v>1537</v>
      </c>
    </row>
    <row r="63" spans="11:29">
      <c r="K63" t="s">
        <v>664</v>
      </c>
      <c r="L63" t="s">
        <v>665</v>
      </c>
      <c r="M63" t="s">
        <v>667</v>
      </c>
      <c r="N63" t="s">
        <v>1311</v>
      </c>
      <c r="P63" t="s">
        <v>469</v>
      </c>
      <c r="Q63" t="s">
        <v>227</v>
      </c>
      <c r="R63" t="s">
        <v>471</v>
      </c>
      <c r="S63" t="s">
        <v>225</v>
      </c>
      <c r="T63" t="s">
        <v>470</v>
      </c>
      <c r="U63" t="s">
        <v>267</v>
      </c>
      <c r="V63" t="s">
        <v>230</v>
      </c>
      <c r="W63" t="s">
        <v>472</v>
      </c>
      <c r="Y63" t="s">
        <v>1538</v>
      </c>
      <c r="Z63" t="s">
        <v>1462</v>
      </c>
      <c r="AA63" t="s">
        <v>1539</v>
      </c>
      <c r="AB63" t="s">
        <v>1464</v>
      </c>
      <c r="AC63" t="s">
        <v>1454</v>
      </c>
    </row>
    <row r="64" spans="11:29">
      <c r="K64" t="s">
        <v>725</v>
      </c>
      <c r="L64" t="s">
        <v>726</v>
      </c>
      <c r="M64" t="s">
        <v>728</v>
      </c>
      <c r="N64" t="s">
        <v>1312</v>
      </c>
      <c r="P64" t="s">
        <v>473</v>
      </c>
      <c r="Q64" t="s">
        <v>227</v>
      </c>
      <c r="R64" t="s">
        <v>476</v>
      </c>
      <c r="S64" t="s">
        <v>225</v>
      </c>
      <c r="T64" t="s">
        <v>474</v>
      </c>
      <c r="U64" t="s">
        <v>475</v>
      </c>
      <c r="V64" t="s">
        <v>230</v>
      </c>
      <c r="W64" t="s">
        <v>477</v>
      </c>
      <c r="Y64" t="s">
        <v>1540</v>
      </c>
      <c r="Z64" t="s">
        <v>1362</v>
      </c>
      <c r="AA64" t="s">
        <v>1541</v>
      </c>
      <c r="AB64" t="s">
        <v>1364</v>
      </c>
      <c r="AC64" t="s">
        <v>1542</v>
      </c>
    </row>
    <row r="65" spans="11:29">
      <c r="K65" t="s">
        <v>844</v>
      </c>
      <c r="L65" t="s">
        <v>845</v>
      </c>
      <c r="M65" t="s">
        <v>847</v>
      </c>
      <c r="N65" t="s">
        <v>1313</v>
      </c>
      <c r="P65" t="s">
        <v>478</v>
      </c>
      <c r="Q65" t="s">
        <v>227</v>
      </c>
      <c r="R65" t="s">
        <v>480</v>
      </c>
      <c r="S65" t="s">
        <v>225</v>
      </c>
      <c r="T65" t="s">
        <v>479</v>
      </c>
      <c r="U65" t="s">
        <v>475</v>
      </c>
      <c r="V65" t="s">
        <v>230</v>
      </c>
      <c r="W65" t="s">
        <v>481</v>
      </c>
      <c r="Y65" t="s">
        <v>1543</v>
      </c>
      <c r="Z65" t="s">
        <v>1462</v>
      </c>
      <c r="AA65" t="s">
        <v>1544</v>
      </c>
      <c r="AB65" t="s">
        <v>1464</v>
      </c>
      <c r="AC65" t="s">
        <v>1379</v>
      </c>
    </row>
    <row r="66" spans="11:29">
      <c r="K66" t="s">
        <v>859</v>
      </c>
      <c r="L66" t="s">
        <v>860</v>
      </c>
      <c r="M66" t="s">
        <v>862</v>
      </c>
      <c r="N66" t="s">
        <v>1314</v>
      </c>
      <c r="P66" t="s">
        <v>482</v>
      </c>
      <c r="Q66" t="s">
        <v>227</v>
      </c>
      <c r="R66" t="s">
        <v>430</v>
      </c>
      <c r="S66" t="s">
        <v>225</v>
      </c>
      <c r="T66" t="s">
        <v>483</v>
      </c>
      <c r="U66" t="s">
        <v>349</v>
      </c>
      <c r="V66" t="s">
        <v>230</v>
      </c>
      <c r="W66" t="s">
        <v>484</v>
      </c>
      <c r="Y66" t="s">
        <v>1545</v>
      </c>
      <c r="Z66" t="s">
        <v>1362</v>
      </c>
      <c r="AA66" t="s">
        <v>1546</v>
      </c>
      <c r="AB66" t="s">
        <v>1364</v>
      </c>
      <c r="AC66" t="s">
        <v>1547</v>
      </c>
    </row>
    <row r="67" spans="11:29">
      <c r="K67" t="s">
        <v>892</v>
      </c>
      <c r="L67" t="s">
        <v>893</v>
      </c>
      <c r="M67" t="s">
        <v>895</v>
      </c>
      <c r="N67" t="s">
        <v>1315</v>
      </c>
      <c r="P67" t="s">
        <v>485</v>
      </c>
      <c r="Q67" t="s">
        <v>227</v>
      </c>
      <c r="R67" t="s">
        <v>433</v>
      </c>
      <c r="S67" t="s">
        <v>225</v>
      </c>
      <c r="T67" t="s">
        <v>486</v>
      </c>
      <c r="U67" t="s">
        <v>349</v>
      </c>
      <c r="V67" t="s">
        <v>230</v>
      </c>
      <c r="W67" t="s">
        <v>487</v>
      </c>
      <c r="Y67" t="s">
        <v>1548</v>
      </c>
      <c r="Z67" t="s">
        <v>1362</v>
      </c>
      <c r="AA67" t="s">
        <v>1549</v>
      </c>
      <c r="AB67" t="s">
        <v>1407</v>
      </c>
      <c r="AC67" t="s">
        <v>1404</v>
      </c>
    </row>
    <row r="68" spans="11:29">
      <c r="K68" t="s">
        <v>901</v>
      </c>
      <c r="L68" t="s">
        <v>902</v>
      </c>
      <c r="M68" t="s">
        <v>904</v>
      </c>
      <c r="N68" t="s">
        <v>1316</v>
      </c>
      <c r="P68" t="s">
        <v>488</v>
      </c>
      <c r="Q68" t="s">
        <v>227</v>
      </c>
      <c r="R68" t="s">
        <v>490</v>
      </c>
      <c r="S68" t="s">
        <v>225</v>
      </c>
      <c r="T68" t="s">
        <v>489</v>
      </c>
      <c r="U68" t="s">
        <v>349</v>
      </c>
      <c r="V68" t="s">
        <v>230</v>
      </c>
      <c r="W68" t="s">
        <v>491</v>
      </c>
      <c r="Y68" t="s">
        <v>1550</v>
      </c>
      <c r="Z68" t="s">
        <v>1362</v>
      </c>
      <c r="AA68" t="s">
        <v>1551</v>
      </c>
      <c r="AB68" t="s">
        <v>1364</v>
      </c>
      <c r="AC68" t="s">
        <v>1416</v>
      </c>
    </row>
    <row r="69" spans="11:29">
      <c r="K69" t="s">
        <v>911</v>
      </c>
      <c r="L69" t="s">
        <v>912</v>
      </c>
      <c r="M69" t="s">
        <v>914</v>
      </c>
      <c r="N69" t="s">
        <v>1317</v>
      </c>
      <c r="P69" t="s">
        <v>492</v>
      </c>
      <c r="Q69" t="s">
        <v>227</v>
      </c>
      <c r="R69" t="s">
        <v>494</v>
      </c>
      <c r="S69" t="s">
        <v>225</v>
      </c>
      <c r="T69" t="s">
        <v>493</v>
      </c>
      <c r="U69" t="s">
        <v>349</v>
      </c>
      <c r="V69" t="s">
        <v>230</v>
      </c>
      <c r="W69" t="s">
        <v>495</v>
      </c>
      <c r="Y69" t="s">
        <v>1552</v>
      </c>
      <c r="Z69" t="s">
        <v>1362</v>
      </c>
      <c r="AA69" t="s">
        <v>1553</v>
      </c>
      <c r="AB69" t="s">
        <v>1407</v>
      </c>
      <c r="AC69" t="s">
        <v>1554</v>
      </c>
    </row>
    <row r="70" spans="11:29">
      <c r="K70" t="s">
        <v>976</v>
      </c>
      <c r="L70" t="s">
        <v>977</v>
      </c>
      <c r="M70" t="s">
        <v>979</v>
      </c>
      <c r="N70" t="s">
        <v>1318</v>
      </c>
      <c r="P70" t="s">
        <v>496</v>
      </c>
      <c r="Q70" t="s">
        <v>227</v>
      </c>
      <c r="R70" t="s">
        <v>436</v>
      </c>
      <c r="S70" t="s">
        <v>225</v>
      </c>
      <c r="T70" t="s">
        <v>497</v>
      </c>
      <c r="U70" t="s">
        <v>349</v>
      </c>
      <c r="V70" t="s">
        <v>230</v>
      </c>
      <c r="W70" t="s">
        <v>498</v>
      </c>
      <c r="Y70" t="s">
        <v>1555</v>
      </c>
      <c r="Z70" t="s">
        <v>1362</v>
      </c>
      <c r="AA70" t="s">
        <v>1556</v>
      </c>
      <c r="AB70" t="s">
        <v>1364</v>
      </c>
      <c r="AC70" t="s">
        <v>1395</v>
      </c>
    </row>
    <row r="71" spans="11:29">
      <c r="K71" t="s">
        <v>936</v>
      </c>
      <c r="L71" t="s">
        <v>937</v>
      </c>
      <c r="M71" t="s">
        <v>939</v>
      </c>
      <c r="N71" t="s">
        <v>1319</v>
      </c>
      <c r="P71" t="s">
        <v>499</v>
      </c>
      <c r="Q71" t="s">
        <v>227</v>
      </c>
      <c r="R71" t="s">
        <v>451</v>
      </c>
      <c r="S71" t="s">
        <v>225</v>
      </c>
      <c r="T71" t="s">
        <v>500</v>
      </c>
      <c r="U71" t="s">
        <v>349</v>
      </c>
      <c r="V71" t="s">
        <v>230</v>
      </c>
      <c r="W71" t="s">
        <v>501</v>
      </c>
      <c r="Y71" t="s">
        <v>1557</v>
      </c>
      <c r="Z71" t="s">
        <v>1362</v>
      </c>
      <c r="AA71" t="s">
        <v>1558</v>
      </c>
      <c r="AB71" t="s">
        <v>1407</v>
      </c>
      <c r="AC71" t="s">
        <v>1559</v>
      </c>
    </row>
    <row r="72" spans="11:29">
      <c r="K72" t="s">
        <v>941</v>
      </c>
      <c r="L72" t="s">
        <v>942</v>
      </c>
      <c r="M72" t="s">
        <v>944</v>
      </c>
      <c r="N72" t="s">
        <v>1320</v>
      </c>
      <c r="P72" t="s">
        <v>502</v>
      </c>
      <c r="Q72" t="s">
        <v>227</v>
      </c>
      <c r="R72" t="s">
        <v>504</v>
      </c>
      <c r="S72" t="s">
        <v>225</v>
      </c>
      <c r="T72" t="s">
        <v>503</v>
      </c>
      <c r="U72" t="s">
        <v>349</v>
      </c>
      <c r="V72" t="s">
        <v>230</v>
      </c>
      <c r="W72" t="s">
        <v>505</v>
      </c>
      <c r="Y72" t="s">
        <v>1560</v>
      </c>
      <c r="Z72" t="s">
        <v>1462</v>
      </c>
      <c r="AA72" t="s">
        <v>1561</v>
      </c>
      <c r="AB72" t="s">
        <v>1464</v>
      </c>
      <c r="AC72" t="s">
        <v>1562</v>
      </c>
    </row>
    <row r="73" spans="11:29">
      <c r="K73" t="s">
        <v>961</v>
      </c>
      <c r="L73" t="s">
        <v>962</v>
      </c>
      <c r="M73" t="s">
        <v>964</v>
      </c>
      <c r="N73" t="s">
        <v>1321</v>
      </c>
      <c r="P73" t="s">
        <v>506</v>
      </c>
      <c r="Q73" t="s">
        <v>227</v>
      </c>
      <c r="R73" t="s">
        <v>509</v>
      </c>
      <c r="S73" t="s">
        <v>225</v>
      </c>
      <c r="T73" t="s">
        <v>507</v>
      </c>
      <c r="U73" t="s">
        <v>508</v>
      </c>
      <c r="V73" t="s">
        <v>230</v>
      </c>
      <c r="W73" t="s">
        <v>510</v>
      </c>
      <c r="Y73" t="s">
        <v>1563</v>
      </c>
      <c r="Z73" t="s">
        <v>1362</v>
      </c>
      <c r="AA73" t="s">
        <v>1564</v>
      </c>
      <c r="AB73" t="s">
        <v>1382</v>
      </c>
      <c r="AC73" t="s">
        <v>1565</v>
      </c>
    </row>
    <row r="74" spans="11:29">
      <c r="K74" t="s">
        <v>971</v>
      </c>
      <c r="L74" t="s">
        <v>972</v>
      </c>
      <c r="M74" t="s">
        <v>974</v>
      </c>
      <c r="N74" t="s">
        <v>1322</v>
      </c>
      <c r="P74" t="s">
        <v>511</v>
      </c>
      <c r="Q74" t="s">
        <v>227</v>
      </c>
      <c r="R74" t="s">
        <v>513</v>
      </c>
      <c r="S74" t="s">
        <v>225</v>
      </c>
      <c r="T74" t="s">
        <v>512</v>
      </c>
      <c r="U74" t="s">
        <v>508</v>
      </c>
      <c r="V74" t="s">
        <v>230</v>
      </c>
      <c r="W74" t="s">
        <v>514</v>
      </c>
      <c r="Y74" t="s">
        <v>1566</v>
      </c>
      <c r="Z74" t="s">
        <v>1362</v>
      </c>
      <c r="AA74" t="s">
        <v>1567</v>
      </c>
      <c r="AB74" t="s">
        <v>1407</v>
      </c>
      <c r="AC74" t="s">
        <v>1568</v>
      </c>
    </row>
    <row r="75" spans="11:29">
      <c r="K75" t="s">
        <v>981</v>
      </c>
      <c r="L75" t="s">
        <v>982</v>
      </c>
      <c r="M75" t="s">
        <v>984</v>
      </c>
      <c r="N75" t="s">
        <v>1323</v>
      </c>
      <c r="P75" t="s">
        <v>515</v>
      </c>
      <c r="Q75" t="s">
        <v>516</v>
      </c>
      <c r="R75" t="s">
        <v>518</v>
      </c>
      <c r="S75" t="s">
        <v>225</v>
      </c>
      <c r="T75" t="s">
        <v>517</v>
      </c>
      <c r="U75" t="s">
        <v>393</v>
      </c>
      <c r="V75" t="s">
        <v>230</v>
      </c>
      <c r="W75" t="s">
        <v>519</v>
      </c>
      <c r="Y75" t="s">
        <v>1569</v>
      </c>
      <c r="Z75" t="s">
        <v>1362</v>
      </c>
      <c r="AA75" t="s">
        <v>1570</v>
      </c>
      <c r="AB75" t="s">
        <v>1364</v>
      </c>
      <c r="AC75" t="s">
        <v>1383</v>
      </c>
    </row>
    <row r="76" spans="11:29">
      <c r="K76" t="s">
        <v>1001</v>
      </c>
      <c r="L76" t="s">
        <v>1002</v>
      </c>
      <c r="M76" t="s">
        <v>1004</v>
      </c>
      <c r="N76" t="s">
        <v>1324</v>
      </c>
      <c r="P76" t="s">
        <v>520</v>
      </c>
      <c r="Q76" t="s">
        <v>227</v>
      </c>
      <c r="R76" t="s">
        <v>520</v>
      </c>
      <c r="S76" t="s">
        <v>225</v>
      </c>
      <c r="T76" t="s">
        <v>521</v>
      </c>
      <c r="U76" t="s">
        <v>393</v>
      </c>
      <c r="V76" t="s">
        <v>230</v>
      </c>
      <c r="W76" t="s">
        <v>522</v>
      </c>
      <c r="Y76" t="s">
        <v>1571</v>
      </c>
      <c r="Z76" t="s">
        <v>1362</v>
      </c>
      <c r="AA76" t="s">
        <v>1572</v>
      </c>
      <c r="AB76" t="s">
        <v>1364</v>
      </c>
      <c r="AC76" t="s">
        <v>1573</v>
      </c>
    </row>
    <row r="77" spans="11:29">
      <c r="K77" t="s">
        <v>1006</v>
      </c>
      <c r="L77" t="s">
        <v>1007</v>
      </c>
      <c r="M77" t="s">
        <v>1009</v>
      </c>
      <c r="N77" t="s">
        <v>1325</v>
      </c>
      <c r="P77" t="s">
        <v>523</v>
      </c>
      <c r="Q77" t="s">
        <v>227</v>
      </c>
      <c r="R77" t="s">
        <v>525</v>
      </c>
      <c r="S77" t="s">
        <v>225</v>
      </c>
      <c r="T77" t="s">
        <v>524</v>
      </c>
      <c r="U77" t="s">
        <v>520</v>
      </c>
      <c r="V77" t="s">
        <v>230</v>
      </c>
      <c r="W77" t="s">
        <v>526</v>
      </c>
      <c r="Y77" t="s">
        <v>1574</v>
      </c>
      <c r="Z77" t="s">
        <v>1362</v>
      </c>
      <c r="AA77" t="s">
        <v>1575</v>
      </c>
      <c r="AB77" t="s">
        <v>1364</v>
      </c>
      <c r="AC77" t="s">
        <v>1487</v>
      </c>
    </row>
    <row r="78" spans="11:29">
      <c r="K78" t="s">
        <v>1016</v>
      </c>
      <c r="L78" t="s">
        <v>1017</v>
      </c>
      <c r="M78" t="s">
        <v>1019</v>
      </c>
      <c r="N78" t="s">
        <v>1326</v>
      </c>
      <c r="P78" t="s">
        <v>527</v>
      </c>
      <c r="Q78" t="s">
        <v>227</v>
      </c>
      <c r="R78" t="s">
        <v>273</v>
      </c>
      <c r="S78" t="s">
        <v>225</v>
      </c>
      <c r="T78" t="s">
        <v>528</v>
      </c>
      <c r="U78" t="s">
        <v>520</v>
      </c>
      <c r="V78" t="s">
        <v>230</v>
      </c>
      <c r="W78" t="s">
        <v>529</v>
      </c>
      <c r="Y78" t="s">
        <v>1576</v>
      </c>
      <c r="Z78" t="s">
        <v>1462</v>
      </c>
      <c r="AA78" t="s">
        <v>1577</v>
      </c>
      <c r="AB78" t="s">
        <v>1464</v>
      </c>
      <c r="AC78" t="s">
        <v>1457</v>
      </c>
    </row>
    <row r="79" spans="11:29">
      <c r="K79" t="s">
        <v>1035</v>
      </c>
      <c r="L79" t="s">
        <v>1036</v>
      </c>
      <c r="M79" t="s">
        <v>1038</v>
      </c>
      <c r="N79" t="s">
        <v>1327</v>
      </c>
      <c r="P79" t="s">
        <v>530</v>
      </c>
      <c r="Q79" t="s">
        <v>227</v>
      </c>
      <c r="R79" t="s">
        <v>247</v>
      </c>
      <c r="S79" t="s">
        <v>225</v>
      </c>
      <c r="T79" t="s">
        <v>531</v>
      </c>
      <c r="U79" t="s">
        <v>520</v>
      </c>
      <c r="V79" t="s">
        <v>230</v>
      </c>
      <c r="W79" t="s">
        <v>532</v>
      </c>
      <c r="Y79" t="s">
        <v>1578</v>
      </c>
      <c r="Z79" t="s">
        <v>1362</v>
      </c>
      <c r="AA79" t="s">
        <v>1579</v>
      </c>
      <c r="AB79" t="s">
        <v>1364</v>
      </c>
      <c r="AC79" t="s">
        <v>1383</v>
      </c>
    </row>
    <row r="80" spans="11:29">
      <c r="K80" t="s">
        <v>1040</v>
      </c>
      <c r="L80" t="s">
        <v>1041</v>
      </c>
      <c r="M80" t="s">
        <v>639</v>
      </c>
      <c r="N80" t="s">
        <v>1328</v>
      </c>
      <c r="P80" t="s">
        <v>533</v>
      </c>
      <c r="Q80" t="s">
        <v>227</v>
      </c>
      <c r="R80" t="s">
        <v>535</v>
      </c>
      <c r="S80" t="s">
        <v>225</v>
      </c>
      <c r="T80" t="s">
        <v>534</v>
      </c>
      <c r="U80" t="s">
        <v>520</v>
      </c>
      <c r="V80" t="s">
        <v>230</v>
      </c>
      <c r="W80" t="s">
        <v>536</v>
      </c>
      <c r="Y80" t="s">
        <v>1580</v>
      </c>
      <c r="Z80" t="s">
        <v>1362</v>
      </c>
      <c r="AA80" t="s">
        <v>1581</v>
      </c>
      <c r="AB80" t="s">
        <v>1364</v>
      </c>
      <c r="AC80" t="s">
        <v>1582</v>
      </c>
    </row>
    <row r="81" spans="11:29">
      <c r="K81" t="s">
        <v>1126</v>
      </c>
      <c r="L81" t="s">
        <v>1127</v>
      </c>
      <c r="M81" t="s">
        <v>1129</v>
      </c>
      <c r="N81" t="s">
        <v>1329</v>
      </c>
      <c r="P81" t="s">
        <v>537</v>
      </c>
      <c r="Q81" t="s">
        <v>227</v>
      </c>
      <c r="R81" t="s">
        <v>280</v>
      </c>
      <c r="S81" t="s">
        <v>225</v>
      </c>
      <c r="T81" t="s">
        <v>538</v>
      </c>
      <c r="U81" t="s">
        <v>520</v>
      </c>
      <c r="V81" t="s">
        <v>230</v>
      </c>
      <c r="W81" t="s">
        <v>539</v>
      </c>
      <c r="Y81" t="s">
        <v>1583</v>
      </c>
      <c r="Z81" t="s">
        <v>1362</v>
      </c>
      <c r="AA81" t="s">
        <v>1584</v>
      </c>
      <c r="AB81" t="s">
        <v>1382</v>
      </c>
      <c r="AC81" t="s">
        <v>1585</v>
      </c>
    </row>
    <row r="82" spans="11:29">
      <c r="K82" t="s">
        <v>1081</v>
      </c>
      <c r="L82" t="s">
        <v>1082</v>
      </c>
      <c r="M82" t="s">
        <v>1084</v>
      </c>
      <c r="N82" t="s">
        <v>1330</v>
      </c>
      <c r="P82" t="s">
        <v>540</v>
      </c>
      <c r="Q82" t="s">
        <v>227</v>
      </c>
      <c r="R82" t="s">
        <v>284</v>
      </c>
      <c r="S82" t="s">
        <v>225</v>
      </c>
      <c r="T82" t="s">
        <v>541</v>
      </c>
      <c r="U82" t="s">
        <v>520</v>
      </c>
      <c r="V82" t="s">
        <v>230</v>
      </c>
      <c r="W82" t="s">
        <v>542</v>
      </c>
      <c r="Y82" t="s">
        <v>1586</v>
      </c>
      <c r="Z82" t="s">
        <v>1362</v>
      </c>
      <c r="AA82" t="s">
        <v>1587</v>
      </c>
      <c r="AB82" t="s">
        <v>1364</v>
      </c>
      <c r="AC82" t="s">
        <v>1588</v>
      </c>
    </row>
    <row r="83" spans="11:29">
      <c r="K83" t="s">
        <v>1057</v>
      </c>
      <c r="L83" t="s">
        <v>1058</v>
      </c>
      <c r="M83" t="s">
        <v>1060</v>
      </c>
      <c r="N83" t="s">
        <v>1331</v>
      </c>
      <c r="P83" t="s">
        <v>543</v>
      </c>
      <c r="Q83" t="s">
        <v>227</v>
      </c>
      <c r="R83" t="s">
        <v>288</v>
      </c>
      <c r="S83" t="s">
        <v>225</v>
      </c>
      <c r="T83" t="s">
        <v>544</v>
      </c>
      <c r="U83" t="s">
        <v>520</v>
      </c>
      <c r="V83" t="s">
        <v>230</v>
      </c>
      <c r="W83" t="s">
        <v>545</v>
      </c>
      <c r="Y83" t="s">
        <v>1589</v>
      </c>
      <c r="Z83" t="s">
        <v>1362</v>
      </c>
      <c r="AA83" t="s">
        <v>1590</v>
      </c>
      <c r="AB83" t="s">
        <v>1364</v>
      </c>
      <c r="AC83" t="s">
        <v>1591</v>
      </c>
    </row>
    <row r="84" spans="11:29">
      <c r="K84" t="s">
        <v>1062</v>
      </c>
      <c r="L84" t="s">
        <v>1063</v>
      </c>
      <c r="M84" t="s">
        <v>1065</v>
      </c>
      <c r="N84" t="s">
        <v>1332</v>
      </c>
      <c r="P84" t="s">
        <v>546</v>
      </c>
      <c r="Q84" t="s">
        <v>227</v>
      </c>
      <c r="R84" t="s">
        <v>381</v>
      </c>
      <c r="S84" t="s">
        <v>225</v>
      </c>
      <c r="T84" t="s">
        <v>547</v>
      </c>
      <c r="U84" t="s">
        <v>520</v>
      </c>
      <c r="V84" t="s">
        <v>230</v>
      </c>
      <c r="W84" t="s">
        <v>548</v>
      </c>
      <c r="Y84" t="s">
        <v>1592</v>
      </c>
      <c r="Z84" t="s">
        <v>1362</v>
      </c>
      <c r="AA84" t="s">
        <v>1593</v>
      </c>
      <c r="AB84" t="s">
        <v>1364</v>
      </c>
      <c r="AC84" t="s">
        <v>1594</v>
      </c>
    </row>
    <row r="85" spans="11:29">
      <c r="K85" t="s">
        <v>1101</v>
      </c>
      <c r="L85" t="s">
        <v>1102</v>
      </c>
      <c r="M85" t="s">
        <v>1104</v>
      </c>
      <c r="N85" t="s">
        <v>1333</v>
      </c>
      <c r="P85" t="s">
        <v>549</v>
      </c>
      <c r="Q85" t="s">
        <v>227</v>
      </c>
      <c r="R85" t="s">
        <v>296</v>
      </c>
      <c r="S85" t="s">
        <v>225</v>
      </c>
      <c r="T85" t="s">
        <v>550</v>
      </c>
      <c r="U85" t="s">
        <v>520</v>
      </c>
      <c r="V85" t="s">
        <v>230</v>
      </c>
      <c r="W85" t="s">
        <v>551</v>
      </c>
      <c r="Y85" t="s">
        <v>1595</v>
      </c>
      <c r="Z85" t="s">
        <v>1362</v>
      </c>
      <c r="AA85" t="s">
        <v>1596</v>
      </c>
      <c r="AB85" t="s">
        <v>1382</v>
      </c>
      <c r="AC85" t="s">
        <v>1597</v>
      </c>
    </row>
    <row r="86" spans="11:29">
      <c r="K86" t="s">
        <v>1111</v>
      </c>
      <c r="L86" t="s">
        <v>1112</v>
      </c>
      <c r="M86" t="s">
        <v>1114</v>
      </c>
      <c r="N86" t="s">
        <v>1334</v>
      </c>
      <c r="P86" t="s">
        <v>552</v>
      </c>
      <c r="Q86" t="s">
        <v>227</v>
      </c>
      <c r="R86" t="s">
        <v>300</v>
      </c>
      <c r="S86" t="s">
        <v>225</v>
      </c>
      <c r="T86" t="s">
        <v>553</v>
      </c>
      <c r="U86" t="s">
        <v>520</v>
      </c>
      <c r="V86" t="s">
        <v>230</v>
      </c>
      <c r="W86" t="s">
        <v>554</v>
      </c>
      <c r="Y86" t="s">
        <v>1598</v>
      </c>
      <c r="Z86" t="s">
        <v>1362</v>
      </c>
      <c r="AA86" t="s">
        <v>1599</v>
      </c>
      <c r="AB86" t="s">
        <v>1364</v>
      </c>
      <c r="AC86" t="s">
        <v>1600</v>
      </c>
    </row>
    <row r="87" spans="11:29">
      <c r="K87" t="s">
        <v>1116</v>
      </c>
      <c r="L87" t="s">
        <v>1117</v>
      </c>
      <c r="M87" t="s">
        <v>1119</v>
      </c>
      <c r="N87" t="s">
        <v>1335</v>
      </c>
      <c r="P87" t="s">
        <v>555</v>
      </c>
      <c r="Q87" t="s">
        <v>227</v>
      </c>
      <c r="R87" t="s">
        <v>557</v>
      </c>
      <c r="S87" t="s">
        <v>225</v>
      </c>
      <c r="T87" t="s">
        <v>556</v>
      </c>
      <c r="U87" t="s">
        <v>520</v>
      </c>
      <c r="V87" t="s">
        <v>230</v>
      </c>
      <c r="W87" t="s">
        <v>558</v>
      </c>
      <c r="Y87" t="s">
        <v>1601</v>
      </c>
      <c r="Z87" t="s">
        <v>1362</v>
      </c>
      <c r="AA87" t="s">
        <v>1602</v>
      </c>
      <c r="AB87" t="s">
        <v>1382</v>
      </c>
      <c r="AC87" t="s">
        <v>1597</v>
      </c>
    </row>
    <row r="88" spans="11:29">
      <c r="K88" t="s">
        <v>1178</v>
      </c>
      <c r="L88" t="s">
        <v>1179</v>
      </c>
      <c r="M88" t="s">
        <v>1181</v>
      </c>
      <c r="N88" t="s">
        <v>1336</v>
      </c>
      <c r="P88" t="s">
        <v>559</v>
      </c>
      <c r="Q88" t="s">
        <v>227</v>
      </c>
      <c r="R88" t="s">
        <v>561</v>
      </c>
      <c r="S88" t="s">
        <v>225</v>
      </c>
      <c r="T88" t="s">
        <v>560</v>
      </c>
      <c r="U88" t="s">
        <v>520</v>
      </c>
      <c r="V88" t="s">
        <v>230</v>
      </c>
      <c r="W88" t="s">
        <v>562</v>
      </c>
      <c r="Y88" t="s">
        <v>1603</v>
      </c>
      <c r="Z88" t="s">
        <v>1362</v>
      </c>
      <c r="AA88" t="s">
        <v>1604</v>
      </c>
      <c r="AB88" t="s">
        <v>1605</v>
      </c>
      <c r="AC88" t="s">
        <v>1383</v>
      </c>
    </row>
    <row r="89" spans="11:29">
      <c r="K89" t="s">
        <v>1121</v>
      </c>
      <c r="L89" t="s">
        <v>1122</v>
      </c>
      <c r="M89" t="s">
        <v>1124</v>
      </c>
      <c r="N89" t="s">
        <v>1337</v>
      </c>
      <c r="P89" t="s">
        <v>563</v>
      </c>
      <c r="Q89" t="s">
        <v>227</v>
      </c>
      <c r="R89" t="s">
        <v>231</v>
      </c>
      <c r="S89" t="s">
        <v>225</v>
      </c>
      <c r="T89" t="s">
        <v>564</v>
      </c>
      <c r="U89" t="s">
        <v>559</v>
      </c>
      <c r="V89" t="s">
        <v>230</v>
      </c>
      <c r="W89" t="s">
        <v>565</v>
      </c>
      <c r="Y89" t="s">
        <v>1606</v>
      </c>
      <c r="Z89" t="s">
        <v>1462</v>
      </c>
      <c r="AA89" t="s">
        <v>1607</v>
      </c>
      <c r="AB89" t="s">
        <v>1464</v>
      </c>
      <c r="AC89" t="s">
        <v>1608</v>
      </c>
    </row>
    <row r="90" spans="11:29">
      <c r="K90" t="s">
        <v>1145</v>
      </c>
      <c r="L90" t="s">
        <v>1146</v>
      </c>
      <c r="M90" t="s">
        <v>1148</v>
      </c>
      <c r="N90" t="s">
        <v>1338</v>
      </c>
      <c r="P90" t="s">
        <v>566</v>
      </c>
      <c r="Q90" t="s">
        <v>227</v>
      </c>
      <c r="R90" t="s">
        <v>236</v>
      </c>
      <c r="S90" t="s">
        <v>225</v>
      </c>
      <c r="T90" t="s">
        <v>567</v>
      </c>
      <c r="U90" t="s">
        <v>559</v>
      </c>
      <c r="V90" t="s">
        <v>230</v>
      </c>
      <c r="W90" t="s">
        <v>568</v>
      </c>
      <c r="Y90" t="s">
        <v>1609</v>
      </c>
      <c r="Z90" t="s">
        <v>1362</v>
      </c>
      <c r="AA90" t="s">
        <v>1610</v>
      </c>
      <c r="AB90" t="s">
        <v>1459</v>
      </c>
      <c r="AC90" t="s">
        <v>1420</v>
      </c>
    </row>
    <row r="91" spans="11:29">
      <c r="K91" t="s">
        <v>1150</v>
      </c>
      <c r="L91" t="s">
        <v>1151</v>
      </c>
      <c r="M91" t="s">
        <v>1153</v>
      </c>
      <c r="N91" t="s">
        <v>1339</v>
      </c>
      <c r="P91" t="s">
        <v>569</v>
      </c>
      <c r="Q91" t="s">
        <v>227</v>
      </c>
      <c r="R91" t="s">
        <v>239</v>
      </c>
      <c r="S91" t="s">
        <v>225</v>
      </c>
      <c r="T91" t="s">
        <v>570</v>
      </c>
      <c r="U91" t="s">
        <v>566</v>
      </c>
      <c r="V91" t="s">
        <v>230</v>
      </c>
      <c r="W91" t="s">
        <v>571</v>
      </c>
      <c r="Y91" t="s">
        <v>1611</v>
      </c>
      <c r="Z91" t="s">
        <v>1362</v>
      </c>
      <c r="AA91" t="s">
        <v>1612</v>
      </c>
      <c r="AB91" t="s">
        <v>1364</v>
      </c>
      <c r="AC91" t="s">
        <v>1613</v>
      </c>
    </row>
    <row r="92" spans="11:29">
      <c r="K92" t="s">
        <v>1159</v>
      </c>
      <c r="L92" t="s">
        <v>1160</v>
      </c>
      <c r="M92" t="s">
        <v>1162</v>
      </c>
      <c r="N92" t="s">
        <v>1340</v>
      </c>
      <c r="P92" t="s">
        <v>572</v>
      </c>
      <c r="Q92" t="s">
        <v>227</v>
      </c>
      <c r="R92" t="s">
        <v>242</v>
      </c>
      <c r="S92" t="s">
        <v>225</v>
      </c>
      <c r="T92" t="s">
        <v>573</v>
      </c>
      <c r="U92" t="s">
        <v>566</v>
      </c>
      <c r="V92" t="s">
        <v>230</v>
      </c>
      <c r="W92" t="s">
        <v>574</v>
      </c>
      <c r="Y92" t="s">
        <v>1614</v>
      </c>
      <c r="Z92" t="s">
        <v>1462</v>
      </c>
      <c r="AA92" t="s">
        <v>1615</v>
      </c>
      <c r="AB92" t="s">
        <v>1464</v>
      </c>
      <c r="AC92" t="s">
        <v>1467</v>
      </c>
    </row>
    <row r="93" spans="11:29">
      <c r="K93" t="s">
        <v>1164</v>
      </c>
      <c r="L93" t="s">
        <v>1165</v>
      </c>
      <c r="M93" t="s">
        <v>1167</v>
      </c>
      <c r="N93" t="s">
        <v>1341</v>
      </c>
      <c r="P93" t="s">
        <v>575</v>
      </c>
      <c r="Q93" t="s">
        <v>227</v>
      </c>
      <c r="R93" t="s">
        <v>430</v>
      </c>
      <c r="S93" t="s">
        <v>225</v>
      </c>
      <c r="T93" t="s">
        <v>576</v>
      </c>
      <c r="U93" t="s">
        <v>566</v>
      </c>
      <c r="V93" t="s">
        <v>230</v>
      </c>
      <c r="W93" t="s">
        <v>577</v>
      </c>
      <c r="Y93" t="s">
        <v>1616</v>
      </c>
      <c r="Z93" t="s">
        <v>1362</v>
      </c>
      <c r="AA93" t="s">
        <v>1617</v>
      </c>
      <c r="AB93" t="s">
        <v>1364</v>
      </c>
      <c r="AC93" t="s">
        <v>1562</v>
      </c>
    </row>
    <row r="94" spans="11:29">
      <c r="K94" t="s">
        <v>1169</v>
      </c>
      <c r="L94" t="s">
        <v>1170</v>
      </c>
      <c r="M94" t="s">
        <v>1172</v>
      </c>
      <c r="N94" t="s">
        <v>1342</v>
      </c>
      <c r="P94" t="s">
        <v>578</v>
      </c>
      <c r="Q94" t="s">
        <v>227</v>
      </c>
      <c r="R94" t="s">
        <v>433</v>
      </c>
      <c r="S94" t="s">
        <v>225</v>
      </c>
      <c r="T94" t="s">
        <v>579</v>
      </c>
      <c r="U94" t="s">
        <v>566</v>
      </c>
      <c r="V94" t="s">
        <v>230</v>
      </c>
      <c r="W94" t="s">
        <v>580</v>
      </c>
      <c r="Y94" t="s">
        <v>1618</v>
      </c>
      <c r="Z94" t="s">
        <v>1362</v>
      </c>
      <c r="AA94" t="s">
        <v>1619</v>
      </c>
      <c r="AB94" t="s">
        <v>1364</v>
      </c>
      <c r="AC94" t="s">
        <v>1490</v>
      </c>
    </row>
    <row r="95" spans="11:29">
      <c r="K95" t="s">
        <v>1183</v>
      </c>
      <c r="L95" t="s">
        <v>1184</v>
      </c>
      <c r="M95" t="s">
        <v>1186</v>
      </c>
      <c r="N95" t="s">
        <v>1343</v>
      </c>
      <c r="P95" t="s">
        <v>581</v>
      </c>
      <c r="Q95" t="s">
        <v>227</v>
      </c>
      <c r="R95" t="s">
        <v>490</v>
      </c>
      <c r="S95" t="s">
        <v>225</v>
      </c>
      <c r="T95" t="s">
        <v>582</v>
      </c>
      <c r="U95" t="s">
        <v>566</v>
      </c>
      <c r="V95" t="s">
        <v>230</v>
      </c>
      <c r="W95" t="s">
        <v>583</v>
      </c>
      <c r="Y95" t="s">
        <v>1620</v>
      </c>
      <c r="Z95" t="s">
        <v>1362</v>
      </c>
      <c r="AA95" t="s">
        <v>1621</v>
      </c>
      <c r="AB95" t="s">
        <v>1364</v>
      </c>
      <c r="AC95" t="s">
        <v>1622</v>
      </c>
    </row>
    <row r="96" spans="11:29">
      <c r="K96" t="s">
        <v>1218</v>
      </c>
      <c r="L96" t="s">
        <v>1219</v>
      </c>
      <c r="M96" t="s">
        <v>1221</v>
      </c>
      <c r="N96" t="s">
        <v>1344</v>
      </c>
      <c r="P96" t="s">
        <v>584</v>
      </c>
      <c r="Q96" t="s">
        <v>227</v>
      </c>
      <c r="R96" t="s">
        <v>494</v>
      </c>
      <c r="S96" t="s">
        <v>225</v>
      </c>
      <c r="T96" t="s">
        <v>585</v>
      </c>
      <c r="U96" t="s">
        <v>566</v>
      </c>
      <c r="V96" t="s">
        <v>230</v>
      </c>
      <c r="W96" t="s">
        <v>586</v>
      </c>
      <c r="Y96" t="s">
        <v>1623</v>
      </c>
      <c r="Z96" t="s">
        <v>1362</v>
      </c>
      <c r="AA96" t="s">
        <v>1624</v>
      </c>
      <c r="AB96" t="s">
        <v>1364</v>
      </c>
      <c r="AC96" t="s">
        <v>1625</v>
      </c>
    </row>
    <row r="97" spans="11:29">
      <c r="K97" t="s">
        <v>1223</v>
      </c>
      <c r="L97" t="s">
        <v>1224</v>
      </c>
      <c r="M97" t="s">
        <v>1226</v>
      </c>
      <c r="N97" t="s">
        <v>1345</v>
      </c>
      <c r="P97" t="s">
        <v>587</v>
      </c>
      <c r="Q97" t="s">
        <v>227</v>
      </c>
      <c r="R97" t="s">
        <v>436</v>
      </c>
      <c r="S97" t="s">
        <v>225</v>
      </c>
      <c r="T97" t="s">
        <v>588</v>
      </c>
      <c r="U97" t="s">
        <v>566</v>
      </c>
      <c r="V97" t="s">
        <v>230</v>
      </c>
      <c r="W97" t="s">
        <v>589</v>
      </c>
      <c r="Y97" t="s">
        <v>1626</v>
      </c>
      <c r="Z97" t="s">
        <v>1362</v>
      </c>
      <c r="AA97" t="s">
        <v>1627</v>
      </c>
      <c r="AB97" t="s">
        <v>1484</v>
      </c>
      <c r="AC97" t="s">
        <v>1379</v>
      </c>
    </row>
    <row r="98" spans="11:29">
      <c r="K98" t="s">
        <v>1208</v>
      </c>
      <c r="L98" t="s">
        <v>1209</v>
      </c>
      <c r="M98" t="s">
        <v>1211</v>
      </c>
      <c r="N98" t="s">
        <v>1346</v>
      </c>
      <c r="P98" t="s">
        <v>590</v>
      </c>
      <c r="Q98" t="s">
        <v>227</v>
      </c>
      <c r="R98" t="s">
        <v>451</v>
      </c>
      <c r="S98" t="s">
        <v>225</v>
      </c>
      <c r="T98" t="s">
        <v>591</v>
      </c>
      <c r="U98" t="s">
        <v>566</v>
      </c>
      <c r="V98" t="s">
        <v>230</v>
      </c>
      <c r="W98" t="s">
        <v>592</v>
      </c>
      <c r="Y98" t="s">
        <v>1628</v>
      </c>
      <c r="Z98" t="s">
        <v>1362</v>
      </c>
      <c r="AA98" t="s">
        <v>1629</v>
      </c>
      <c r="AB98" t="s">
        <v>1364</v>
      </c>
      <c r="AC98" t="s">
        <v>1630</v>
      </c>
    </row>
    <row r="99" spans="11:29">
      <c r="K99" t="s">
        <v>1213</v>
      </c>
      <c r="L99" t="s">
        <v>1214</v>
      </c>
      <c r="M99" t="s">
        <v>1216</v>
      </c>
      <c r="N99" t="s">
        <v>1347</v>
      </c>
      <c r="P99" t="s">
        <v>593</v>
      </c>
      <c r="Q99" t="s">
        <v>227</v>
      </c>
      <c r="R99" t="s">
        <v>595</v>
      </c>
      <c r="S99" t="s">
        <v>225</v>
      </c>
      <c r="T99" t="s">
        <v>594</v>
      </c>
      <c r="U99" t="s">
        <v>566</v>
      </c>
      <c r="V99" t="s">
        <v>230</v>
      </c>
      <c r="W99" t="s">
        <v>596</v>
      </c>
      <c r="Y99" t="s">
        <v>1631</v>
      </c>
      <c r="Z99" t="s">
        <v>1362</v>
      </c>
      <c r="AA99" t="s">
        <v>1632</v>
      </c>
      <c r="AB99" t="s">
        <v>1364</v>
      </c>
      <c r="AC99" t="s">
        <v>1630</v>
      </c>
    </row>
    <row r="100" spans="11:29">
      <c r="K100" t="s">
        <v>1228</v>
      </c>
      <c r="L100" t="s">
        <v>1229</v>
      </c>
      <c r="M100" t="s">
        <v>1231</v>
      </c>
      <c r="N100" t="s">
        <v>1348</v>
      </c>
      <c r="P100" t="s">
        <v>597</v>
      </c>
      <c r="Q100" t="s">
        <v>227</v>
      </c>
      <c r="R100" t="s">
        <v>247</v>
      </c>
      <c r="S100" t="s">
        <v>225</v>
      </c>
      <c r="T100" t="s">
        <v>598</v>
      </c>
      <c r="U100" t="s">
        <v>559</v>
      </c>
      <c r="V100" t="s">
        <v>230</v>
      </c>
      <c r="W100" t="s">
        <v>599</v>
      </c>
      <c r="Y100" t="s">
        <v>1633</v>
      </c>
      <c r="Z100" t="s">
        <v>1362</v>
      </c>
      <c r="AA100" t="s">
        <v>1634</v>
      </c>
      <c r="AB100" t="s">
        <v>1364</v>
      </c>
      <c r="AC100" t="s">
        <v>1600</v>
      </c>
    </row>
    <row r="101" spans="11:29">
      <c r="K101" t="s">
        <v>1203</v>
      </c>
      <c r="L101" t="s">
        <v>1204</v>
      </c>
      <c r="M101" t="s">
        <v>1206</v>
      </c>
      <c r="N101" t="s">
        <v>1349</v>
      </c>
      <c r="P101" t="s">
        <v>600</v>
      </c>
      <c r="Q101" t="s">
        <v>227</v>
      </c>
      <c r="R101" t="s">
        <v>251</v>
      </c>
      <c r="S101" t="s">
        <v>225</v>
      </c>
      <c r="T101" t="s">
        <v>601</v>
      </c>
      <c r="U101" t="s">
        <v>559</v>
      </c>
      <c r="V101" t="s">
        <v>230</v>
      </c>
      <c r="W101" t="s">
        <v>602</v>
      </c>
      <c r="Y101" t="s">
        <v>1635</v>
      </c>
      <c r="Z101" t="s">
        <v>1362</v>
      </c>
      <c r="AA101" t="s">
        <v>1636</v>
      </c>
      <c r="AB101" t="s">
        <v>1605</v>
      </c>
      <c r="AC101" t="s">
        <v>1383</v>
      </c>
    </row>
    <row r="102" spans="11:29">
      <c r="K102" t="s">
        <v>1238</v>
      </c>
      <c r="L102" t="s">
        <v>1239</v>
      </c>
      <c r="M102" t="s">
        <v>1241</v>
      </c>
      <c r="N102" t="s">
        <v>1350</v>
      </c>
      <c r="P102" t="s">
        <v>603</v>
      </c>
      <c r="Q102" t="s">
        <v>227</v>
      </c>
      <c r="R102" t="s">
        <v>255</v>
      </c>
      <c r="S102" t="s">
        <v>225</v>
      </c>
      <c r="T102" t="s">
        <v>604</v>
      </c>
      <c r="U102" t="s">
        <v>559</v>
      </c>
      <c r="V102" t="s">
        <v>230</v>
      </c>
      <c r="W102" t="s">
        <v>605</v>
      </c>
      <c r="Y102" t="s">
        <v>1637</v>
      </c>
      <c r="Z102" t="s">
        <v>1362</v>
      </c>
      <c r="AA102" t="s">
        <v>1638</v>
      </c>
      <c r="AB102" t="s">
        <v>1364</v>
      </c>
      <c r="AC102" t="s">
        <v>1639</v>
      </c>
    </row>
    <row r="103" spans="11:29">
      <c r="K103" t="s">
        <v>1243</v>
      </c>
      <c r="L103" t="s">
        <v>1244</v>
      </c>
      <c r="M103" t="s">
        <v>1246</v>
      </c>
      <c r="N103" t="s">
        <v>1351</v>
      </c>
      <c r="P103" t="s">
        <v>606</v>
      </c>
      <c r="Q103" t="s">
        <v>227</v>
      </c>
      <c r="R103" t="s">
        <v>608</v>
      </c>
      <c r="S103" t="s">
        <v>225</v>
      </c>
      <c r="T103" t="s">
        <v>607</v>
      </c>
      <c r="U103" t="s">
        <v>559</v>
      </c>
      <c r="V103" t="s">
        <v>230</v>
      </c>
      <c r="W103" t="s">
        <v>609</v>
      </c>
      <c r="Y103" t="s">
        <v>1640</v>
      </c>
      <c r="Z103" t="s">
        <v>1362</v>
      </c>
      <c r="AA103" t="s">
        <v>1641</v>
      </c>
      <c r="AB103" t="s">
        <v>1382</v>
      </c>
      <c r="AC103" t="s">
        <v>1642</v>
      </c>
    </row>
    <row r="104" spans="11:29">
      <c r="K104" t="s">
        <v>1352</v>
      </c>
      <c r="L104" t="s">
        <v>227</v>
      </c>
      <c r="M104" t="s">
        <v>1353</v>
      </c>
      <c r="N104" t="s">
        <v>1354</v>
      </c>
      <c r="P104" t="s">
        <v>610</v>
      </c>
      <c r="Q104" t="s">
        <v>227</v>
      </c>
      <c r="R104" t="s">
        <v>612</v>
      </c>
      <c r="S104" t="s">
        <v>225</v>
      </c>
      <c r="T104" t="s">
        <v>611</v>
      </c>
      <c r="U104" t="s">
        <v>559</v>
      </c>
      <c r="V104" t="s">
        <v>230</v>
      </c>
      <c r="W104" t="s">
        <v>613</v>
      </c>
      <c r="Y104" t="s">
        <v>1643</v>
      </c>
      <c r="Z104" t="s">
        <v>1362</v>
      </c>
      <c r="AA104" t="s">
        <v>1644</v>
      </c>
      <c r="AB104" t="s">
        <v>1364</v>
      </c>
      <c r="AC104" t="s">
        <v>1379</v>
      </c>
    </row>
    <row r="105" spans="11:29">
      <c r="P105" t="s">
        <v>614</v>
      </c>
      <c r="Q105" t="s">
        <v>227</v>
      </c>
      <c r="R105" t="s">
        <v>373</v>
      </c>
      <c r="S105" t="s">
        <v>225</v>
      </c>
      <c r="T105" t="s">
        <v>615</v>
      </c>
      <c r="U105" t="s">
        <v>559</v>
      </c>
      <c r="V105" t="s">
        <v>230</v>
      </c>
      <c r="W105" t="s">
        <v>616</v>
      </c>
      <c r="Y105" t="s">
        <v>1645</v>
      </c>
      <c r="Z105" t="s">
        <v>1362</v>
      </c>
      <c r="AA105" t="s">
        <v>1646</v>
      </c>
      <c r="AB105" t="s">
        <v>1382</v>
      </c>
      <c r="AC105" t="s">
        <v>1490</v>
      </c>
    </row>
    <row r="106" spans="11:29">
      <c r="P106" t="s">
        <v>617</v>
      </c>
      <c r="Q106" t="s">
        <v>227</v>
      </c>
      <c r="R106" t="s">
        <v>619</v>
      </c>
      <c r="S106" t="s">
        <v>225</v>
      </c>
      <c r="T106" t="s">
        <v>618</v>
      </c>
      <c r="U106" t="s">
        <v>393</v>
      </c>
      <c r="V106" t="s">
        <v>230</v>
      </c>
      <c r="W106" t="s">
        <v>620</v>
      </c>
      <c r="Y106" t="s">
        <v>1647</v>
      </c>
      <c r="Z106" t="s">
        <v>1462</v>
      </c>
      <c r="AA106" t="s">
        <v>1648</v>
      </c>
      <c r="AB106" t="s">
        <v>1464</v>
      </c>
      <c r="AC106" t="s">
        <v>1649</v>
      </c>
    </row>
    <row r="107" spans="11:29">
      <c r="P107" t="s">
        <v>621</v>
      </c>
      <c r="Q107" t="s">
        <v>622</v>
      </c>
      <c r="R107" t="s">
        <v>624</v>
      </c>
      <c r="S107" t="s">
        <v>225</v>
      </c>
      <c r="T107" t="s">
        <v>623</v>
      </c>
      <c r="U107" t="s">
        <v>393</v>
      </c>
      <c r="V107" t="s">
        <v>230</v>
      </c>
      <c r="W107" t="s">
        <v>625</v>
      </c>
      <c r="Y107" t="s">
        <v>42</v>
      </c>
      <c r="Z107" t="s">
        <v>1362</v>
      </c>
      <c r="AA107" t="s">
        <v>1650</v>
      </c>
      <c r="AB107" t="s">
        <v>1364</v>
      </c>
      <c r="AC107" t="s">
        <v>1651</v>
      </c>
    </row>
    <row r="108" spans="11:29">
      <c r="P108" t="s">
        <v>626</v>
      </c>
      <c r="Q108" t="s">
        <v>627</v>
      </c>
      <c r="R108" t="s">
        <v>629</v>
      </c>
      <c r="S108" t="s">
        <v>225</v>
      </c>
      <c r="T108" t="s">
        <v>628</v>
      </c>
      <c r="U108" t="s">
        <v>393</v>
      </c>
      <c r="V108" t="s">
        <v>230</v>
      </c>
      <c r="W108" t="s">
        <v>630</v>
      </c>
      <c r="Y108" t="s">
        <v>1652</v>
      </c>
      <c r="Z108" t="s">
        <v>1362</v>
      </c>
      <c r="AA108" t="s">
        <v>1653</v>
      </c>
      <c r="AB108" t="s">
        <v>1364</v>
      </c>
      <c r="AC108" t="s">
        <v>1654</v>
      </c>
    </row>
    <row r="109" spans="11:29">
      <c r="P109" t="s">
        <v>631</v>
      </c>
      <c r="Q109" t="s">
        <v>632</v>
      </c>
      <c r="R109" t="s">
        <v>634</v>
      </c>
      <c r="S109" t="s">
        <v>225</v>
      </c>
      <c r="T109" t="s">
        <v>633</v>
      </c>
      <c r="U109" t="s">
        <v>393</v>
      </c>
      <c r="V109" t="s">
        <v>230</v>
      </c>
      <c r="W109" t="s">
        <v>635</v>
      </c>
      <c r="Y109" t="s">
        <v>1655</v>
      </c>
      <c r="Z109" t="s">
        <v>1362</v>
      </c>
      <c r="AA109" t="s">
        <v>1656</v>
      </c>
      <c r="AB109" t="s">
        <v>1364</v>
      </c>
      <c r="AC109" t="s">
        <v>1657</v>
      </c>
    </row>
    <row r="110" spans="11:29">
      <c r="P110" t="s">
        <v>636</v>
      </c>
      <c r="Q110" t="s">
        <v>637</v>
      </c>
      <c r="R110" t="s">
        <v>639</v>
      </c>
      <c r="S110" t="s">
        <v>225</v>
      </c>
      <c r="T110" t="s">
        <v>638</v>
      </c>
      <c r="U110" t="s">
        <v>393</v>
      </c>
      <c r="V110" t="s">
        <v>230</v>
      </c>
      <c r="W110" t="s">
        <v>640</v>
      </c>
      <c r="Y110" t="s">
        <v>1658</v>
      </c>
      <c r="Z110" t="s">
        <v>1462</v>
      </c>
      <c r="AA110" t="s">
        <v>1659</v>
      </c>
      <c r="AB110" t="s">
        <v>1464</v>
      </c>
      <c r="AC110" t="s">
        <v>1660</v>
      </c>
    </row>
    <row r="111" spans="11:29">
      <c r="P111" t="s">
        <v>641</v>
      </c>
      <c r="Q111" t="s">
        <v>642</v>
      </c>
      <c r="R111" t="s">
        <v>644</v>
      </c>
      <c r="S111" t="s">
        <v>225</v>
      </c>
      <c r="T111" t="s">
        <v>643</v>
      </c>
      <c r="U111" t="s">
        <v>393</v>
      </c>
      <c r="V111" t="s">
        <v>230</v>
      </c>
      <c r="W111" t="s">
        <v>645</v>
      </c>
      <c r="Y111" t="s">
        <v>1661</v>
      </c>
      <c r="Z111" t="s">
        <v>1362</v>
      </c>
      <c r="AA111" t="s">
        <v>1662</v>
      </c>
      <c r="AB111" t="s">
        <v>1364</v>
      </c>
      <c r="AC111" t="s">
        <v>1663</v>
      </c>
    </row>
    <row r="112" spans="11:29">
      <c r="P112" t="s">
        <v>646</v>
      </c>
      <c r="Q112" t="s">
        <v>647</v>
      </c>
      <c r="R112" t="s">
        <v>649</v>
      </c>
      <c r="S112" t="s">
        <v>225</v>
      </c>
      <c r="T112" t="s">
        <v>648</v>
      </c>
      <c r="U112" t="s">
        <v>393</v>
      </c>
      <c r="V112" t="s">
        <v>230</v>
      </c>
      <c r="W112" t="s">
        <v>650</v>
      </c>
      <c r="Y112" t="s">
        <v>1664</v>
      </c>
      <c r="Z112" t="s">
        <v>1362</v>
      </c>
      <c r="AA112" t="s">
        <v>1665</v>
      </c>
      <c r="AB112" t="s">
        <v>1459</v>
      </c>
      <c r="AC112" t="s">
        <v>1666</v>
      </c>
    </row>
    <row r="113" spans="16:29">
      <c r="P113" t="s">
        <v>651</v>
      </c>
      <c r="Q113" t="s">
        <v>652</v>
      </c>
      <c r="R113" t="s">
        <v>654</v>
      </c>
      <c r="S113" t="s">
        <v>225</v>
      </c>
      <c r="T113" t="s">
        <v>653</v>
      </c>
      <c r="U113" t="s">
        <v>393</v>
      </c>
      <c r="V113" t="s">
        <v>230</v>
      </c>
      <c r="W113" t="s">
        <v>655</v>
      </c>
      <c r="Y113" t="s">
        <v>1667</v>
      </c>
      <c r="Z113" t="s">
        <v>1362</v>
      </c>
      <c r="AA113" t="s">
        <v>1668</v>
      </c>
      <c r="AB113" t="s">
        <v>1364</v>
      </c>
      <c r="AC113" t="s">
        <v>1669</v>
      </c>
    </row>
    <row r="114" spans="16:29">
      <c r="P114" t="s">
        <v>656</v>
      </c>
      <c r="Q114" t="s">
        <v>227</v>
      </c>
      <c r="R114" t="s">
        <v>658</v>
      </c>
      <c r="S114" t="s">
        <v>225</v>
      </c>
      <c r="T114" t="s">
        <v>657</v>
      </c>
      <c r="U114" t="s">
        <v>307</v>
      </c>
      <c r="V114" t="s">
        <v>230</v>
      </c>
      <c r="W114" t="s">
        <v>659</v>
      </c>
      <c r="Y114" t="s">
        <v>1670</v>
      </c>
      <c r="Z114" t="s">
        <v>1362</v>
      </c>
      <c r="AA114" t="s">
        <v>1671</v>
      </c>
      <c r="AB114" t="s">
        <v>1459</v>
      </c>
      <c r="AC114" t="s">
        <v>1420</v>
      </c>
    </row>
    <row r="115" spans="16:29">
      <c r="P115" t="s">
        <v>660</v>
      </c>
      <c r="Q115" t="s">
        <v>227</v>
      </c>
      <c r="R115" t="s">
        <v>662</v>
      </c>
      <c r="S115" t="s">
        <v>225</v>
      </c>
      <c r="T115" t="s">
        <v>661</v>
      </c>
      <c r="U115" t="s">
        <v>393</v>
      </c>
      <c r="V115" t="s">
        <v>230</v>
      </c>
      <c r="W115" t="s">
        <v>663</v>
      </c>
      <c r="Y115" t="s">
        <v>1672</v>
      </c>
      <c r="Z115" t="s">
        <v>1362</v>
      </c>
      <c r="AA115" t="s">
        <v>1673</v>
      </c>
      <c r="AB115" t="s">
        <v>1364</v>
      </c>
      <c r="AC115" t="s">
        <v>1379</v>
      </c>
    </row>
    <row r="116" spans="16:29">
      <c r="P116" t="s">
        <v>664</v>
      </c>
      <c r="Q116" t="s">
        <v>665</v>
      </c>
      <c r="R116" t="s">
        <v>667</v>
      </c>
      <c r="S116" t="s">
        <v>225</v>
      </c>
      <c r="T116" t="s">
        <v>666</v>
      </c>
      <c r="U116" t="s">
        <v>393</v>
      </c>
      <c r="V116" t="s">
        <v>230</v>
      </c>
      <c r="W116" t="s">
        <v>668</v>
      </c>
      <c r="Y116" t="s">
        <v>41</v>
      </c>
      <c r="Z116" t="s">
        <v>1362</v>
      </c>
      <c r="AA116" t="s">
        <v>1674</v>
      </c>
      <c r="AB116" t="s">
        <v>1459</v>
      </c>
      <c r="AC116" t="s">
        <v>1420</v>
      </c>
    </row>
    <row r="117" spans="16:29">
      <c r="P117" t="s">
        <v>669</v>
      </c>
      <c r="Q117" t="s">
        <v>670</v>
      </c>
      <c r="R117" t="s">
        <v>672</v>
      </c>
      <c r="S117" t="s">
        <v>225</v>
      </c>
      <c r="T117" t="s">
        <v>671</v>
      </c>
      <c r="U117" t="s">
        <v>393</v>
      </c>
      <c r="V117" t="s">
        <v>230</v>
      </c>
      <c r="W117" t="s">
        <v>673</v>
      </c>
      <c r="Y117" t="s">
        <v>1675</v>
      </c>
      <c r="Z117" t="s">
        <v>1362</v>
      </c>
      <c r="AA117" t="s">
        <v>1676</v>
      </c>
      <c r="AB117" t="s">
        <v>1364</v>
      </c>
      <c r="AC117" t="s">
        <v>1677</v>
      </c>
    </row>
    <row r="118" spans="16:29">
      <c r="P118" t="s">
        <v>674</v>
      </c>
      <c r="Q118" t="s">
        <v>227</v>
      </c>
      <c r="R118" t="s">
        <v>676</v>
      </c>
      <c r="S118" t="s">
        <v>225</v>
      </c>
      <c r="T118" t="s">
        <v>675</v>
      </c>
      <c r="U118" t="s">
        <v>393</v>
      </c>
      <c r="V118" t="s">
        <v>230</v>
      </c>
      <c r="W118" t="s">
        <v>677</v>
      </c>
      <c r="Y118" t="s">
        <v>1678</v>
      </c>
      <c r="Z118" t="s">
        <v>1462</v>
      </c>
      <c r="AA118" t="s">
        <v>1679</v>
      </c>
      <c r="AB118" t="s">
        <v>1464</v>
      </c>
      <c r="AC118" t="s">
        <v>1490</v>
      </c>
    </row>
    <row r="119" spans="16:29">
      <c r="P119" t="s">
        <v>678</v>
      </c>
      <c r="Q119" t="s">
        <v>227</v>
      </c>
      <c r="R119" t="s">
        <v>680</v>
      </c>
      <c r="S119" t="s">
        <v>225</v>
      </c>
      <c r="T119" t="s">
        <v>679</v>
      </c>
      <c r="U119" t="s">
        <v>393</v>
      </c>
      <c r="V119" t="s">
        <v>230</v>
      </c>
      <c r="W119" t="s">
        <v>681</v>
      </c>
      <c r="Y119" t="s">
        <v>1680</v>
      </c>
      <c r="Z119" t="s">
        <v>1362</v>
      </c>
      <c r="AA119" t="s">
        <v>1681</v>
      </c>
      <c r="AB119" t="s">
        <v>1364</v>
      </c>
      <c r="AC119" t="s">
        <v>1682</v>
      </c>
    </row>
    <row r="120" spans="16:29">
      <c r="P120" t="s">
        <v>682</v>
      </c>
      <c r="Q120" t="s">
        <v>227</v>
      </c>
      <c r="R120" t="s">
        <v>684</v>
      </c>
      <c r="S120" t="s">
        <v>225</v>
      </c>
      <c r="T120" t="s">
        <v>683</v>
      </c>
      <c r="U120" t="s">
        <v>393</v>
      </c>
      <c r="V120" t="s">
        <v>230</v>
      </c>
      <c r="W120" t="s">
        <v>685</v>
      </c>
      <c r="Y120" t="s">
        <v>1683</v>
      </c>
      <c r="Z120" t="s">
        <v>1362</v>
      </c>
      <c r="AA120" t="s">
        <v>1684</v>
      </c>
      <c r="AB120" t="s">
        <v>1484</v>
      </c>
      <c r="AC120" t="s">
        <v>1685</v>
      </c>
    </row>
    <row r="121" spans="16:29">
      <c r="P121" t="s">
        <v>686</v>
      </c>
      <c r="Q121" t="s">
        <v>227</v>
      </c>
      <c r="R121" t="s">
        <v>688</v>
      </c>
      <c r="S121" t="s">
        <v>225</v>
      </c>
      <c r="T121" t="s">
        <v>687</v>
      </c>
      <c r="U121" t="s">
        <v>393</v>
      </c>
      <c r="V121" t="s">
        <v>230</v>
      </c>
      <c r="W121" t="s">
        <v>689</v>
      </c>
      <c r="Y121" t="s">
        <v>1686</v>
      </c>
      <c r="Z121" t="s">
        <v>1362</v>
      </c>
      <c r="AA121" t="s">
        <v>1687</v>
      </c>
      <c r="AB121" t="s">
        <v>1364</v>
      </c>
      <c r="AC121" t="s">
        <v>1499</v>
      </c>
    </row>
    <row r="122" spans="16:29">
      <c r="P122" t="s">
        <v>690</v>
      </c>
      <c r="Q122" t="s">
        <v>691</v>
      </c>
      <c r="R122" t="s">
        <v>693</v>
      </c>
      <c r="S122" t="s">
        <v>225</v>
      </c>
      <c r="T122" t="s">
        <v>692</v>
      </c>
      <c r="U122" t="s">
        <v>393</v>
      </c>
      <c r="V122" t="s">
        <v>230</v>
      </c>
      <c r="W122" t="s">
        <v>694</v>
      </c>
      <c r="Y122" t="s">
        <v>1688</v>
      </c>
      <c r="Z122" t="s">
        <v>1362</v>
      </c>
      <c r="AA122" t="s">
        <v>1689</v>
      </c>
      <c r="AB122" t="s">
        <v>1364</v>
      </c>
      <c r="AC122" t="s">
        <v>1622</v>
      </c>
    </row>
    <row r="123" spans="16:29">
      <c r="P123" t="s">
        <v>695</v>
      </c>
      <c r="Q123" t="s">
        <v>696</v>
      </c>
      <c r="R123" t="s">
        <v>698</v>
      </c>
      <c r="S123" t="s">
        <v>225</v>
      </c>
      <c r="T123" t="s">
        <v>697</v>
      </c>
      <c r="U123" t="s">
        <v>393</v>
      </c>
      <c r="V123" t="s">
        <v>230</v>
      </c>
      <c r="W123" t="s">
        <v>699</v>
      </c>
      <c r="Y123" t="s">
        <v>1690</v>
      </c>
      <c r="Z123" t="s">
        <v>1362</v>
      </c>
      <c r="AA123" t="s">
        <v>1691</v>
      </c>
      <c r="AB123" t="s">
        <v>1364</v>
      </c>
      <c r="AC123" t="s">
        <v>1554</v>
      </c>
    </row>
    <row r="124" spans="16:29">
      <c r="P124" t="s">
        <v>700</v>
      </c>
      <c r="Q124" t="s">
        <v>701</v>
      </c>
      <c r="R124" t="s">
        <v>703</v>
      </c>
      <c r="S124" t="s">
        <v>225</v>
      </c>
      <c r="T124" t="s">
        <v>702</v>
      </c>
      <c r="U124" t="s">
        <v>393</v>
      </c>
      <c r="V124" t="s">
        <v>230</v>
      </c>
      <c r="W124" t="s">
        <v>704</v>
      </c>
      <c r="Y124" t="s">
        <v>1692</v>
      </c>
      <c r="Z124" t="s">
        <v>1362</v>
      </c>
      <c r="AA124" t="s">
        <v>1693</v>
      </c>
      <c r="AB124" t="s">
        <v>1364</v>
      </c>
      <c r="AC124" t="s">
        <v>1694</v>
      </c>
    </row>
    <row r="125" spans="16:29">
      <c r="P125" t="s">
        <v>705</v>
      </c>
      <c r="Q125" t="s">
        <v>706</v>
      </c>
      <c r="R125" t="s">
        <v>708</v>
      </c>
      <c r="S125" t="s">
        <v>225</v>
      </c>
      <c r="T125" t="s">
        <v>707</v>
      </c>
      <c r="U125" t="s">
        <v>393</v>
      </c>
      <c r="V125" t="s">
        <v>230</v>
      </c>
      <c r="W125" t="s">
        <v>709</v>
      </c>
      <c r="Y125" t="s">
        <v>1695</v>
      </c>
      <c r="Z125" t="s">
        <v>1362</v>
      </c>
      <c r="AA125" t="s">
        <v>1696</v>
      </c>
      <c r="AB125" t="s">
        <v>1407</v>
      </c>
      <c r="AC125" t="s">
        <v>1697</v>
      </c>
    </row>
    <row r="126" spans="16:29">
      <c r="P126" t="s">
        <v>710</v>
      </c>
      <c r="Q126" t="s">
        <v>711</v>
      </c>
      <c r="R126" t="s">
        <v>713</v>
      </c>
      <c r="S126" t="s">
        <v>225</v>
      </c>
      <c r="T126" t="s">
        <v>712</v>
      </c>
      <c r="U126" t="s">
        <v>393</v>
      </c>
      <c r="V126" t="s">
        <v>230</v>
      </c>
      <c r="W126" t="s">
        <v>714</v>
      </c>
      <c r="Y126" t="s">
        <v>1698</v>
      </c>
      <c r="Z126" t="s">
        <v>1362</v>
      </c>
      <c r="AA126" t="s">
        <v>1699</v>
      </c>
      <c r="AB126" t="s">
        <v>1605</v>
      </c>
      <c r="AC126" t="s">
        <v>1383</v>
      </c>
    </row>
    <row r="127" spans="16:29">
      <c r="P127" t="s">
        <v>715</v>
      </c>
      <c r="Q127" t="s">
        <v>716</v>
      </c>
      <c r="R127" t="s">
        <v>718</v>
      </c>
      <c r="S127" t="s">
        <v>225</v>
      </c>
      <c r="T127" t="s">
        <v>717</v>
      </c>
      <c r="U127" t="s">
        <v>393</v>
      </c>
      <c r="V127" t="s">
        <v>230</v>
      </c>
      <c r="W127" t="s">
        <v>719</v>
      </c>
      <c r="Y127" t="s">
        <v>1700</v>
      </c>
      <c r="Z127" t="s">
        <v>1362</v>
      </c>
      <c r="AA127" t="s">
        <v>1701</v>
      </c>
      <c r="AB127" t="s">
        <v>1364</v>
      </c>
      <c r="AC127" t="s">
        <v>1490</v>
      </c>
    </row>
    <row r="128" spans="16:29">
      <c r="P128" t="s">
        <v>720</v>
      </c>
      <c r="Q128" t="s">
        <v>721</v>
      </c>
      <c r="R128" t="s">
        <v>723</v>
      </c>
      <c r="S128" t="s">
        <v>225</v>
      </c>
      <c r="T128" t="s">
        <v>722</v>
      </c>
      <c r="U128" t="s">
        <v>393</v>
      </c>
      <c r="V128" t="s">
        <v>230</v>
      </c>
      <c r="W128" t="s">
        <v>724</v>
      </c>
      <c r="Y128" t="s">
        <v>1702</v>
      </c>
      <c r="Z128" t="s">
        <v>1362</v>
      </c>
      <c r="AA128" t="s">
        <v>1703</v>
      </c>
      <c r="AB128" t="s">
        <v>1364</v>
      </c>
      <c r="AC128" t="s">
        <v>1704</v>
      </c>
    </row>
    <row r="129" spans="16:29">
      <c r="P129" t="s">
        <v>725</v>
      </c>
      <c r="Q129" t="s">
        <v>726</v>
      </c>
      <c r="R129" t="s">
        <v>728</v>
      </c>
      <c r="S129" t="s">
        <v>225</v>
      </c>
      <c r="T129" t="s">
        <v>727</v>
      </c>
      <c r="U129" t="s">
        <v>393</v>
      </c>
      <c r="V129" t="s">
        <v>230</v>
      </c>
      <c r="W129" t="s">
        <v>729</v>
      </c>
      <c r="Y129" t="s">
        <v>1705</v>
      </c>
      <c r="Z129" t="s">
        <v>1362</v>
      </c>
      <c r="AA129" t="s">
        <v>1706</v>
      </c>
      <c r="AB129" t="s">
        <v>1364</v>
      </c>
      <c r="AC129" t="s">
        <v>1707</v>
      </c>
    </row>
    <row r="130" spans="16:29">
      <c r="P130" t="s">
        <v>730</v>
      </c>
      <c r="Q130" t="s">
        <v>731</v>
      </c>
      <c r="R130" t="s">
        <v>733</v>
      </c>
      <c r="S130" t="s">
        <v>225</v>
      </c>
      <c r="T130" t="s">
        <v>732</v>
      </c>
      <c r="U130" t="s">
        <v>393</v>
      </c>
      <c r="V130" t="s">
        <v>230</v>
      </c>
      <c r="W130" t="s">
        <v>734</v>
      </c>
      <c r="Y130" t="s">
        <v>1708</v>
      </c>
      <c r="Z130" t="s">
        <v>1362</v>
      </c>
      <c r="AA130" t="s">
        <v>1709</v>
      </c>
      <c r="AB130" t="s">
        <v>1364</v>
      </c>
      <c r="AC130" t="s">
        <v>1436</v>
      </c>
    </row>
    <row r="131" spans="16:29">
      <c r="P131" t="s">
        <v>735</v>
      </c>
      <c r="Q131" t="s">
        <v>736</v>
      </c>
      <c r="R131" t="s">
        <v>738</v>
      </c>
      <c r="S131" t="s">
        <v>225</v>
      </c>
      <c r="T131" t="s">
        <v>737</v>
      </c>
      <c r="U131" t="s">
        <v>393</v>
      </c>
      <c r="V131" t="s">
        <v>230</v>
      </c>
      <c r="W131" t="s">
        <v>739</v>
      </c>
      <c r="Y131" t="s">
        <v>1710</v>
      </c>
      <c r="Z131" t="s">
        <v>1362</v>
      </c>
      <c r="AA131" t="s">
        <v>1711</v>
      </c>
      <c r="AB131" t="s">
        <v>1605</v>
      </c>
      <c r="AC131" t="s">
        <v>1490</v>
      </c>
    </row>
    <row r="132" spans="16:29">
      <c r="P132" t="s">
        <v>740</v>
      </c>
      <c r="Q132" t="s">
        <v>741</v>
      </c>
      <c r="R132" t="s">
        <v>743</v>
      </c>
      <c r="S132" t="s">
        <v>225</v>
      </c>
      <c r="T132" t="s">
        <v>742</v>
      </c>
      <c r="U132" t="s">
        <v>393</v>
      </c>
      <c r="V132" t="s">
        <v>230</v>
      </c>
      <c r="W132" t="s">
        <v>744</v>
      </c>
      <c r="Y132" t="s">
        <v>1712</v>
      </c>
      <c r="Z132" t="s">
        <v>1362</v>
      </c>
      <c r="AA132" t="s">
        <v>1713</v>
      </c>
      <c r="AB132" t="s">
        <v>1364</v>
      </c>
      <c r="AC132" t="s">
        <v>1383</v>
      </c>
    </row>
    <row r="133" spans="16:29">
      <c r="P133" t="s">
        <v>745</v>
      </c>
      <c r="Q133" t="s">
        <v>746</v>
      </c>
      <c r="R133" t="s">
        <v>748</v>
      </c>
      <c r="S133" t="s">
        <v>225</v>
      </c>
      <c r="T133" t="s">
        <v>747</v>
      </c>
      <c r="U133" t="s">
        <v>393</v>
      </c>
      <c r="V133" t="s">
        <v>230</v>
      </c>
      <c r="W133" t="s">
        <v>749</v>
      </c>
      <c r="Y133" t="s">
        <v>1714</v>
      </c>
      <c r="Z133" t="s">
        <v>1362</v>
      </c>
      <c r="AA133" t="s">
        <v>1715</v>
      </c>
      <c r="AB133" t="s">
        <v>1364</v>
      </c>
      <c r="AC133" t="s">
        <v>1379</v>
      </c>
    </row>
    <row r="134" spans="16:29">
      <c r="P134" t="s">
        <v>750</v>
      </c>
      <c r="Q134" t="s">
        <v>227</v>
      </c>
      <c r="R134" t="s">
        <v>752</v>
      </c>
      <c r="S134" t="s">
        <v>225</v>
      </c>
      <c r="T134" t="s">
        <v>751</v>
      </c>
      <c r="U134" t="s">
        <v>267</v>
      </c>
      <c r="V134" t="s">
        <v>230</v>
      </c>
      <c r="W134" t="s">
        <v>753</v>
      </c>
      <c r="Y134" t="s">
        <v>1716</v>
      </c>
      <c r="Z134" t="s">
        <v>1362</v>
      </c>
      <c r="AA134" t="s">
        <v>1717</v>
      </c>
      <c r="AB134" t="s">
        <v>1459</v>
      </c>
      <c r="AC134" t="s">
        <v>1420</v>
      </c>
    </row>
    <row r="135" spans="16:29">
      <c r="P135" t="s">
        <v>754</v>
      </c>
      <c r="Q135" t="s">
        <v>227</v>
      </c>
      <c r="R135" t="s">
        <v>754</v>
      </c>
      <c r="S135" t="s">
        <v>225</v>
      </c>
      <c r="T135" t="s">
        <v>755</v>
      </c>
      <c r="U135" t="s">
        <v>393</v>
      </c>
      <c r="V135" t="s">
        <v>230</v>
      </c>
      <c r="W135" t="s">
        <v>756</v>
      </c>
      <c r="Y135" t="s">
        <v>1718</v>
      </c>
      <c r="Z135" t="s">
        <v>1362</v>
      </c>
      <c r="AA135" t="s">
        <v>1719</v>
      </c>
      <c r="AB135" t="s">
        <v>1364</v>
      </c>
      <c r="AC135" t="s">
        <v>1720</v>
      </c>
    </row>
    <row r="136" spans="16:29">
      <c r="P136" t="s">
        <v>757</v>
      </c>
      <c r="Q136" t="s">
        <v>227</v>
      </c>
      <c r="R136" t="s">
        <v>525</v>
      </c>
      <c r="S136" t="s">
        <v>225</v>
      </c>
      <c r="T136" t="s">
        <v>758</v>
      </c>
      <c r="U136" t="s">
        <v>754</v>
      </c>
      <c r="V136" t="s">
        <v>230</v>
      </c>
      <c r="W136" t="s">
        <v>759</v>
      </c>
      <c r="Y136" t="s">
        <v>1721</v>
      </c>
      <c r="Z136" t="s">
        <v>1362</v>
      </c>
      <c r="AA136" t="s">
        <v>1722</v>
      </c>
      <c r="AB136" t="s">
        <v>1364</v>
      </c>
      <c r="AC136" t="s">
        <v>1723</v>
      </c>
    </row>
    <row r="137" spans="16:29">
      <c r="P137" t="s">
        <v>760</v>
      </c>
      <c r="Q137" t="s">
        <v>227</v>
      </c>
      <c r="R137" t="s">
        <v>273</v>
      </c>
      <c r="S137" t="s">
        <v>225</v>
      </c>
      <c r="T137" t="s">
        <v>761</v>
      </c>
      <c r="U137" t="s">
        <v>754</v>
      </c>
      <c r="V137" t="s">
        <v>230</v>
      </c>
      <c r="W137" t="s">
        <v>762</v>
      </c>
      <c r="Y137" t="s">
        <v>1724</v>
      </c>
      <c r="Z137" t="s">
        <v>1362</v>
      </c>
      <c r="AA137" t="s">
        <v>1725</v>
      </c>
      <c r="AB137" t="s">
        <v>1364</v>
      </c>
      <c r="AC137" t="s">
        <v>1454</v>
      </c>
    </row>
    <row r="138" spans="16:29">
      <c r="P138" t="s">
        <v>763</v>
      </c>
      <c r="Q138" t="s">
        <v>227</v>
      </c>
      <c r="R138" t="s">
        <v>247</v>
      </c>
      <c r="S138" t="s">
        <v>225</v>
      </c>
      <c r="T138" t="s">
        <v>764</v>
      </c>
      <c r="U138" t="s">
        <v>754</v>
      </c>
      <c r="V138" t="s">
        <v>230</v>
      </c>
      <c r="W138" t="s">
        <v>765</v>
      </c>
      <c r="Y138" t="s">
        <v>1726</v>
      </c>
      <c r="Z138" t="s">
        <v>1362</v>
      </c>
      <c r="AA138" t="s">
        <v>1727</v>
      </c>
      <c r="AB138" t="s">
        <v>1382</v>
      </c>
      <c r="AC138" t="s">
        <v>1490</v>
      </c>
    </row>
    <row r="139" spans="16:29">
      <c r="P139" t="s">
        <v>766</v>
      </c>
      <c r="Q139" t="s">
        <v>227</v>
      </c>
      <c r="R139" t="s">
        <v>535</v>
      </c>
      <c r="S139" t="s">
        <v>225</v>
      </c>
      <c r="T139" t="s">
        <v>767</v>
      </c>
      <c r="U139" t="s">
        <v>754</v>
      </c>
      <c r="V139" t="s">
        <v>230</v>
      </c>
      <c r="W139" t="s">
        <v>768</v>
      </c>
      <c r="Y139" t="s">
        <v>1728</v>
      </c>
      <c r="Z139" t="s">
        <v>1362</v>
      </c>
      <c r="AA139" t="s">
        <v>1729</v>
      </c>
      <c r="AB139" t="s">
        <v>1605</v>
      </c>
      <c r="AC139" t="s">
        <v>1730</v>
      </c>
    </row>
    <row r="140" spans="16:29">
      <c r="P140" t="s">
        <v>769</v>
      </c>
      <c r="Q140" t="s">
        <v>227</v>
      </c>
      <c r="R140" t="s">
        <v>280</v>
      </c>
      <c r="S140" t="s">
        <v>225</v>
      </c>
      <c r="T140" t="s">
        <v>770</v>
      </c>
      <c r="U140" t="s">
        <v>754</v>
      </c>
      <c r="V140" t="s">
        <v>230</v>
      </c>
      <c r="W140" t="s">
        <v>771</v>
      </c>
      <c r="Y140" t="s">
        <v>1731</v>
      </c>
      <c r="Z140" t="s">
        <v>1362</v>
      </c>
      <c r="AA140" t="s">
        <v>1732</v>
      </c>
      <c r="AB140" t="s">
        <v>1382</v>
      </c>
      <c r="AC140" t="s">
        <v>1383</v>
      </c>
    </row>
    <row r="141" spans="16:29">
      <c r="P141" t="s">
        <v>772</v>
      </c>
      <c r="Q141" t="s">
        <v>227</v>
      </c>
      <c r="R141" t="s">
        <v>284</v>
      </c>
      <c r="S141" t="s">
        <v>225</v>
      </c>
      <c r="T141" t="s">
        <v>773</v>
      </c>
      <c r="U141" t="s">
        <v>754</v>
      </c>
      <c r="V141" t="s">
        <v>230</v>
      </c>
      <c r="W141" t="s">
        <v>774</v>
      </c>
      <c r="Y141" t="s">
        <v>1733</v>
      </c>
      <c r="Z141" t="s">
        <v>1462</v>
      </c>
      <c r="AA141" t="s">
        <v>1734</v>
      </c>
      <c r="AB141" t="s">
        <v>1464</v>
      </c>
      <c r="AC141" t="s">
        <v>1505</v>
      </c>
    </row>
    <row r="142" spans="16:29">
      <c r="P142" t="s">
        <v>775</v>
      </c>
      <c r="Q142" t="s">
        <v>227</v>
      </c>
      <c r="R142" t="s">
        <v>288</v>
      </c>
      <c r="S142" t="s">
        <v>225</v>
      </c>
      <c r="T142" t="s">
        <v>776</v>
      </c>
      <c r="U142" t="s">
        <v>754</v>
      </c>
      <c r="V142" t="s">
        <v>230</v>
      </c>
      <c r="W142" t="s">
        <v>777</v>
      </c>
      <c r="Y142" t="s">
        <v>1735</v>
      </c>
      <c r="Z142" t="s">
        <v>1362</v>
      </c>
      <c r="AA142" t="s">
        <v>1736</v>
      </c>
      <c r="AB142" t="s">
        <v>1364</v>
      </c>
    </row>
    <row r="143" spans="16:29">
      <c r="P143" t="s">
        <v>778</v>
      </c>
      <c r="Q143" t="s">
        <v>227</v>
      </c>
      <c r="R143" t="s">
        <v>381</v>
      </c>
      <c r="S143" t="s">
        <v>225</v>
      </c>
      <c r="T143" t="s">
        <v>779</v>
      </c>
      <c r="U143" t="s">
        <v>754</v>
      </c>
      <c r="V143" t="s">
        <v>230</v>
      </c>
      <c r="W143" t="s">
        <v>780</v>
      </c>
      <c r="Y143" t="s">
        <v>1737</v>
      </c>
      <c r="Z143" t="s">
        <v>1362</v>
      </c>
      <c r="AA143" t="s">
        <v>1738</v>
      </c>
      <c r="AB143" t="s">
        <v>1364</v>
      </c>
      <c r="AC143" t="s">
        <v>1370</v>
      </c>
    </row>
    <row r="144" spans="16:29">
      <c r="P144" t="s">
        <v>781</v>
      </c>
      <c r="Q144" t="s">
        <v>227</v>
      </c>
      <c r="R144" t="s">
        <v>296</v>
      </c>
      <c r="S144" t="s">
        <v>225</v>
      </c>
      <c r="T144" t="s">
        <v>782</v>
      </c>
      <c r="U144" t="s">
        <v>754</v>
      </c>
      <c r="V144" t="s">
        <v>230</v>
      </c>
      <c r="W144" t="s">
        <v>783</v>
      </c>
      <c r="Y144" t="s">
        <v>1739</v>
      </c>
      <c r="Z144" t="s">
        <v>1362</v>
      </c>
      <c r="AA144" t="s">
        <v>1740</v>
      </c>
      <c r="AB144" t="s">
        <v>1364</v>
      </c>
      <c r="AC144" t="s">
        <v>1379</v>
      </c>
    </row>
    <row r="145" spans="16:29">
      <c r="P145" t="s">
        <v>784</v>
      </c>
      <c r="Q145" t="s">
        <v>227</v>
      </c>
      <c r="R145" t="s">
        <v>300</v>
      </c>
      <c r="S145" t="s">
        <v>225</v>
      </c>
      <c r="T145" t="s">
        <v>785</v>
      </c>
      <c r="U145" t="s">
        <v>754</v>
      </c>
      <c r="V145" t="s">
        <v>230</v>
      </c>
      <c r="W145" t="s">
        <v>786</v>
      </c>
      <c r="Y145" t="s">
        <v>1741</v>
      </c>
      <c r="Z145" t="s">
        <v>1362</v>
      </c>
      <c r="AA145" t="s">
        <v>1742</v>
      </c>
      <c r="AB145" t="s">
        <v>1364</v>
      </c>
      <c r="AC145" t="s">
        <v>1383</v>
      </c>
    </row>
    <row r="146" spans="16:29">
      <c r="P146" t="s">
        <v>787</v>
      </c>
      <c r="Q146" t="s">
        <v>227</v>
      </c>
      <c r="R146" t="s">
        <v>557</v>
      </c>
      <c r="S146" t="s">
        <v>225</v>
      </c>
      <c r="T146" t="s">
        <v>788</v>
      </c>
      <c r="U146" t="s">
        <v>754</v>
      </c>
      <c r="V146" t="s">
        <v>230</v>
      </c>
      <c r="W146" t="s">
        <v>789</v>
      </c>
      <c r="Y146" t="s">
        <v>1743</v>
      </c>
      <c r="Z146" t="s">
        <v>1362</v>
      </c>
      <c r="AA146" t="s">
        <v>1744</v>
      </c>
      <c r="AB146" t="s">
        <v>1364</v>
      </c>
      <c r="AC146" t="s">
        <v>1383</v>
      </c>
    </row>
    <row r="147" spans="16:29">
      <c r="P147" t="s">
        <v>790</v>
      </c>
      <c r="Q147" t="s">
        <v>227</v>
      </c>
      <c r="R147" t="s">
        <v>561</v>
      </c>
      <c r="S147" t="s">
        <v>225</v>
      </c>
      <c r="T147" t="s">
        <v>791</v>
      </c>
      <c r="U147" t="s">
        <v>754</v>
      </c>
      <c r="V147" t="s">
        <v>230</v>
      </c>
      <c r="W147" t="s">
        <v>792</v>
      </c>
      <c r="Y147" t="s">
        <v>1745</v>
      </c>
      <c r="Z147" t="s">
        <v>1362</v>
      </c>
      <c r="AA147" t="s">
        <v>1746</v>
      </c>
      <c r="AB147" t="s">
        <v>1382</v>
      </c>
      <c r="AC147" t="s">
        <v>1490</v>
      </c>
    </row>
    <row r="148" spans="16:29">
      <c r="P148" t="s">
        <v>793</v>
      </c>
      <c r="Q148" t="s">
        <v>227</v>
      </c>
      <c r="R148" t="s">
        <v>231</v>
      </c>
      <c r="S148" t="s">
        <v>225</v>
      </c>
      <c r="T148" t="s">
        <v>794</v>
      </c>
      <c r="U148" t="s">
        <v>790</v>
      </c>
      <c r="V148" t="s">
        <v>230</v>
      </c>
      <c r="W148" t="s">
        <v>795</v>
      </c>
      <c r="Y148" t="s">
        <v>1747</v>
      </c>
      <c r="Z148" t="s">
        <v>1362</v>
      </c>
      <c r="AA148" t="s">
        <v>1748</v>
      </c>
      <c r="AB148" t="s">
        <v>1364</v>
      </c>
      <c r="AC148" t="s">
        <v>1383</v>
      </c>
    </row>
    <row r="149" spans="16:29">
      <c r="P149" t="s">
        <v>796</v>
      </c>
      <c r="Q149" t="s">
        <v>227</v>
      </c>
      <c r="R149" t="s">
        <v>236</v>
      </c>
      <c r="S149" t="s">
        <v>225</v>
      </c>
      <c r="T149" t="s">
        <v>797</v>
      </c>
      <c r="U149" t="s">
        <v>790</v>
      </c>
      <c r="V149" t="s">
        <v>230</v>
      </c>
      <c r="W149" t="s">
        <v>798</v>
      </c>
      <c r="Y149" t="s">
        <v>1749</v>
      </c>
      <c r="Z149" t="s">
        <v>1362</v>
      </c>
      <c r="AA149" t="s">
        <v>1750</v>
      </c>
      <c r="AB149" t="s">
        <v>1364</v>
      </c>
      <c r="AC149" t="s">
        <v>1751</v>
      </c>
    </row>
    <row r="150" spans="16:29">
      <c r="P150" t="s">
        <v>799</v>
      </c>
      <c r="Q150" t="s">
        <v>227</v>
      </c>
      <c r="R150" t="s">
        <v>247</v>
      </c>
      <c r="S150" t="s">
        <v>225</v>
      </c>
      <c r="T150" t="s">
        <v>800</v>
      </c>
      <c r="U150" t="s">
        <v>790</v>
      </c>
      <c r="V150" t="s">
        <v>230</v>
      </c>
      <c r="W150" t="s">
        <v>801</v>
      </c>
      <c r="Y150" t="s">
        <v>1752</v>
      </c>
      <c r="Z150" t="s">
        <v>1362</v>
      </c>
      <c r="AA150" t="s">
        <v>1753</v>
      </c>
      <c r="AB150" t="s">
        <v>1364</v>
      </c>
      <c r="AC150" t="s">
        <v>1562</v>
      </c>
    </row>
    <row r="151" spans="16:29">
      <c r="P151" t="s">
        <v>802</v>
      </c>
      <c r="Q151" t="s">
        <v>227</v>
      </c>
      <c r="R151" t="s">
        <v>251</v>
      </c>
      <c r="S151" t="s">
        <v>225</v>
      </c>
      <c r="T151" t="s">
        <v>803</v>
      </c>
      <c r="U151" t="s">
        <v>790</v>
      </c>
      <c r="V151" t="s">
        <v>230</v>
      </c>
      <c r="W151" t="s">
        <v>804</v>
      </c>
      <c r="Y151" t="s">
        <v>1754</v>
      </c>
      <c r="Z151" t="s">
        <v>1362</v>
      </c>
      <c r="AA151" t="s">
        <v>1755</v>
      </c>
      <c r="AB151" t="s">
        <v>1364</v>
      </c>
      <c r="AC151" t="s">
        <v>1756</v>
      </c>
    </row>
    <row r="152" spans="16:29">
      <c r="P152" t="s">
        <v>805</v>
      </c>
      <c r="Q152" t="s">
        <v>227</v>
      </c>
      <c r="R152" t="s">
        <v>255</v>
      </c>
      <c r="S152" t="s">
        <v>225</v>
      </c>
      <c r="T152" t="s">
        <v>806</v>
      </c>
      <c r="U152" t="s">
        <v>790</v>
      </c>
      <c r="V152" t="s">
        <v>230</v>
      </c>
      <c r="W152" t="s">
        <v>807</v>
      </c>
      <c r="Y152" t="s">
        <v>1757</v>
      </c>
      <c r="Z152" t="s">
        <v>1362</v>
      </c>
      <c r="AA152" t="s">
        <v>1758</v>
      </c>
      <c r="AB152" t="s">
        <v>1382</v>
      </c>
      <c r="AC152" t="s">
        <v>1423</v>
      </c>
    </row>
    <row r="153" spans="16:29">
      <c r="P153" t="s">
        <v>808</v>
      </c>
      <c r="Q153" t="s">
        <v>227</v>
      </c>
      <c r="R153" t="s">
        <v>608</v>
      </c>
      <c r="S153" t="s">
        <v>225</v>
      </c>
      <c r="T153" t="s">
        <v>809</v>
      </c>
      <c r="U153" t="s">
        <v>790</v>
      </c>
      <c r="V153" t="s">
        <v>230</v>
      </c>
      <c r="W153" t="s">
        <v>810</v>
      </c>
      <c r="Y153" t="s">
        <v>1759</v>
      </c>
      <c r="Z153" t="s">
        <v>1362</v>
      </c>
      <c r="AA153" t="s">
        <v>1760</v>
      </c>
      <c r="AB153" t="s">
        <v>1382</v>
      </c>
      <c r="AC153" t="s">
        <v>1490</v>
      </c>
    </row>
    <row r="154" spans="16:29">
      <c r="P154" t="s">
        <v>811</v>
      </c>
      <c r="Q154" t="s">
        <v>227</v>
      </c>
      <c r="R154" t="s">
        <v>612</v>
      </c>
      <c r="S154" t="s">
        <v>225</v>
      </c>
      <c r="T154" t="s">
        <v>812</v>
      </c>
      <c r="U154" t="s">
        <v>790</v>
      </c>
      <c r="V154" t="s">
        <v>230</v>
      </c>
      <c r="W154" t="s">
        <v>813</v>
      </c>
      <c r="Y154" t="s">
        <v>1761</v>
      </c>
      <c r="Z154" t="s">
        <v>1362</v>
      </c>
      <c r="AA154" t="s">
        <v>1762</v>
      </c>
      <c r="AB154" t="s">
        <v>1364</v>
      </c>
      <c r="AC154" t="s">
        <v>1763</v>
      </c>
    </row>
    <row r="155" spans="16:29">
      <c r="P155" t="s">
        <v>814</v>
      </c>
      <c r="Q155" t="s">
        <v>227</v>
      </c>
      <c r="R155" t="s">
        <v>373</v>
      </c>
      <c r="S155" t="s">
        <v>225</v>
      </c>
      <c r="T155" t="s">
        <v>815</v>
      </c>
      <c r="U155" t="s">
        <v>790</v>
      </c>
      <c r="V155" t="s">
        <v>230</v>
      </c>
      <c r="W155" t="s">
        <v>816</v>
      </c>
      <c r="Y155" t="s">
        <v>1764</v>
      </c>
      <c r="Z155" t="s">
        <v>1362</v>
      </c>
      <c r="AA155" t="s">
        <v>1765</v>
      </c>
      <c r="AB155" t="s">
        <v>1364</v>
      </c>
      <c r="AC155" t="s">
        <v>1766</v>
      </c>
    </row>
    <row r="156" spans="16:29">
      <c r="P156" t="s">
        <v>817</v>
      </c>
      <c r="Q156" t="s">
        <v>227</v>
      </c>
      <c r="R156" t="s">
        <v>239</v>
      </c>
      <c r="S156" t="s">
        <v>225</v>
      </c>
      <c r="T156" t="s">
        <v>818</v>
      </c>
      <c r="U156" t="s">
        <v>796</v>
      </c>
      <c r="V156" t="s">
        <v>230</v>
      </c>
      <c r="W156" t="s">
        <v>819</v>
      </c>
      <c r="Y156" t="s">
        <v>1767</v>
      </c>
      <c r="Z156" t="s">
        <v>1462</v>
      </c>
      <c r="AA156" t="s">
        <v>1768</v>
      </c>
      <c r="AB156" t="s">
        <v>1464</v>
      </c>
      <c r="AC156" t="s">
        <v>1379</v>
      </c>
    </row>
    <row r="157" spans="16:29">
      <c r="P157" t="s">
        <v>820</v>
      </c>
      <c r="Q157" t="s">
        <v>227</v>
      </c>
      <c r="R157" t="s">
        <v>242</v>
      </c>
      <c r="S157" t="s">
        <v>225</v>
      </c>
      <c r="T157" t="s">
        <v>821</v>
      </c>
      <c r="U157" t="s">
        <v>796</v>
      </c>
      <c r="V157" t="s">
        <v>230</v>
      </c>
      <c r="W157" t="s">
        <v>822</v>
      </c>
      <c r="Y157" t="s">
        <v>1769</v>
      </c>
      <c r="Z157" t="s">
        <v>1362</v>
      </c>
      <c r="AA157" t="s">
        <v>1770</v>
      </c>
      <c r="AB157" t="s">
        <v>1364</v>
      </c>
      <c r="AC157" t="s">
        <v>1588</v>
      </c>
    </row>
    <row r="158" spans="16:29">
      <c r="P158" t="s">
        <v>823</v>
      </c>
      <c r="Q158" t="s">
        <v>227</v>
      </c>
      <c r="R158" t="s">
        <v>430</v>
      </c>
      <c r="S158" t="s">
        <v>225</v>
      </c>
      <c r="T158" t="s">
        <v>824</v>
      </c>
      <c r="U158" t="s">
        <v>796</v>
      </c>
      <c r="V158" t="s">
        <v>230</v>
      </c>
      <c r="W158" t="s">
        <v>825</v>
      </c>
      <c r="Y158" t="s">
        <v>1771</v>
      </c>
      <c r="Z158" t="s">
        <v>1362</v>
      </c>
      <c r="AA158" t="s">
        <v>1772</v>
      </c>
      <c r="AB158" t="s">
        <v>1364</v>
      </c>
      <c r="AC158" t="s">
        <v>1694</v>
      </c>
    </row>
    <row r="159" spans="16:29">
      <c r="P159" t="s">
        <v>826</v>
      </c>
      <c r="Q159" t="s">
        <v>227</v>
      </c>
      <c r="R159" t="s">
        <v>433</v>
      </c>
      <c r="S159" t="s">
        <v>225</v>
      </c>
      <c r="T159" t="s">
        <v>827</v>
      </c>
      <c r="U159" t="s">
        <v>796</v>
      </c>
      <c r="V159" t="s">
        <v>230</v>
      </c>
      <c r="W159" t="s">
        <v>828</v>
      </c>
      <c r="Y159" t="s">
        <v>1773</v>
      </c>
      <c r="Z159" t="s">
        <v>1462</v>
      </c>
      <c r="AA159" t="s">
        <v>1774</v>
      </c>
      <c r="AB159" t="s">
        <v>1464</v>
      </c>
      <c r="AC159" t="s">
        <v>1591</v>
      </c>
    </row>
    <row r="160" spans="16:29">
      <c r="P160" t="s">
        <v>829</v>
      </c>
      <c r="Q160" t="s">
        <v>227</v>
      </c>
      <c r="R160" t="s">
        <v>490</v>
      </c>
      <c r="S160" t="s">
        <v>225</v>
      </c>
      <c r="T160" t="s">
        <v>830</v>
      </c>
      <c r="U160" t="s">
        <v>796</v>
      </c>
      <c r="V160" t="s">
        <v>230</v>
      </c>
      <c r="W160" t="s">
        <v>831</v>
      </c>
      <c r="Y160" t="s">
        <v>1775</v>
      </c>
      <c r="Z160" t="s">
        <v>1362</v>
      </c>
      <c r="AA160" t="s">
        <v>1776</v>
      </c>
      <c r="AB160" t="s">
        <v>1382</v>
      </c>
      <c r="AC160" t="s">
        <v>1657</v>
      </c>
    </row>
    <row r="161" spans="16:29">
      <c r="P161" t="s">
        <v>832</v>
      </c>
      <c r="Q161" t="s">
        <v>227</v>
      </c>
      <c r="R161" t="s">
        <v>494</v>
      </c>
      <c r="S161" t="s">
        <v>225</v>
      </c>
      <c r="T161" t="s">
        <v>833</v>
      </c>
      <c r="U161" t="s">
        <v>796</v>
      </c>
      <c r="V161" t="s">
        <v>230</v>
      </c>
      <c r="W161" t="s">
        <v>834</v>
      </c>
      <c r="Y161" t="s">
        <v>1777</v>
      </c>
      <c r="Z161" t="s">
        <v>1362</v>
      </c>
      <c r="AA161" t="s">
        <v>1778</v>
      </c>
      <c r="AB161" t="s">
        <v>1364</v>
      </c>
      <c r="AC161" t="s">
        <v>1379</v>
      </c>
    </row>
    <row r="162" spans="16:29">
      <c r="P162" t="s">
        <v>835</v>
      </c>
      <c r="Q162" t="s">
        <v>227</v>
      </c>
      <c r="R162" t="s">
        <v>436</v>
      </c>
      <c r="S162" t="s">
        <v>225</v>
      </c>
      <c r="T162" t="s">
        <v>836</v>
      </c>
      <c r="U162" t="s">
        <v>796</v>
      </c>
      <c r="V162" t="s">
        <v>230</v>
      </c>
      <c r="W162" t="s">
        <v>837</v>
      </c>
      <c r="Y162" t="s">
        <v>1779</v>
      </c>
      <c r="Z162" t="s">
        <v>1362</v>
      </c>
      <c r="AA162" t="s">
        <v>1780</v>
      </c>
      <c r="AB162" t="s">
        <v>1364</v>
      </c>
      <c r="AC162" t="s">
        <v>1426</v>
      </c>
    </row>
    <row r="163" spans="16:29">
      <c r="P163" t="s">
        <v>838</v>
      </c>
      <c r="Q163" t="s">
        <v>227</v>
      </c>
      <c r="R163" t="s">
        <v>451</v>
      </c>
      <c r="S163" t="s">
        <v>225</v>
      </c>
      <c r="T163" t="s">
        <v>839</v>
      </c>
      <c r="U163" t="s">
        <v>796</v>
      </c>
      <c r="V163" t="s">
        <v>230</v>
      </c>
      <c r="W163" t="s">
        <v>840</v>
      </c>
      <c r="Y163" t="s">
        <v>1781</v>
      </c>
      <c r="Z163" t="s">
        <v>1362</v>
      </c>
      <c r="AA163" t="s">
        <v>1782</v>
      </c>
      <c r="AB163" t="s">
        <v>1364</v>
      </c>
      <c r="AC163" t="s">
        <v>1783</v>
      </c>
    </row>
    <row r="164" spans="16:29">
      <c r="P164" t="s">
        <v>841</v>
      </c>
      <c r="Q164" t="s">
        <v>227</v>
      </c>
      <c r="R164" t="s">
        <v>595</v>
      </c>
      <c r="S164" t="s">
        <v>225</v>
      </c>
      <c r="T164" t="s">
        <v>842</v>
      </c>
      <c r="U164" t="s">
        <v>796</v>
      </c>
      <c r="V164" t="s">
        <v>230</v>
      </c>
      <c r="W164" t="s">
        <v>843</v>
      </c>
      <c r="Y164" t="s">
        <v>1784</v>
      </c>
      <c r="Z164" t="s">
        <v>1462</v>
      </c>
      <c r="AA164" t="s">
        <v>1785</v>
      </c>
      <c r="AB164" t="s">
        <v>1464</v>
      </c>
      <c r="AC164" t="s">
        <v>1786</v>
      </c>
    </row>
    <row r="165" spans="16:29">
      <c r="P165" t="s">
        <v>844</v>
      </c>
      <c r="Q165" t="s">
        <v>845</v>
      </c>
      <c r="R165" t="s">
        <v>847</v>
      </c>
      <c r="S165" t="s">
        <v>225</v>
      </c>
      <c r="T165" t="s">
        <v>846</v>
      </c>
      <c r="U165" t="s">
        <v>393</v>
      </c>
      <c r="V165" t="s">
        <v>230</v>
      </c>
      <c r="W165" t="s">
        <v>848</v>
      </c>
      <c r="Y165" t="s">
        <v>1787</v>
      </c>
      <c r="Z165" t="s">
        <v>1362</v>
      </c>
      <c r="AA165" t="s">
        <v>1788</v>
      </c>
      <c r="AB165" t="s">
        <v>1364</v>
      </c>
      <c r="AC165" t="s">
        <v>1499</v>
      </c>
    </row>
    <row r="166" spans="16:29">
      <c r="P166" t="s">
        <v>849</v>
      </c>
      <c r="Q166" t="s">
        <v>850</v>
      </c>
      <c r="R166" t="s">
        <v>852</v>
      </c>
      <c r="S166" t="s">
        <v>225</v>
      </c>
      <c r="T166" t="s">
        <v>851</v>
      </c>
      <c r="U166" t="s">
        <v>393</v>
      </c>
      <c r="V166" t="s">
        <v>230</v>
      </c>
      <c r="W166" t="s">
        <v>853</v>
      </c>
      <c r="Y166" t="s">
        <v>1789</v>
      </c>
      <c r="Z166" t="s">
        <v>1362</v>
      </c>
      <c r="AA166" t="s">
        <v>1790</v>
      </c>
      <c r="AB166" t="s">
        <v>1364</v>
      </c>
      <c r="AC166" t="s">
        <v>1630</v>
      </c>
    </row>
    <row r="167" spans="16:29">
      <c r="P167" t="s">
        <v>854</v>
      </c>
      <c r="Q167" t="s">
        <v>855</v>
      </c>
      <c r="R167" t="s">
        <v>857</v>
      </c>
      <c r="S167" t="s">
        <v>225</v>
      </c>
      <c r="T167" t="s">
        <v>856</v>
      </c>
      <c r="U167" t="s">
        <v>393</v>
      </c>
      <c r="V167" t="s">
        <v>230</v>
      </c>
      <c r="W167" t="s">
        <v>858</v>
      </c>
      <c r="Y167" t="s">
        <v>1791</v>
      </c>
      <c r="Z167" t="s">
        <v>1362</v>
      </c>
      <c r="AA167" t="s">
        <v>1792</v>
      </c>
      <c r="AB167" t="s">
        <v>1364</v>
      </c>
      <c r="AC167" t="s">
        <v>1793</v>
      </c>
    </row>
    <row r="168" spans="16:29">
      <c r="P168" t="s">
        <v>859</v>
      </c>
      <c r="Q168" t="s">
        <v>860</v>
      </c>
      <c r="R168" t="s">
        <v>862</v>
      </c>
      <c r="S168" t="s">
        <v>225</v>
      </c>
      <c r="T168" t="s">
        <v>861</v>
      </c>
      <c r="U168" t="s">
        <v>393</v>
      </c>
      <c r="V168" t="s">
        <v>230</v>
      </c>
      <c r="W168" t="s">
        <v>863</v>
      </c>
      <c r="Y168" t="s">
        <v>1794</v>
      </c>
      <c r="Z168" t="s">
        <v>1362</v>
      </c>
      <c r="AA168" t="s">
        <v>1795</v>
      </c>
      <c r="AB168" t="s">
        <v>1364</v>
      </c>
      <c r="AC168" t="s">
        <v>1796</v>
      </c>
    </row>
    <row r="169" spans="16:29">
      <c r="P169" t="s">
        <v>864</v>
      </c>
      <c r="Q169" t="s">
        <v>865</v>
      </c>
      <c r="R169" t="s">
        <v>867</v>
      </c>
      <c r="S169" t="s">
        <v>225</v>
      </c>
      <c r="T169" t="s">
        <v>866</v>
      </c>
      <c r="U169" t="s">
        <v>393</v>
      </c>
      <c r="V169" t="s">
        <v>230</v>
      </c>
      <c r="W169" t="s">
        <v>868</v>
      </c>
      <c r="Y169" t="s">
        <v>1797</v>
      </c>
      <c r="Z169" t="s">
        <v>1362</v>
      </c>
      <c r="AA169" t="s">
        <v>1798</v>
      </c>
      <c r="AB169" t="s">
        <v>1382</v>
      </c>
      <c r="AC169" t="s">
        <v>1383</v>
      </c>
    </row>
    <row r="170" spans="16:29">
      <c r="P170" t="s">
        <v>869</v>
      </c>
      <c r="Q170" t="s">
        <v>227</v>
      </c>
      <c r="R170" t="s">
        <v>871</v>
      </c>
      <c r="S170" t="s">
        <v>225</v>
      </c>
      <c r="T170" t="s">
        <v>870</v>
      </c>
      <c r="U170" t="s">
        <v>393</v>
      </c>
      <c r="V170" t="s">
        <v>230</v>
      </c>
      <c r="W170" t="s">
        <v>872</v>
      </c>
      <c r="Y170" t="s">
        <v>1799</v>
      </c>
      <c r="Z170" t="s">
        <v>1362</v>
      </c>
      <c r="AA170" t="s">
        <v>1800</v>
      </c>
      <c r="AB170" t="s">
        <v>1364</v>
      </c>
      <c r="AC170" t="s">
        <v>1373</v>
      </c>
    </row>
    <row r="171" spans="16:29">
      <c r="P171" t="s">
        <v>873</v>
      </c>
      <c r="Q171" t="s">
        <v>227</v>
      </c>
      <c r="R171" t="s">
        <v>875</v>
      </c>
      <c r="S171" t="s">
        <v>225</v>
      </c>
      <c r="T171" t="s">
        <v>874</v>
      </c>
      <c r="U171" t="s">
        <v>393</v>
      </c>
      <c r="V171" t="s">
        <v>230</v>
      </c>
      <c r="W171" t="s">
        <v>876</v>
      </c>
      <c r="Y171" t="s">
        <v>1801</v>
      </c>
      <c r="Z171" t="s">
        <v>1362</v>
      </c>
      <c r="AA171" t="s">
        <v>1802</v>
      </c>
      <c r="AB171" t="s">
        <v>1364</v>
      </c>
      <c r="AC171" t="s">
        <v>1694</v>
      </c>
    </row>
    <row r="172" spans="16:29">
      <c r="P172" t="s">
        <v>877</v>
      </c>
      <c r="Q172" t="s">
        <v>878</v>
      </c>
      <c r="R172" t="s">
        <v>880</v>
      </c>
      <c r="S172" t="s">
        <v>225</v>
      </c>
      <c r="T172" t="s">
        <v>879</v>
      </c>
      <c r="U172" t="s">
        <v>393</v>
      </c>
      <c r="V172" t="s">
        <v>230</v>
      </c>
      <c r="W172" t="s">
        <v>881</v>
      </c>
      <c r="Y172" t="s">
        <v>1803</v>
      </c>
      <c r="Z172" t="s">
        <v>1362</v>
      </c>
      <c r="AA172" t="s">
        <v>1804</v>
      </c>
      <c r="AB172" t="s">
        <v>1382</v>
      </c>
      <c r="AC172" t="s">
        <v>1454</v>
      </c>
    </row>
    <row r="173" spans="16:29">
      <c r="P173" t="s">
        <v>882</v>
      </c>
      <c r="Q173" t="s">
        <v>883</v>
      </c>
      <c r="R173" t="s">
        <v>885</v>
      </c>
      <c r="S173" t="s">
        <v>225</v>
      </c>
      <c r="T173" t="s">
        <v>884</v>
      </c>
      <c r="U173" t="s">
        <v>393</v>
      </c>
      <c r="V173" t="s">
        <v>230</v>
      </c>
      <c r="W173" t="s">
        <v>886</v>
      </c>
      <c r="Y173" t="s">
        <v>1805</v>
      </c>
      <c r="Z173" t="s">
        <v>1362</v>
      </c>
      <c r="AA173" t="s">
        <v>1806</v>
      </c>
      <c r="AB173" t="s">
        <v>1459</v>
      </c>
      <c r="AC173" t="s">
        <v>1666</v>
      </c>
    </row>
    <row r="174" spans="16:29">
      <c r="P174" t="s">
        <v>887</v>
      </c>
      <c r="Q174" t="s">
        <v>888</v>
      </c>
      <c r="R174" t="s">
        <v>890</v>
      </c>
      <c r="S174" t="s">
        <v>225</v>
      </c>
      <c r="T174" t="s">
        <v>889</v>
      </c>
      <c r="U174" t="s">
        <v>393</v>
      </c>
      <c r="V174" t="s">
        <v>230</v>
      </c>
      <c r="W174" t="s">
        <v>891</v>
      </c>
      <c r="Y174" t="s">
        <v>1807</v>
      </c>
      <c r="Z174" t="s">
        <v>1362</v>
      </c>
      <c r="AA174" t="s">
        <v>1808</v>
      </c>
      <c r="AC174" t="s">
        <v>1809</v>
      </c>
    </row>
    <row r="175" spans="16:29">
      <c r="P175" t="s">
        <v>892</v>
      </c>
      <c r="Q175" t="s">
        <v>893</v>
      </c>
      <c r="R175" t="s">
        <v>895</v>
      </c>
      <c r="S175" t="s">
        <v>225</v>
      </c>
      <c r="T175" t="s">
        <v>894</v>
      </c>
      <c r="U175" t="s">
        <v>393</v>
      </c>
      <c r="V175" t="s">
        <v>230</v>
      </c>
      <c r="W175" t="s">
        <v>896</v>
      </c>
      <c r="Y175" t="s">
        <v>1810</v>
      </c>
      <c r="Z175" t="s">
        <v>1462</v>
      </c>
      <c r="AA175" t="s">
        <v>1811</v>
      </c>
      <c r="AB175" t="s">
        <v>1464</v>
      </c>
      <c r="AC175" t="s">
        <v>1812</v>
      </c>
    </row>
    <row r="176" spans="16:29">
      <c r="P176" t="s">
        <v>897</v>
      </c>
      <c r="Q176" t="s">
        <v>227</v>
      </c>
      <c r="R176" t="s">
        <v>899</v>
      </c>
      <c r="S176" t="s">
        <v>225</v>
      </c>
      <c r="T176" t="s">
        <v>898</v>
      </c>
      <c r="U176" t="s">
        <v>520</v>
      </c>
      <c r="V176" t="s">
        <v>230</v>
      </c>
      <c r="W176" t="s">
        <v>900</v>
      </c>
      <c r="Y176" t="s">
        <v>1813</v>
      </c>
      <c r="Z176" t="s">
        <v>1362</v>
      </c>
      <c r="AA176" t="s">
        <v>1814</v>
      </c>
      <c r="AB176" t="s">
        <v>1364</v>
      </c>
      <c r="AC176" t="s">
        <v>1815</v>
      </c>
    </row>
    <row r="177" spans="16:29">
      <c r="P177" t="s">
        <v>901</v>
      </c>
      <c r="Q177" t="s">
        <v>902</v>
      </c>
      <c r="R177" t="s">
        <v>904</v>
      </c>
      <c r="S177" t="s">
        <v>225</v>
      </c>
      <c r="T177" t="s">
        <v>903</v>
      </c>
      <c r="U177" t="s">
        <v>393</v>
      </c>
      <c r="V177" t="s">
        <v>230</v>
      </c>
      <c r="W177" t="s">
        <v>905</v>
      </c>
      <c r="Y177" t="s">
        <v>1816</v>
      </c>
      <c r="Z177" t="s">
        <v>1362</v>
      </c>
      <c r="AA177" t="s">
        <v>1817</v>
      </c>
      <c r="AB177" t="s">
        <v>1382</v>
      </c>
      <c r="AC177" t="s">
        <v>1383</v>
      </c>
    </row>
    <row r="178" spans="16:29">
      <c r="P178" t="s">
        <v>906</v>
      </c>
      <c r="Q178" t="s">
        <v>907</v>
      </c>
      <c r="R178" t="s">
        <v>909</v>
      </c>
      <c r="S178" t="s">
        <v>225</v>
      </c>
      <c r="T178" t="s">
        <v>908</v>
      </c>
      <c r="U178" t="s">
        <v>393</v>
      </c>
      <c r="V178" t="s">
        <v>230</v>
      </c>
      <c r="W178" t="s">
        <v>910</v>
      </c>
      <c r="Y178" t="s">
        <v>1818</v>
      </c>
      <c r="Z178" t="s">
        <v>1367</v>
      </c>
      <c r="AA178" t="s">
        <v>1819</v>
      </c>
      <c r="AB178" t="s">
        <v>1369</v>
      </c>
      <c r="AC178" t="s">
        <v>1630</v>
      </c>
    </row>
    <row r="179" spans="16:29">
      <c r="P179" t="s">
        <v>911</v>
      </c>
      <c r="Q179" t="s">
        <v>912</v>
      </c>
      <c r="R179" t="s">
        <v>914</v>
      </c>
      <c r="S179" t="s">
        <v>225</v>
      </c>
      <c r="T179" t="s">
        <v>913</v>
      </c>
      <c r="U179" t="s">
        <v>393</v>
      </c>
      <c r="V179" t="s">
        <v>230</v>
      </c>
      <c r="W179" t="s">
        <v>915</v>
      </c>
      <c r="Y179" t="s">
        <v>1820</v>
      </c>
      <c r="Z179" t="s">
        <v>1362</v>
      </c>
      <c r="AA179" t="s">
        <v>1821</v>
      </c>
    </row>
    <row r="180" spans="16:29">
      <c r="P180" t="s">
        <v>916</v>
      </c>
      <c r="Q180" t="s">
        <v>917</v>
      </c>
      <c r="R180" t="s">
        <v>919</v>
      </c>
      <c r="S180" t="s">
        <v>225</v>
      </c>
      <c r="T180" t="s">
        <v>918</v>
      </c>
      <c r="U180" t="s">
        <v>393</v>
      </c>
      <c r="V180" t="s">
        <v>230</v>
      </c>
      <c r="W180" t="s">
        <v>920</v>
      </c>
      <c r="Y180" t="s">
        <v>1822</v>
      </c>
      <c r="Z180" t="s">
        <v>1362</v>
      </c>
      <c r="AA180" t="s">
        <v>1823</v>
      </c>
      <c r="AB180" t="s">
        <v>1364</v>
      </c>
      <c r="AC180" t="s">
        <v>1824</v>
      </c>
    </row>
    <row r="181" spans="16:29">
      <c r="P181" t="s">
        <v>921</v>
      </c>
      <c r="Q181" t="s">
        <v>922</v>
      </c>
      <c r="R181" t="s">
        <v>924</v>
      </c>
      <c r="S181" t="s">
        <v>225</v>
      </c>
      <c r="T181" t="s">
        <v>923</v>
      </c>
      <c r="U181" t="s">
        <v>393</v>
      </c>
      <c r="V181" t="s">
        <v>230</v>
      </c>
      <c r="W181" t="s">
        <v>925</v>
      </c>
      <c r="Y181" t="s">
        <v>1825</v>
      </c>
      <c r="Z181" t="s">
        <v>1362</v>
      </c>
      <c r="AA181" t="s">
        <v>1826</v>
      </c>
      <c r="AB181" t="s">
        <v>1382</v>
      </c>
      <c r="AC181" t="s">
        <v>1827</v>
      </c>
    </row>
    <row r="182" spans="16:29">
      <c r="P182" t="s">
        <v>926</v>
      </c>
      <c r="Q182" t="s">
        <v>927</v>
      </c>
      <c r="R182" t="s">
        <v>929</v>
      </c>
      <c r="S182" t="s">
        <v>225</v>
      </c>
      <c r="T182" t="s">
        <v>928</v>
      </c>
      <c r="U182" t="s">
        <v>393</v>
      </c>
      <c r="V182" t="s">
        <v>230</v>
      </c>
      <c r="W182" t="s">
        <v>930</v>
      </c>
      <c r="Y182" t="s">
        <v>1828</v>
      </c>
      <c r="Z182" t="s">
        <v>1362</v>
      </c>
      <c r="AA182" t="s">
        <v>1829</v>
      </c>
      <c r="AB182" t="s">
        <v>1382</v>
      </c>
      <c r="AC182" t="s">
        <v>1830</v>
      </c>
    </row>
    <row r="183" spans="16:29">
      <c r="P183" t="s">
        <v>931</v>
      </c>
      <c r="Q183" t="s">
        <v>932</v>
      </c>
      <c r="R183" t="s">
        <v>934</v>
      </c>
      <c r="S183" t="s">
        <v>225</v>
      </c>
      <c r="T183" t="s">
        <v>933</v>
      </c>
      <c r="U183" t="s">
        <v>393</v>
      </c>
      <c r="V183" t="s">
        <v>230</v>
      </c>
      <c r="W183" t="s">
        <v>935</v>
      </c>
      <c r="Y183" t="s">
        <v>1831</v>
      </c>
      <c r="Z183" t="s">
        <v>1362</v>
      </c>
      <c r="AA183" t="s">
        <v>1832</v>
      </c>
      <c r="AB183" t="s">
        <v>1407</v>
      </c>
      <c r="AC183" t="s">
        <v>1554</v>
      </c>
    </row>
    <row r="184" spans="16:29">
      <c r="P184" t="s">
        <v>936</v>
      </c>
      <c r="Q184" t="s">
        <v>937</v>
      </c>
      <c r="R184" t="s">
        <v>939</v>
      </c>
      <c r="S184" t="s">
        <v>225</v>
      </c>
      <c r="T184" t="s">
        <v>938</v>
      </c>
      <c r="U184" t="s">
        <v>393</v>
      </c>
      <c r="V184" t="s">
        <v>230</v>
      </c>
      <c r="W184" t="s">
        <v>940</v>
      </c>
      <c r="Y184" t="s">
        <v>1833</v>
      </c>
      <c r="Z184" t="s">
        <v>1362</v>
      </c>
      <c r="AA184" t="s">
        <v>1834</v>
      </c>
      <c r="AB184" t="s">
        <v>1364</v>
      </c>
      <c r="AC184" t="s">
        <v>1835</v>
      </c>
    </row>
    <row r="185" spans="16:29">
      <c r="P185" t="s">
        <v>941</v>
      </c>
      <c r="Q185" t="s">
        <v>942</v>
      </c>
      <c r="R185" t="s">
        <v>944</v>
      </c>
      <c r="S185" t="s">
        <v>225</v>
      </c>
      <c r="T185" t="s">
        <v>943</v>
      </c>
      <c r="U185" t="s">
        <v>393</v>
      </c>
      <c r="V185" t="s">
        <v>230</v>
      </c>
      <c r="W185" t="s">
        <v>945</v>
      </c>
      <c r="Y185" t="s">
        <v>1836</v>
      </c>
      <c r="Z185" t="s">
        <v>1362</v>
      </c>
      <c r="AA185" t="s">
        <v>1837</v>
      </c>
      <c r="AB185" t="s">
        <v>1364</v>
      </c>
      <c r="AC185" t="s">
        <v>1677</v>
      </c>
    </row>
    <row r="186" spans="16:29">
      <c r="P186" t="s">
        <v>946</v>
      </c>
      <c r="Q186" t="s">
        <v>947</v>
      </c>
      <c r="R186" t="s">
        <v>949</v>
      </c>
      <c r="S186" t="s">
        <v>225</v>
      </c>
      <c r="T186" t="s">
        <v>948</v>
      </c>
      <c r="U186" t="s">
        <v>393</v>
      </c>
      <c r="V186" t="s">
        <v>230</v>
      </c>
      <c r="W186" t="s">
        <v>950</v>
      </c>
      <c r="Y186" t="s">
        <v>1838</v>
      </c>
      <c r="Z186" t="s">
        <v>1362</v>
      </c>
      <c r="AA186" t="s">
        <v>1839</v>
      </c>
      <c r="AB186" t="s">
        <v>1364</v>
      </c>
      <c r="AC186" t="s">
        <v>1454</v>
      </c>
    </row>
    <row r="187" spans="16:29">
      <c r="P187" t="s">
        <v>951</v>
      </c>
      <c r="Q187" t="s">
        <v>952</v>
      </c>
      <c r="R187" t="s">
        <v>954</v>
      </c>
      <c r="S187" t="s">
        <v>225</v>
      </c>
      <c r="T187" t="s">
        <v>953</v>
      </c>
      <c r="U187" t="s">
        <v>393</v>
      </c>
      <c r="V187" t="s">
        <v>230</v>
      </c>
      <c r="W187" t="s">
        <v>955</v>
      </c>
      <c r="Y187" t="s">
        <v>1840</v>
      </c>
      <c r="Z187" t="s">
        <v>1362</v>
      </c>
      <c r="AA187" t="s">
        <v>1841</v>
      </c>
      <c r="AB187" t="s">
        <v>1382</v>
      </c>
      <c r="AC187" t="s">
        <v>1383</v>
      </c>
    </row>
    <row r="188" spans="16:29">
      <c r="P188" t="s">
        <v>956</v>
      </c>
      <c r="Q188" t="s">
        <v>957</v>
      </c>
      <c r="R188" t="s">
        <v>959</v>
      </c>
      <c r="S188" t="s">
        <v>225</v>
      </c>
      <c r="T188" t="s">
        <v>958</v>
      </c>
      <c r="U188" t="s">
        <v>393</v>
      </c>
      <c r="V188" t="s">
        <v>230</v>
      </c>
      <c r="W188" t="s">
        <v>960</v>
      </c>
      <c r="Y188" t="s">
        <v>1842</v>
      </c>
      <c r="Z188" t="s">
        <v>1362</v>
      </c>
      <c r="AA188" t="s">
        <v>1843</v>
      </c>
      <c r="AB188" t="s">
        <v>1364</v>
      </c>
      <c r="AC188" t="s">
        <v>1454</v>
      </c>
    </row>
    <row r="189" spans="16:29">
      <c r="P189" t="s">
        <v>961</v>
      </c>
      <c r="Q189" t="s">
        <v>962</v>
      </c>
      <c r="R189" t="s">
        <v>964</v>
      </c>
      <c r="S189" t="s">
        <v>225</v>
      </c>
      <c r="T189" t="s">
        <v>963</v>
      </c>
      <c r="U189" t="s">
        <v>393</v>
      </c>
      <c r="V189" t="s">
        <v>230</v>
      </c>
      <c r="W189" t="s">
        <v>965</v>
      </c>
      <c r="Y189" t="s">
        <v>1844</v>
      </c>
      <c r="Z189" t="s">
        <v>1362</v>
      </c>
      <c r="AA189" t="s">
        <v>1845</v>
      </c>
      <c r="AB189" t="s">
        <v>1364</v>
      </c>
      <c r="AC189" t="s">
        <v>1423</v>
      </c>
    </row>
    <row r="190" spans="16:29">
      <c r="P190" t="s">
        <v>966</v>
      </c>
      <c r="Q190" t="s">
        <v>967</v>
      </c>
      <c r="R190" t="s">
        <v>969</v>
      </c>
      <c r="S190" t="s">
        <v>225</v>
      </c>
      <c r="T190" t="s">
        <v>968</v>
      </c>
      <c r="U190" t="s">
        <v>393</v>
      </c>
      <c r="V190" t="s">
        <v>230</v>
      </c>
      <c r="W190" t="s">
        <v>970</v>
      </c>
      <c r="Y190" t="s">
        <v>1846</v>
      </c>
      <c r="Z190" t="s">
        <v>1362</v>
      </c>
      <c r="AA190" t="s">
        <v>1847</v>
      </c>
      <c r="AB190" t="s">
        <v>1848</v>
      </c>
      <c r="AC190" t="s">
        <v>1401</v>
      </c>
    </row>
    <row r="191" spans="16:29">
      <c r="P191" t="s">
        <v>971</v>
      </c>
      <c r="Q191" t="s">
        <v>972</v>
      </c>
      <c r="R191" t="s">
        <v>974</v>
      </c>
      <c r="S191" t="s">
        <v>225</v>
      </c>
      <c r="T191" t="s">
        <v>973</v>
      </c>
      <c r="U191" t="s">
        <v>393</v>
      </c>
      <c r="V191" t="s">
        <v>230</v>
      </c>
      <c r="W191" t="s">
        <v>975</v>
      </c>
    </row>
    <row r="192" spans="16:29">
      <c r="P192" t="s">
        <v>976</v>
      </c>
      <c r="Q192" t="s">
        <v>977</v>
      </c>
      <c r="R192" t="s">
        <v>979</v>
      </c>
      <c r="S192" t="s">
        <v>225</v>
      </c>
      <c r="T192" t="s">
        <v>978</v>
      </c>
      <c r="U192" t="s">
        <v>393</v>
      </c>
      <c r="V192" t="s">
        <v>230</v>
      </c>
      <c r="W192" t="s">
        <v>980</v>
      </c>
    </row>
    <row r="193" spans="16:23">
      <c r="P193" t="s">
        <v>981</v>
      </c>
      <c r="Q193" t="s">
        <v>982</v>
      </c>
      <c r="R193" t="s">
        <v>984</v>
      </c>
      <c r="S193" t="s">
        <v>225</v>
      </c>
      <c r="T193" t="s">
        <v>983</v>
      </c>
      <c r="U193" t="s">
        <v>393</v>
      </c>
      <c r="V193" t="s">
        <v>230</v>
      </c>
      <c r="W193" t="s">
        <v>985</v>
      </c>
    </row>
    <row r="194" spans="16:23">
      <c r="P194" t="s">
        <v>986</v>
      </c>
      <c r="Q194" t="s">
        <v>987</v>
      </c>
      <c r="R194" t="s">
        <v>989</v>
      </c>
      <c r="S194" t="s">
        <v>225</v>
      </c>
      <c r="T194" t="s">
        <v>988</v>
      </c>
      <c r="U194" t="s">
        <v>393</v>
      </c>
      <c r="V194" t="s">
        <v>230</v>
      </c>
      <c r="W194" t="s">
        <v>990</v>
      </c>
    </row>
    <row r="195" spans="16:23">
      <c r="P195" t="s">
        <v>991</v>
      </c>
      <c r="Q195" t="s">
        <v>992</v>
      </c>
      <c r="R195" t="s">
        <v>994</v>
      </c>
      <c r="S195" t="s">
        <v>225</v>
      </c>
      <c r="T195" t="s">
        <v>993</v>
      </c>
      <c r="U195" t="s">
        <v>393</v>
      </c>
      <c r="V195" t="s">
        <v>230</v>
      </c>
      <c r="W195" t="s">
        <v>995</v>
      </c>
    </row>
    <row r="196" spans="16:23">
      <c r="P196" t="s">
        <v>996</v>
      </c>
      <c r="Q196" t="s">
        <v>997</v>
      </c>
      <c r="R196" t="s">
        <v>999</v>
      </c>
      <c r="S196" t="s">
        <v>225</v>
      </c>
      <c r="T196" t="s">
        <v>998</v>
      </c>
      <c r="U196" t="s">
        <v>393</v>
      </c>
      <c r="V196" t="s">
        <v>230</v>
      </c>
      <c r="W196" t="s">
        <v>1000</v>
      </c>
    </row>
    <row r="197" spans="16:23">
      <c r="P197" t="s">
        <v>1001</v>
      </c>
      <c r="Q197" t="s">
        <v>1002</v>
      </c>
      <c r="R197" t="s">
        <v>1004</v>
      </c>
      <c r="S197" t="s">
        <v>225</v>
      </c>
      <c r="T197" t="s">
        <v>1003</v>
      </c>
      <c r="U197" t="s">
        <v>393</v>
      </c>
      <c r="V197" t="s">
        <v>230</v>
      </c>
      <c r="W197" t="s">
        <v>1005</v>
      </c>
    </row>
    <row r="198" spans="16:23">
      <c r="P198" t="s">
        <v>1006</v>
      </c>
      <c r="Q198" t="s">
        <v>1007</v>
      </c>
      <c r="R198" t="s">
        <v>1009</v>
      </c>
      <c r="S198" t="s">
        <v>225</v>
      </c>
      <c r="T198" t="s">
        <v>1008</v>
      </c>
      <c r="U198" t="s">
        <v>393</v>
      </c>
      <c r="V198" t="s">
        <v>230</v>
      </c>
      <c r="W198" t="s">
        <v>1010</v>
      </c>
    </row>
    <row r="199" spans="16:23">
      <c r="P199" t="s">
        <v>1011</v>
      </c>
      <c r="Q199" t="s">
        <v>1012</v>
      </c>
      <c r="R199" t="s">
        <v>1014</v>
      </c>
      <c r="S199" t="s">
        <v>225</v>
      </c>
      <c r="T199" t="s">
        <v>1013</v>
      </c>
      <c r="U199" t="s">
        <v>393</v>
      </c>
      <c r="V199" t="s">
        <v>230</v>
      </c>
      <c r="W199" t="s">
        <v>1015</v>
      </c>
    </row>
    <row r="200" spans="16:23">
      <c r="P200" t="s">
        <v>1016</v>
      </c>
      <c r="Q200" t="s">
        <v>1017</v>
      </c>
      <c r="R200" t="s">
        <v>1019</v>
      </c>
      <c r="S200" t="s">
        <v>225</v>
      </c>
      <c r="T200" t="s">
        <v>1018</v>
      </c>
      <c r="U200" t="s">
        <v>393</v>
      </c>
      <c r="V200" t="s">
        <v>230</v>
      </c>
      <c r="W200" t="s">
        <v>1020</v>
      </c>
    </row>
    <row r="201" spans="16:23">
      <c r="P201" t="s">
        <v>1021</v>
      </c>
      <c r="Q201" t="s">
        <v>227</v>
      </c>
      <c r="R201" t="s">
        <v>1023</v>
      </c>
      <c r="S201" t="s">
        <v>225</v>
      </c>
      <c r="T201" t="s">
        <v>1022</v>
      </c>
      <c r="U201" t="s">
        <v>393</v>
      </c>
      <c r="V201" t="s">
        <v>230</v>
      </c>
      <c r="W201" t="s">
        <v>1024</v>
      </c>
    </row>
    <row r="202" spans="16:23">
      <c r="P202" t="s">
        <v>1025</v>
      </c>
      <c r="Q202" t="s">
        <v>1026</v>
      </c>
      <c r="R202" t="s">
        <v>1028</v>
      </c>
      <c r="S202" t="s">
        <v>225</v>
      </c>
      <c r="T202" t="s">
        <v>1027</v>
      </c>
      <c r="U202" t="s">
        <v>393</v>
      </c>
      <c r="V202" t="s">
        <v>230</v>
      </c>
      <c r="W202" t="s">
        <v>1029</v>
      </c>
    </row>
    <row r="203" spans="16:23">
      <c r="P203" t="s">
        <v>1030</v>
      </c>
      <c r="Q203" t="s">
        <v>1031</v>
      </c>
      <c r="R203" t="s">
        <v>1033</v>
      </c>
      <c r="S203" t="s">
        <v>225</v>
      </c>
      <c r="T203" t="s">
        <v>1032</v>
      </c>
      <c r="U203" t="s">
        <v>393</v>
      </c>
      <c r="V203" t="s">
        <v>230</v>
      </c>
      <c r="W203" t="s">
        <v>1034</v>
      </c>
    </row>
    <row r="204" spans="16:23">
      <c r="P204" t="s">
        <v>1035</v>
      </c>
      <c r="Q204" t="s">
        <v>1036</v>
      </c>
      <c r="R204" t="s">
        <v>1038</v>
      </c>
      <c r="S204" t="s">
        <v>225</v>
      </c>
      <c r="T204" t="s">
        <v>1037</v>
      </c>
      <c r="U204" t="s">
        <v>393</v>
      </c>
      <c r="V204" t="s">
        <v>230</v>
      </c>
      <c r="W204" t="s">
        <v>1039</v>
      </c>
    </row>
    <row r="205" spans="16:23">
      <c r="P205" t="s">
        <v>1040</v>
      </c>
      <c r="Q205" t="s">
        <v>1041</v>
      </c>
      <c r="R205" t="s">
        <v>639</v>
      </c>
      <c r="S205" t="s">
        <v>225</v>
      </c>
      <c r="T205" t="s">
        <v>1042</v>
      </c>
      <c r="U205" t="s">
        <v>393</v>
      </c>
      <c r="V205" t="s">
        <v>230</v>
      </c>
      <c r="W205" t="s">
        <v>1043</v>
      </c>
    </row>
    <row r="206" spans="16:23">
      <c r="P206" t="s">
        <v>1044</v>
      </c>
      <c r="Q206" t="s">
        <v>227</v>
      </c>
      <c r="R206" t="s">
        <v>1046</v>
      </c>
      <c r="S206" t="s">
        <v>225</v>
      </c>
      <c r="T206" t="s">
        <v>1045</v>
      </c>
      <c r="U206" t="s">
        <v>393</v>
      </c>
      <c r="V206" t="s">
        <v>230</v>
      </c>
      <c r="W206" t="s">
        <v>1047</v>
      </c>
    </row>
    <row r="207" spans="16:23">
      <c r="P207" t="s">
        <v>1048</v>
      </c>
      <c r="Q207" t="s">
        <v>1049</v>
      </c>
      <c r="R207" t="s">
        <v>1051</v>
      </c>
      <c r="S207" t="s">
        <v>225</v>
      </c>
      <c r="T207" t="s">
        <v>1050</v>
      </c>
      <c r="U207" t="s">
        <v>393</v>
      </c>
      <c r="V207" t="s">
        <v>230</v>
      </c>
      <c r="W207" t="s">
        <v>1052</v>
      </c>
    </row>
    <row r="208" spans="16:23">
      <c r="P208" t="s">
        <v>1053</v>
      </c>
      <c r="Q208" t="s">
        <v>227</v>
      </c>
      <c r="R208" t="s">
        <v>1055</v>
      </c>
      <c r="S208" t="s">
        <v>225</v>
      </c>
      <c r="T208" t="s">
        <v>1054</v>
      </c>
      <c r="U208" t="s">
        <v>393</v>
      </c>
      <c r="V208" t="s">
        <v>230</v>
      </c>
      <c r="W208" t="s">
        <v>1056</v>
      </c>
    </row>
    <row r="209" spans="16:23">
      <c r="P209" t="s">
        <v>1057</v>
      </c>
      <c r="Q209" t="s">
        <v>1058</v>
      </c>
      <c r="R209" t="s">
        <v>1060</v>
      </c>
      <c r="S209" t="s">
        <v>225</v>
      </c>
      <c r="T209" t="s">
        <v>1059</v>
      </c>
      <c r="U209" t="s">
        <v>393</v>
      </c>
      <c r="V209" t="s">
        <v>230</v>
      </c>
      <c r="W209" t="s">
        <v>1061</v>
      </c>
    </row>
    <row r="210" spans="16:23">
      <c r="P210" t="s">
        <v>1062</v>
      </c>
      <c r="Q210" t="s">
        <v>1063</v>
      </c>
      <c r="R210" t="s">
        <v>1065</v>
      </c>
      <c r="S210" t="s">
        <v>225</v>
      </c>
      <c r="T210" t="s">
        <v>1064</v>
      </c>
      <c r="U210" t="s">
        <v>393</v>
      </c>
      <c r="V210" t="s">
        <v>230</v>
      </c>
      <c r="W210" t="s">
        <v>1066</v>
      </c>
    </row>
    <row r="211" spans="16:23">
      <c r="P211" t="s">
        <v>1067</v>
      </c>
      <c r="Q211" t="s">
        <v>227</v>
      </c>
      <c r="R211" t="s">
        <v>1069</v>
      </c>
      <c r="S211" t="s">
        <v>225</v>
      </c>
      <c r="T211" t="s">
        <v>1068</v>
      </c>
      <c r="U211" t="s">
        <v>393</v>
      </c>
      <c r="V211" t="s">
        <v>230</v>
      </c>
      <c r="W211" t="s">
        <v>1070</v>
      </c>
    </row>
    <row r="212" spans="16:23">
      <c r="P212" t="s">
        <v>1071</v>
      </c>
      <c r="Q212" t="s">
        <v>1072</v>
      </c>
      <c r="R212" t="s">
        <v>1074</v>
      </c>
      <c r="S212" t="s">
        <v>225</v>
      </c>
      <c r="T212" t="s">
        <v>1073</v>
      </c>
      <c r="U212" t="s">
        <v>393</v>
      </c>
      <c r="V212" t="s">
        <v>230</v>
      </c>
      <c r="W212" t="s">
        <v>1075</v>
      </c>
    </row>
    <row r="213" spans="16:23">
      <c r="P213" t="s">
        <v>1076</v>
      </c>
      <c r="Q213" t="s">
        <v>1077</v>
      </c>
      <c r="R213" t="s">
        <v>1079</v>
      </c>
      <c r="S213" t="s">
        <v>225</v>
      </c>
      <c r="T213" t="s">
        <v>1078</v>
      </c>
      <c r="U213" t="s">
        <v>393</v>
      </c>
      <c r="V213" t="s">
        <v>230</v>
      </c>
      <c r="W213" t="s">
        <v>1080</v>
      </c>
    </row>
    <row r="214" spans="16:23">
      <c r="P214" t="s">
        <v>1081</v>
      </c>
      <c r="Q214" t="s">
        <v>1082</v>
      </c>
      <c r="R214" t="s">
        <v>1084</v>
      </c>
      <c r="S214" t="s">
        <v>225</v>
      </c>
      <c r="T214" t="s">
        <v>1083</v>
      </c>
      <c r="U214" t="s">
        <v>393</v>
      </c>
      <c r="V214" t="s">
        <v>230</v>
      </c>
      <c r="W214" t="s">
        <v>1085</v>
      </c>
    </row>
    <row r="215" spans="16:23">
      <c r="P215" t="s">
        <v>1086</v>
      </c>
      <c r="Q215" t="s">
        <v>227</v>
      </c>
      <c r="R215" t="s">
        <v>1089</v>
      </c>
      <c r="S215" t="s">
        <v>225</v>
      </c>
      <c r="T215" t="s">
        <v>1087</v>
      </c>
      <c r="U215" t="s">
        <v>1088</v>
      </c>
      <c r="V215" t="s">
        <v>230</v>
      </c>
      <c r="W215" t="s">
        <v>1090</v>
      </c>
    </row>
    <row r="216" spans="16:23">
      <c r="P216" t="s">
        <v>1091</v>
      </c>
      <c r="Q216" t="s">
        <v>1092</v>
      </c>
      <c r="R216" t="s">
        <v>1094</v>
      </c>
      <c r="S216" t="s">
        <v>225</v>
      </c>
      <c r="T216" t="s">
        <v>1093</v>
      </c>
      <c r="U216" t="s">
        <v>393</v>
      </c>
      <c r="V216" t="s">
        <v>230</v>
      </c>
      <c r="W216" t="s">
        <v>1095</v>
      </c>
    </row>
    <row r="217" spans="16:23">
      <c r="P217" t="s">
        <v>1096</v>
      </c>
      <c r="Q217" t="s">
        <v>1097</v>
      </c>
      <c r="R217" t="s">
        <v>1099</v>
      </c>
      <c r="S217" t="s">
        <v>225</v>
      </c>
      <c r="T217" t="s">
        <v>1098</v>
      </c>
      <c r="U217" t="s">
        <v>393</v>
      </c>
      <c r="V217" t="s">
        <v>230</v>
      </c>
      <c r="W217" t="s">
        <v>1100</v>
      </c>
    </row>
    <row r="218" spans="16:23">
      <c r="P218" t="s">
        <v>1101</v>
      </c>
      <c r="Q218" t="s">
        <v>1102</v>
      </c>
      <c r="R218" t="s">
        <v>1104</v>
      </c>
      <c r="S218" t="s">
        <v>225</v>
      </c>
      <c r="T218" t="s">
        <v>1103</v>
      </c>
      <c r="U218" t="s">
        <v>393</v>
      </c>
      <c r="V218" t="s">
        <v>230</v>
      </c>
      <c r="W218" t="s">
        <v>1105</v>
      </c>
    </row>
    <row r="219" spans="16:23">
      <c r="P219" t="s">
        <v>1106</v>
      </c>
      <c r="Q219" t="s">
        <v>1107</v>
      </c>
      <c r="R219" t="s">
        <v>1109</v>
      </c>
      <c r="S219" t="s">
        <v>225</v>
      </c>
      <c r="T219" t="s">
        <v>1108</v>
      </c>
      <c r="U219" t="s">
        <v>393</v>
      </c>
      <c r="V219" t="s">
        <v>230</v>
      </c>
      <c r="W219" t="s">
        <v>1110</v>
      </c>
    </row>
    <row r="220" spans="16:23">
      <c r="P220" t="s">
        <v>1111</v>
      </c>
      <c r="Q220" t="s">
        <v>1112</v>
      </c>
      <c r="R220" t="s">
        <v>1114</v>
      </c>
      <c r="S220" t="s">
        <v>225</v>
      </c>
      <c r="T220" t="s">
        <v>1113</v>
      </c>
      <c r="U220" t="s">
        <v>393</v>
      </c>
      <c r="V220" t="s">
        <v>230</v>
      </c>
      <c r="W220" t="s">
        <v>1115</v>
      </c>
    </row>
    <row r="221" spans="16:23">
      <c r="P221" t="s">
        <v>1116</v>
      </c>
      <c r="Q221" t="s">
        <v>1117</v>
      </c>
      <c r="R221" t="s">
        <v>1119</v>
      </c>
      <c r="S221" t="s">
        <v>225</v>
      </c>
      <c r="T221" t="s">
        <v>1118</v>
      </c>
      <c r="U221" t="s">
        <v>393</v>
      </c>
      <c r="V221" t="s">
        <v>230</v>
      </c>
      <c r="W221" t="s">
        <v>1120</v>
      </c>
    </row>
    <row r="222" spans="16:23">
      <c r="P222" t="s">
        <v>1121</v>
      </c>
      <c r="Q222" t="s">
        <v>1122</v>
      </c>
      <c r="R222" t="s">
        <v>1124</v>
      </c>
      <c r="S222" t="s">
        <v>225</v>
      </c>
      <c r="T222" t="s">
        <v>1123</v>
      </c>
      <c r="U222" t="s">
        <v>393</v>
      </c>
      <c r="V222" t="s">
        <v>230</v>
      </c>
      <c r="W222" t="s">
        <v>1125</v>
      </c>
    </row>
    <row r="223" spans="16:23">
      <c r="P223" t="s">
        <v>1126</v>
      </c>
      <c r="Q223" t="s">
        <v>1127</v>
      </c>
      <c r="R223" t="s">
        <v>1129</v>
      </c>
      <c r="S223" t="s">
        <v>225</v>
      </c>
      <c r="T223" t="s">
        <v>1128</v>
      </c>
      <c r="U223" t="s">
        <v>393</v>
      </c>
      <c r="V223" t="s">
        <v>230</v>
      </c>
      <c r="W223" t="s">
        <v>1130</v>
      </c>
    </row>
    <row r="224" spans="16:23">
      <c r="P224" t="s">
        <v>1131</v>
      </c>
      <c r="Q224" t="s">
        <v>1132</v>
      </c>
      <c r="R224" t="s">
        <v>1104</v>
      </c>
      <c r="S224" t="s">
        <v>225</v>
      </c>
      <c r="T224" t="s">
        <v>1133</v>
      </c>
      <c r="U224" t="s">
        <v>393</v>
      </c>
      <c r="V224" t="s">
        <v>230</v>
      </c>
      <c r="W224" t="s">
        <v>1134</v>
      </c>
    </row>
    <row r="225" spans="16:23">
      <c r="P225" t="s">
        <v>1135</v>
      </c>
      <c r="Q225" t="s">
        <v>1136</v>
      </c>
      <c r="R225" t="s">
        <v>1138</v>
      </c>
      <c r="S225" t="s">
        <v>225</v>
      </c>
      <c r="T225" t="s">
        <v>1137</v>
      </c>
      <c r="U225" t="s">
        <v>393</v>
      </c>
      <c r="V225" t="s">
        <v>230</v>
      </c>
      <c r="W225" t="s">
        <v>1139</v>
      </c>
    </row>
    <row r="226" spans="16:23">
      <c r="P226" t="s">
        <v>1140</v>
      </c>
      <c r="Q226" t="s">
        <v>1141</v>
      </c>
      <c r="R226" t="s">
        <v>1143</v>
      </c>
      <c r="S226" t="s">
        <v>225</v>
      </c>
      <c r="T226" t="s">
        <v>1142</v>
      </c>
      <c r="U226" t="s">
        <v>393</v>
      </c>
      <c r="V226" t="s">
        <v>230</v>
      </c>
      <c r="W226" t="s">
        <v>1144</v>
      </c>
    </row>
    <row r="227" spans="16:23">
      <c r="P227" t="s">
        <v>1145</v>
      </c>
      <c r="Q227" t="s">
        <v>1146</v>
      </c>
      <c r="R227" t="s">
        <v>1148</v>
      </c>
      <c r="S227" t="s">
        <v>225</v>
      </c>
      <c r="T227" t="s">
        <v>1147</v>
      </c>
      <c r="U227" t="s">
        <v>393</v>
      </c>
      <c r="V227" t="s">
        <v>230</v>
      </c>
      <c r="W227" t="s">
        <v>1149</v>
      </c>
    </row>
    <row r="228" spans="16:23">
      <c r="P228" t="s">
        <v>1150</v>
      </c>
      <c r="Q228" t="s">
        <v>1151</v>
      </c>
      <c r="R228" t="s">
        <v>1153</v>
      </c>
      <c r="S228" t="s">
        <v>225</v>
      </c>
      <c r="T228" t="s">
        <v>1152</v>
      </c>
      <c r="U228" t="s">
        <v>393</v>
      </c>
      <c r="V228" t="s">
        <v>230</v>
      </c>
      <c r="W228" t="s">
        <v>1154</v>
      </c>
    </row>
    <row r="229" spans="16:23">
      <c r="P229" t="s">
        <v>1155</v>
      </c>
      <c r="Q229" t="s">
        <v>1156</v>
      </c>
      <c r="R229" t="s">
        <v>1124</v>
      </c>
      <c r="S229" t="s">
        <v>225</v>
      </c>
      <c r="T229" t="s">
        <v>1157</v>
      </c>
      <c r="U229" t="s">
        <v>393</v>
      </c>
      <c r="V229" t="s">
        <v>230</v>
      </c>
      <c r="W229" t="s">
        <v>1158</v>
      </c>
    </row>
    <row r="230" spans="16:23">
      <c r="P230" t="s">
        <v>1159</v>
      </c>
      <c r="Q230" t="s">
        <v>1160</v>
      </c>
      <c r="R230" t="s">
        <v>1162</v>
      </c>
      <c r="S230" t="s">
        <v>225</v>
      </c>
      <c r="T230" t="s">
        <v>1161</v>
      </c>
      <c r="U230" t="s">
        <v>393</v>
      </c>
      <c r="V230" t="s">
        <v>230</v>
      </c>
      <c r="W230" t="s">
        <v>1163</v>
      </c>
    </row>
    <row r="231" spans="16:23">
      <c r="P231" t="s">
        <v>1164</v>
      </c>
      <c r="Q231" t="s">
        <v>1165</v>
      </c>
      <c r="R231" t="s">
        <v>1167</v>
      </c>
      <c r="S231" t="s">
        <v>225</v>
      </c>
      <c r="T231" t="s">
        <v>1166</v>
      </c>
      <c r="U231" t="s">
        <v>393</v>
      </c>
      <c r="V231" t="s">
        <v>230</v>
      </c>
      <c r="W231" t="s">
        <v>1168</v>
      </c>
    </row>
    <row r="232" spans="16:23">
      <c r="P232" t="s">
        <v>1169</v>
      </c>
      <c r="Q232" t="s">
        <v>1170</v>
      </c>
      <c r="R232" t="s">
        <v>1172</v>
      </c>
      <c r="S232" t="s">
        <v>225</v>
      </c>
      <c r="T232" t="s">
        <v>1171</v>
      </c>
      <c r="U232" t="s">
        <v>393</v>
      </c>
      <c r="V232" t="s">
        <v>230</v>
      </c>
      <c r="W232" t="s">
        <v>1173</v>
      </c>
    </row>
    <row r="233" spans="16:23">
      <c r="P233" t="s">
        <v>1174</v>
      </c>
      <c r="Q233" t="s">
        <v>227</v>
      </c>
      <c r="R233" t="s">
        <v>1176</v>
      </c>
      <c r="S233" t="s">
        <v>225</v>
      </c>
      <c r="T233" t="s">
        <v>1175</v>
      </c>
      <c r="U233" t="s">
        <v>475</v>
      </c>
      <c r="V233" t="s">
        <v>230</v>
      </c>
      <c r="W233" t="s">
        <v>1177</v>
      </c>
    </row>
    <row r="234" spans="16:23">
      <c r="P234" t="s">
        <v>1178</v>
      </c>
      <c r="Q234" t="s">
        <v>1179</v>
      </c>
      <c r="R234" t="s">
        <v>1181</v>
      </c>
      <c r="S234" t="s">
        <v>225</v>
      </c>
      <c r="T234" t="s">
        <v>1180</v>
      </c>
      <c r="U234" t="s">
        <v>393</v>
      </c>
      <c r="V234" t="s">
        <v>230</v>
      </c>
      <c r="W234" t="s">
        <v>1182</v>
      </c>
    </row>
    <row r="235" spans="16:23">
      <c r="P235" t="s">
        <v>1183</v>
      </c>
      <c r="Q235" t="s">
        <v>1184</v>
      </c>
      <c r="R235" t="s">
        <v>1186</v>
      </c>
      <c r="S235" t="s">
        <v>225</v>
      </c>
      <c r="T235" t="s">
        <v>1185</v>
      </c>
      <c r="U235" t="s">
        <v>393</v>
      </c>
      <c r="V235" t="s">
        <v>230</v>
      </c>
      <c r="W235" t="s">
        <v>1187</v>
      </c>
    </row>
    <row r="236" spans="16:23">
      <c r="P236" t="s">
        <v>1188</v>
      </c>
      <c r="Q236" t="s">
        <v>1189</v>
      </c>
      <c r="R236" t="s">
        <v>1191</v>
      </c>
      <c r="S236" t="s">
        <v>225</v>
      </c>
      <c r="T236" t="s">
        <v>1190</v>
      </c>
      <c r="U236" t="s">
        <v>393</v>
      </c>
      <c r="V236" t="s">
        <v>230</v>
      </c>
      <c r="W236" t="s">
        <v>1192</v>
      </c>
    </row>
    <row r="237" spans="16:23">
      <c r="P237" t="s">
        <v>1193</v>
      </c>
      <c r="Q237" t="s">
        <v>1194</v>
      </c>
      <c r="R237" t="s">
        <v>1196</v>
      </c>
      <c r="S237" t="s">
        <v>225</v>
      </c>
      <c r="T237" t="s">
        <v>1195</v>
      </c>
      <c r="U237" t="s">
        <v>393</v>
      </c>
      <c r="V237" t="s">
        <v>230</v>
      </c>
      <c r="W237" t="s">
        <v>1197</v>
      </c>
    </row>
    <row r="238" spans="16:23">
      <c r="P238" t="s">
        <v>1198</v>
      </c>
      <c r="Q238" t="s">
        <v>1199</v>
      </c>
      <c r="R238" t="s">
        <v>1201</v>
      </c>
      <c r="S238" t="s">
        <v>225</v>
      </c>
      <c r="T238" t="s">
        <v>1200</v>
      </c>
      <c r="U238" t="s">
        <v>393</v>
      </c>
      <c r="V238" t="s">
        <v>230</v>
      </c>
      <c r="W238" t="s">
        <v>1202</v>
      </c>
    </row>
    <row r="239" spans="16:23">
      <c r="P239" t="s">
        <v>1203</v>
      </c>
      <c r="Q239" t="s">
        <v>1204</v>
      </c>
      <c r="R239" t="s">
        <v>1206</v>
      </c>
      <c r="S239" t="s">
        <v>225</v>
      </c>
      <c r="T239" t="s">
        <v>1205</v>
      </c>
      <c r="U239" t="s">
        <v>393</v>
      </c>
      <c r="V239" t="s">
        <v>230</v>
      </c>
      <c r="W239" t="s">
        <v>1207</v>
      </c>
    </row>
    <row r="240" spans="16:23">
      <c r="P240" t="s">
        <v>1208</v>
      </c>
      <c r="Q240" t="s">
        <v>1209</v>
      </c>
      <c r="R240" t="s">
        <v>1211</v>
      </c>
      <c r="S240" t="s">
        <v>225</v>
      </c>
      <c r="T240" t="s">
        <v>1210</v>
      </c>
      <c r="U240" t="s">
        <v>393</v>
      </c>
      <c r="V240" t="s">
        <v>230</v>
      </c>
      <c r="W240" t="s">
        <v>1212</v>
      </c>
    </row>
    <row r="241" spans="16:23">
      <c r="P241" t="s">
        <v>1213</v>
      </c>
      <c r="Q241" t="s">
        <v>1214</v>
      </c>
      <c r="R241" t="s">
        <v>1216</v>
      </c>
      <c r="S241" t="s">
        <v>225</v>
      </c>
      <c r="T241" t="s">
        <v>1215</v>
      </c>
      <c r="U241" t="s">
        <v>393</v>
      </c>
      <c r="V241" t="s">
        <v>230</v>
      </c>
      <c r="W241" t="s">
        <v>1217</v>
      </c>
    </row>
    <row r="242" spans="16:23">
      <c r="P242" t="s">
        <v>1218</v>
      </c>
      <c r="Q242" t="s">
        <v>1219</v>
      </c>
      <c r="R242" t="s">
        <v>1221</v>
      </c>
      <c r="S242" t="s">
        <v>225</v>
      </c>
      <c r="T242" t="s">
        <v>1220</v>
      </c>
      <c r="U242" t="s">
        <v>393</v>
      </c>
      <c r="V242" t="s">
        <v>230</v>
      </c>
      <c r="W242" t="s">
        <v>1222</v>
      </c>
    </row>
    <row r="243" spans="16:23">
      <c r="P243" t="s">
        <v>1223</v>
      </c>
      <c r="Q243" t="s">
        <v>1224</v>
      </c>
      <c r="R243" t="s">
        <v>1226</v>
      </c>
      <c r="S243" t="s">
        <v>225</v>
      </c>
      <c r="T243" t="s">
        <v>1225</v>
      </c>
      <c r="U243" t="s">
        <v>393</v>
      </c>
      <c r="V243" t="s">
        <v>230</v>
      </c>
      <c r="W243" t="s">
        <v>1227</v>
      </c>
    </row>
    <row r="244" spans="16:23">
      <c r="P244" t="s">
        <v>1228</v>
      </c>
      <c r="Q244" t="s">
        <v>1229</v>
      </c>
      <c r="R244" t="s">
        <v>1231</v>
      </c>
      <c r="S244" t="s">
        <v>225</v>
      </c>
      <c r="T244" t="s">
        <v>1230</v>
      </c>
      <c r="U244" t="s">
        <v>393</v>
      </c>
      <c r="V244" t="s">
        <v>230</v>
      </c>
      <c r="W244" t="s">
        <v>1232</v>
      </c>
    </row>
    <row r="245" spans="16:23">
      <c r="P245" t="s">
        <v>1233</v>
      </c>
      <c r="Q245" t="s">
        <v>1234</v>
      </c>
      <c r="R245" t="s">
        <v>1236</v>
      </c>
      <c r="S245" t="s">
        <v>225</v>
      </c>
      <c r="T245" t="s">
        <v>1235</v>
      </c>
      <c r="U245" t="s">
        <v>393</v>
      </c>
      <c r="V245" t="s">
        <v>230</v>
      </c>
      <c r="W245" t="s">
        <v>1237</v>
      </c>
    </row>
    <row r="246" spans="16:23">
      <c r="P246" t="s">
        <v>1238</v>
      </c>
      <c r="Q246" t="s">
        <v>1239</v>
      </c>
      <c r="R246" t="s">
        <v>1241</v>
      </c>
      <c r="S246" t="s">
        <v>225</v>
      </c>
      <c r="T246" t="s">
        <v>1240</v>
      </c>
      <c r="U246" t="s">
        <v>393</v>
      </c>
      <c r="V246" t="s">
        <v>230</v>
      </c>
      <c r="W246" t="s">
        <v>1242</v>
      </c>
    </row>
    <row r="247" spans="16:23">
      <c r="P247" t="s">
        <v>1243</v>
      </c>
      <c r="Q247" t="s">
        <v>1244</v>
      </c>
      <c r="R247" t="s">
        <v>1246</v>
      </c>
      <c r="S247" t="s">
        <v>225</v>
      </c>
      <c r="T247" t="s">
        <v>1245</v>
      </c>
      <c r="U247" t="s">
        <v>393</v>
      </c>
      <c r="V247" t="s">
        <v>230</v>
      </c>
      <c r="W247" t="s">
        <v>1247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91EE-CAC4-42CF-AEB8-9B4F20429B47}">
  <sheetPr codeName="Sheet10"/>
  <dimension ref="A1"/>
  <sheetViews>
    <sheetView workbookViewId="0"/>
  </sheetViews>
  <sheetFormatPr defaultRowHeight="15"/>
  <sheetData>
    <row r="1" spans="1:1">
      <c r="A1" t="s">
        <v>2137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FC312F2-9A8B-43F1-AA46-BAE396644256}">
  <ds:schemaRefs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bc65c10a-750a-4a00-b2ef-dbd18667522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New request form</vt:lpstr>
      <vt:lpstr>My Requests</vt:lpstr>
      <vt:lpstr>Set Defaults</vt:lpstr>
      <vt:lpstr>Request Header</vt:lpstr>
      <vt:lpstr>Header map</vt:lpstr>
      <vt:lpstr>Sheet3</vt:lpstr>
      <vt:lpstr>Q_DataValidation_Source_Master</vt:lpstr>
      <vt:lpstr>Q_DataValidation_Cache</vt:lpstr>
      <vt:lpstr>Data_Validation_Source</vt:lpstr>
      <vt:lpstr>App_Version</vt:lpstr>
      <vt:lpstr>App_Version</vt:lpstr>
      <vt:lpstr>'My Requests'!Input_Asset</vt:lpstr>
      <vt:lpstr>'New request form'!Input_Asset</vt:lpstr>
      <vt:lpstr>'My Requests'!Input_Bu</vt:lpstr>
      <vt:lpstr>'New request form'!Input_Bu</vt:lpstr>
      <vt:lpstr>'Request Header'!Input_Buyer_email</vt:lpstr>
      <vt:lpstr>'My Requests'!Input_Entity</vt:lpstr>
      <vt:lpstr>'New request form'!Input_Entity</vt:lpstr>
      <vt:lpstr>'My Requests'!Input_Item_type</vt:lpstr>
      <vt:lpstr>'New request form'!Input_item_type</vt:lpstr>
      <vt:lpstr>'My Requests'!Input_Location</vt:lpstr>
      <vt:lpstr>'New request form'!Input_Location</vt:lpstr>
      <vt:lpstr>'My Requests'!Input_Postfactoref</vt:lpstr>
      <vt:lpstr>'New request form'!Input_Postfactoref</vt:lpstr>
      <vt:lpstr>'My Requests'!Input_ProjectID</vt:lpstr>
      <vt:lpstr>'New request form'!Input_ProjectID</vt:lpstr>
      <vt:lpstr>'My Requests'!Input_Request_Date</vt:lpstr>
      <vt:lpstr>'New request form'!Input_Request_Date</vt:lpstr>
      <vt:lpstr>'My Requests'!Input_Request_number</vt:lpstr>
      <vt:lpstr>'New request form'!Input_Request_number</vt:lpstr>
      <vt:lpstr>'My Requests'!Input_Request_type</vt:lpstr>
      <vt:lpstr>'New request form'!Input_Request_type</vt:lpstr>
      <vt:lpstr>'My Requests'!Input_Requester</vt:lpstr>
      <vt:lpstr>'New request form'!Input_Requester</vt:lpstr>
      <vt:lpstr>'Request Header'!Input_Requester_email</vt:lpstr>
      <vt:lpstr>'My Requests'!Input_Required_by</vt:lpstr>
      <vt:lpstr>'New request form'!Input_Required_by</vt:lpstr>
      <vt:lpstr>'My Requests'!Input_Rimsesref</vt:lpstr>
      <vt:lpstr>'New request form'!Input_Rimsesref</vt:lpstr>
      <vt:lpstr>'My Requests'!Input_Sourcingref</vt:lpstr>
      <vt:lpstr>'New request form'!Input_Sourcingref</vt:lpstr>
      <vt:lpstr>'My Requests'!Input_Subject</vt:lpstr>
      <vt:lpstr>'New request form'!Input_Subject</vt:lpstr>
      <vt:lpstr>'My Requests'!Input_Version</vt:lpstr>
      <vt:lpstr>'New request form'!Input_Version</vt:lpstr>
      <vt:lpstr>'Request Header'!Input_Warehouse_re_email</vt:lpstr>
      <vt:lpstr>'My Requests'!Input_Warehouse_rep</vt:lpstr>
      <vt:lpstr>'New request form'!Input_Warehouse_rep</vt:lpstr>
      <vt:lpstr>'My Requests'!Input_Workorderref</vt:lpstr>
      <vt:lpstr>'New request form'!Input_Workorderref</vt:lpstr>
      <vt:lpstr>R_bu</vt:lpstr>
      <vt:lpstr>R_entity</vt:lpstr>
      <vt:lpstr>R_item_type</vt:lpstr>
      <vt:lpstr>R_location</vt:lpstr>
      <vt:lpstr>R_projects</vt:lpstr>
      <vt:lpstr>R_request_type</vt:lpstr>
      <vt:lpstr>R_requester_name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dcterms:created xsi:type="dcterms:W3CDTF">2025-11-21T04:47:27Z</dcterms:created>
  <dcterms:modified xsi:type="dcterms:W3CDTF">2025-12-30T13:22:58Z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